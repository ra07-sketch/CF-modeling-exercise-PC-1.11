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 &amp; Assumptions" sheetId="1" state="visible" r:id="rId3"/>
    <sheet name="Asset Cash Flows" sheetId="2" state="visible" r:id="rId4"/>
    <sheet name="Liability Structure" sheetId="3" state="visible" r:id="rId5"/>
    <sheet name="Scenario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<sst xmlns="http://schemas.openxmlformats.org/spreadsheetml/2006/main" count="527" uniqueCount="227">
  <si>
    <t xml:space="preserve">ABS CASH FLOW MODEL — INPUTS &amp; ASSUMPTIONS</t>
  </si>
  <si>
    <t xml:space="preserve">Lender Finance Europe — Corporate Loan Securitisation. All calculations are live formulas; blue cells are inputs.</t>
  </si>
  <si>
    <t xml:space="preserve">1.  PORTFOLIO &amp; LOAN TERMS</t>
  </si>
  <si>
    <t xml:space="preserve">Number of loans</t>
  </si>
  <si>
    <t xml:space="preserve">Original principal balance per loan (EUR)</t>
  </si>
  <si>
    <t xml:space="preserve">each loan identical</t>
  </si>
  <si>
    <t xml:space="preserve">Original pool notional (EUR)</t>
  </si>
  <si>
    <t xml:space="preserve">Interest period</t>
  </si>
  <si>
    <t xml:space="preserve">Quarterly</t>
  </si>
  <si>
    <t xml:space="preserve">Asset spread over 3M EURIBOR (bps)</t>
  </si>
  <si>
    <t xml:space="preserve">E+500bps</t>
  </si>
  <si>
    <t xml:space="preserve">Asset margin (decimal)</t>
  </si>
  <si>
    <t xml:space="preserve">Interest-only period (quarters)</t>
  </si>
  <si>
    <t xml:space="preserve">no amort in q1-4</t>
  </si>
  <si>
    <t xml:space="preserve">Scheduled amortisation rate / quarter</t>
  </si>
  <si>
    <t xml:space="preserve">3% of opening bal, q5 onward</t>
  </si>
  <si>
    <t xml:space="preserve">Original loan tenor (quarters)</t>
  </si>
  <si>
    <t xml:space="preserve">7 years -&gt; matches 7y CDR</t>
  </si>
  <si>
    <t xml:space="preserve">Origination window (months, 1 per month)</t>
  </si>
  <si>
    <t xml:space="preserve">staggered maturities</t>
  </si>
  <si>
    <t xml:space="preserve">Day-count convention</t>
  </si>
  <si>
    <t xml:space="preserve">30/360 (interest = rate/4)</t>
  </si>
  <si>
    <t xml:space="preserve">2.  DEFAULT, RECOVERY &amp; PREPAYMENT (BASE CASE)</t>
  </si>
  <si>
    <t xml:space="preserve">Recovery rate on defaulted balance</t>
  </si>
  <si>
    <t xml:space="preserve">base case</t>
  </si>
  <si>
    <t xml:space="preserve">Recovery lag (quarters)</t>
  </si>
  <si>
    <t xml:space="preserve">2 years after default</t>
  </si>
  <si>
    <t xml:space="preserve">Constant prepayment rate CPR (annual)</t>
  </si>
  <si>
    <t xml:space="preserve">Cumulative default term structure (B-rated, from origination)</t>
  </si>
  <si>
    <t xml:space="preserve">Loan year</t>
  </si>
  <si>
    <t xml:space="preserve">Cumulative default rate</t>
  </si>
  <si>
    <t xml:space="preserve">Marginal annual default (= diff)</t>
  </si>
  <si>
    <t xml:space="preserve">Marginal quarterly default (= annual / 4)</t>
  </si>
  <si>
    <t xml:space="preserve">Applied to outstanding balance; recoveries lagged 8q</t>
  </si>
  <si>
    <t xml:space="preserve">3.  LIABILITY STRUCTURE &amp; WATERFALL</t>
  </si>
  <si>
    <t xml:space="preserve">Senior initial LTV</t>
  </si>
  <si>
    <t xml:space="preserve">attachment</t>
  </si>
  <si>
    <t xml:space="preserve">Junior initial LTV</t>
  </si>
  <si>
    <t xml:space="preserve">Max senior LTV (= senior initial +5%)</t>
  </si>
  <si>
    <t xml:space="preserve">de-levering trigger</t>
  </si>
  <si>
    <t xml:space="preserve">Senior spread over 3M EURIBOR (bps)</t>
  </si>
  <si>
    <t xml:space="preserve">E+200bps</t>
  </si>
  <si>
    <t xml:space="preserve">Senior margin (decimal)</t>
  </si>
  <si>
    <t xml:space="preserve">Senior legal tenor (quarters)</t>
  </si>
  <si>
    <t xml:space="preserve">5 years</t>
  </si>
  <si>
    <t xml:space="preserve">Senior costs &amp; expenses (EUR / annum)</t>
  </si>
  <si>
    <t xml:space="preserve">Senior costs / quarter (EUR)</t>
  </si>
  <si>
    <t xml:space="preserve">Senior share of principal if &gt;=20 loans</t>
  </si>
  <si>
    <t xml:space="preserve">Senior share of principal if 10-19 loans</t>
  </si>
  <si>
    <t xml:space="preserve">Senior share of principal if &lt;10 loans</t>
  </si>
  <si>
    <t xml:space="preserve">4.  3-MONTH EURIBOR — SPOT &amp; FORWARD PATH</t>
  </si>
  <si>
    <t xml:space="preserve">EURIBOR spot (3M, current fixing)</t>
  </si>
  <si>
    <t xml:space="preserve">Src: euribor-rates.info ~07-Jul-2026; ECB depo 2.25% eff 17-Jun-26</t>
  </si>
  <si>
    <t xml:space="preserve">EURIBOR mode  (1 = flat at spot, 2 = forward path)</t>
  </si>
  <si>
    <t xml:space="preserve">switch to 2 to use the editable forward vector below</t>
  </si>
  <si>
    <t xml:space="preserve">Note: assets (E+500) &amp; senior (E+200) both float, so the EURIBOR level largely nets out of credit metrics.</t>
  </si>
  <si>
    <t xml:space="preserve">Quarterly rate vectors (columns = projection quarters)</t>
  </si>
  <si>
    <t xml:space="preserve">Quarter t</t>
  </si>
  <si>
    <t xml:space="preserve">Period (years)</t>
  </si>
  <si>
    <t xml:space="preserve">EURIBOR forward (editable)</t>
  </si>
  <si>
    <t xml:space="preserve">EURIBOR effective (used by model)</t>
  </si>
  <si>
    <t xml:space="preserve">Asset rate  (EURIBOR + asset margin)</t>
  </si>
  <si>
    <t xml:space="preserve">Senior rate (EURIBOR + senior margin)</t>
  </si>
  <si>
    <t xml:space="preserve">5.  SCENARIO SELECTOR &amp; STRESS MULTIPLIERS</t>
  </si>
  <si>
    <t xml:space="preserve">Active scenario (1-4)</t>
  </si>
  <si>
    <t xml:space="preserve">&lt;- dropdown drives the Asset &amp; Liability sheets</t>
  </si>
  <si>
    <t xml:space="preserve">Scenario</t>
  </si>
  <si>
    <t xml:space="preserve">Name</t>
  </si>
  <si>
    <t xml:space="preserve">Default mult.</t>
  </si>
  <si>
    <t xml:space="preserve">Recovery rate</t>
  </si>
  <si>
    <t xml:space="preserve">CPR (annual)</t>
  </si>
  <si>
    <t xml:space="preserve">Quarterly SMM</t>
  </si>
  <si>
    <t xml:space="preserve">Base</t>
  </si>
  <si>
    <t xml:space="preserve">Mild stress</t>
  </si>
  <si>
    <t xml:space="preserve">Moderate</t>
  </si>
  <si>
    <t xml:space="preserve">Severe</t>
  </si>
  <si>
    <t xml:space="preserve">ACTIVE default multiplier</t>
  </si>
  <si>
    <t xml:space="preserve">ACTIVE recovery rate</t>
  </si>
  <si>
    <t xml:space="preserve">ACTIVE CPR</t>
  </si>
  <si>
    <t xml:space="preserve">ACTIVE quarterly SMM</t>
  </si>
  <si>
    <t xml:space="preserve">6.  REFERENCE SINGLE-LOAN AMORTISATION SCHEDULE (per EUR 20m loan, no defaults/prepay)</t>
  </si>
  <si>
    <t xml:space="preserve">Loan age (q)</t>
  </si>
  <si>
    <t xml:space="preserve">Opening balance</t>
  </si>
  <si>
    <t xml:space="preserve">Scheduled amort</t>
  </si>
  <si>
    <t xml:space="preserve">Closing balance</t>
  </si>
  <si>
    <t xml:space="preserve">7.  LOAN-LEVEL TABLE (30 loans, staggered by origination month)</t>
  </si>
  <si>
    <t xml:space="preserve">Loan #</t>
  </si>
  <si>
    <t xml:space="preserve">Origination (months ago)</t>
  </si>
  <si>
    <t xml:space="preserve">Seasoning (q) = ROUND(m/3)</t>
  </si>
  <si>
    <t xml:space="preserve">Maturity quarter (28 - s)</t>
  </si>
  <si>
    <t xml:space="preserve">Current balance (EUR)</t>
  </si>
  <si>
    <t xml:space="preserve">Current pool value  V0 (EUR)</t>
  </si>
  <si>
    <t xml:space="preserve">Senior notional  = V0 x senior LTV (EUR)</t>
  </si>
  <si>
    <t xml:space="preserve">Junior notional  = V0 x junior LTV (EUR)</t>
  </si>
  <si>
    <t xml:space="preserve">Check: Senior + Junior = V0</t>
  </si>
  <si>
    <t xml:space="preserve">8.  ORIGINATION COHORTS  (loans grouped by identical seasoning — equivalent to loan-level since terms are identical)</t>
  </si>
  <si>
    <t xml:space="preserve">Cohort</t>
  </si>
  <si>
    <t xml:space="preserve">Seasoning s (q)</t>
  </si>
  <si>
    <t xml:space="preserve">Loan count n</t>
  </si>
  <si>
    <t xml:space="preserve">Maturity q (28-s)</t>
  </si>
  <si>
    <t xml:space="preserve">Initial balance/loan</t>
  </si>
  <si>
    <t xml:space="preserve">Cohort initial balance (EUR)</t>
  </si>
  <si>
    <t xml:space="preserve">Total (check vs V0)</t>
  </si>
  <si>
    <t xml:space="preserve">KEY MODELLING NOTES</t>
  </si>
  <si>
    <t xml:space="preserve">• Loan tenor 28q (7y): q1-4 interest-only, q5-27 amortise 3% of opening balance, final quarter repays residual (balloon).</t>
  </si>
  <si>
    <t xml:space="preserve">• Defaults: quarterly marginal rate (annual CDR difference / 4) applied to the outstanding performing balance each quarter.</t>
  </si>
  <si>
    <t xml:space="preserve">• Recoveries: recovery rate x defaulted balance, received 8 quarters (2y) later.</t>
  </si>
  <si>
    <t xml:space="preserve">• Prepayments: CPR converted to quarterly SMM = 1-(1-CPR)^(1/4), applied after scheduled amortisation.</t>
  </si>
  <si>
    <t xml:space="preserve">• "Loans remaining" for the principal waterfall = number of loans not yet matured (drives the 70/80/100% senior split).</t>
  </si>
  <si>
    <t xml:space="preserve">• Max-LTV interpretation: senior LTV cap = senior initial 60% + 5% = 65% (a de-levering trigger). [Ambiguity flagged in brief.]</t>
  </si>
  <si>
    <t xml:space="preserve">PART 1 — ASSET CASH FLOW MODELLING</t>
  </si>
  <si>
    <t xml:space="preserve">Portfolio of 30 corporate loans (EUR 20m each), 3M EURIBOR + 500bps, quarterly. Values in EUR millions unless noted.</t>
  </si>
  <si>
    <t xml:space="preserve">STEP 2-3  CONTRACTUAL (EXPECTED) CASH FLOWS — per loan, before defaults/prepayments</t>
  </si>
  <si>
    <t xml:space="preserve">Loan-level projection (EUR m). Header = projection quarter.</t>
  </si>
  <si>
    <t xml:space="preserve">Contractual principal due</t>
  </si>
  <si>
    <t xml:space="preserve">Contractual interest due</t>
  </si>
  <si>
    <t xml:space="preserve">STEP 3  CONTRACTUAL PORTFOLIO AGGREGATES</t>
  </si>
  <si>
    <t xml:space="preserve">Total principal due</t>
  </si>
  <si>
    <t xml:space="preserve">Total interest due</t>
  </si>
  <si>
    <t xml:space="preserve">Total revenue (P+I)</t>
  </si>
  <si>
    <t xml:space="preserve">Pool balance (EoP)</t>
  </si>
  <si>
    <t xml:space="preserve">Pool factor</t>
  </si>
  <si>
    <t xml:space="preserve">Average remaining life — contractual (yrs)</t>
  </si>
  <si>
    <t xml:space="preserve">STEP 4-6  INTEGRATED CASH FLOWS — defaults, recoveries &amp; prepayments (scenario-driven via Inputs dropdown)</t>
  </si>
  <si>
    <t xml:space="preserve">Cohort engine (EUR m)</t>
  </si>
  <si>
    <t xml:space="preserve">coh</t>
  </si>
  <si>
    <t xml:space="preserve">s</t>
  </si>
  <si>
    <t xml:space="preserve">n</t>
  </si>
  <si>
    <t xml:space="preserve">Defaults</t>
  </si>
  <si>
    <t xml:space="preserve">Prepayments</t>
  </si>
  <si>
    <t xml:space="preserve">Interest</t>
  </si>
  <si>
    <t xml:space="preserve">  Portfolio aggregate (net of defaults, recoveries &amp; prepayments)</t>
  </si>
  <si>
    <t xml:space="preserve">Pool opening balance</t>
  </si>
  <si>
    <t xml:space="preserve">Scheduled principal</t>
  </si>
  <si>
    <t xml:space="preserve">Recoveries</t>
  </si>
  <si>
    <t xml:space="preserve">Total principal collected</t>
  </si>
  <si>
    <t xml:space="preserve">Interest collected</t>
  </si>
  <si>
    <t xml:space="preserve">Net cash flow (P+I)</t>
  </si>
  <si>
    <t xml:space="preserve">Loans remaining</t>
  </si>
  <si>
    <t xml:space="preserve">Pool closing balance</t>
  </si>
  <si>
    <t xml:space="preserve">Cumulative defaults</t>
  </si>
  <si>
    <t xml:space="preserve">Cumulative recoveries</t>
  </si>
  <si>
    <t xml:space="preserve">PART 2 — ABS LIABILITY STRUCTURE &amp; WATERFALL</t>
  </si>
  <si>
    <t xml:space="preserve">Senior (E+200bps, 5y, 60% LTV) &amp; Junior (variable, residual, 40% LTV). Reflects the Inputs scenario selector. EUR millions.</t>
  </si>
  <si>
    <t xml:space="preserve">Waterfall header = projection quarter</t>
  </si>
  <si>
    <t xml:space="preserve">INTEREST &amp; PRINCIPAL WATERFALL</t>
  </si>
  <si>
    <t xml:space="preserve">Senior opening</t>
  </si>
  <si>
    <t xml:space="preserve">Senior rate</t>
  </si>
  <si>
    <t xml:space="preserve">Senior interest due</t>
  </si>
  <si>
    <t xml:space="preserve">Interest proceeds (IP)</t>
  </si>
  <si>
    <t xml:space="preserve">  IP: senior costs</t>
  </si>
  <si>
    <t xml:space="preserve">  IP remaining #1</t>
  </si>
  <si>
    <t xml:space="preserve">  IP: senior interest</t>
  </si>
  <si>
    <t xml:space="preserve">  IP remaining #2</t>
  </si>
  <si>
    <t xml:space="preserve">  Senior interest UNPAID</t>
  </si>
  <si>
    <t xml:space="preserve">Senior LTV (BoP)</t>
  </si>
  <si>
    <t xml:space="preserve">  LTV cure needed</t>
  </si>
  <si>
    <t xml:space="preserve">  IP: LTV cure (senior paydown)</t>
  </si>
  <si>
    <t xml:space="preserve">  IP remaining #3</t>
  </si>
  <si>
    <t xml:space="preserve">  Junior interest paid</t>
  </si>
  <si>
    <t xml:space="preserve">Principal proceeds (PP)</t>
  </si>
  <si>
    <t xml:space="preserve">  PP: unpaid costs</t>
  </si>
  <si>
    <t xml:space="preserve">  PP remaining #1</t>
  </si>
  <si>
    <t xml:space="preserve">  PP: unpaid senior int</t>
  </si>
  <si>
    <t xml:space="preserve">  PP remaining #2</t>
  </si>
  <si>
    <t xml:space="preserve">  PP: LTV cure</t>
  </si>
  <si>
    <t xml:space="preserve">  PP remaining #3</t>
  </si>
  <si>
    <t xml:space="preserve">  Senior % of principal</t>
  </si>
  <si>
    <t xml:space="preserve">  Senior available</t>
  </si>
  <si>
    <t xml:space="preserve">  PP: senior principal</t>
  </si>
  <si>
    <t xml:space="preserve">  PP remaining #4</t>
  </si>
  <si>
    <t xml:space="preserve">  Junior principal paid</t>
  </si>
  <si>
    <t xml:space="preserve">Senior closing</t>
  </si>
  <si>
    <t xml:space="preserve">Junior opening</t>
  </si>
  <si>
    <t xml:space="preserve">Junior closing</t>
  </si>
  <si>
    <t xml:space="preserve">Junior variable rate</t>
  </si>
  <si>
    <t xml:space="preserve">Senior principal repaid</t>
  </si>
  <si>
    <t xml:space="preserve">Senior cash flow</t>
  </si>
  <si>
    <t xml:space="preserve">Junior cash flow</t>
  </si>
  <si>
    <t xml:space="preserve">Senior LTV (EoP)</t>
  </si>
  <si>
    <t xml:space="preserve">TRANCHE METRICS &amp; RETURNS</t>
  </si>
  <si>
    <t xml:space="preserve">Senior WAL (yrs)</t>
  </si>
  <si>
    <t xml:space="preserve">Junior WAL (yrs)</t>
  </si>
  <si>
    <t xml:space="preserve">Asset WAL (yrs)</t>
  </si>
  <si>
    <t xml:space="preserve">Senior IRR (annualised)</t>
  </si>
  <si>
    <t xml:space="preserve">Junior IRR (annualised)</t>
  </si>
  <si>
    <t xml:space="preserve">Junior cash-on-cash (MOIC)</t>
  </si>
  <si>
    <t xml:space="preserve">Junior total interest (EUR)</t>
  </si>
  <si>
    <t xml:space="preserve">Junior residual unpaid @ end (EUR)</t>
  </si>
  <si>
    <t xml:space="preserve">Qtrs senior outstanding</t>
  </si>
  <si>
    <t xml:space="preserve">Lifetime gross defaults (EUR)</t>
  </si>
  <si>
    <t xml:space="preserve">Lifetime recoveries (EUR)</t>
  </si>
  <si>
    <t xml:space="preserve">Lifetime net loss (EUR)</t>
  </si>
  <si>
    <t xml:space="preserve">Lifetime net loss (% pool)</t>
  </si>
  <si>
    <t xml:space="preserve">Peak senior LTV</t>
  </si>
  <si>
    <t xml:space="preserve">PART 3 — SCENARIO ANALYSIS</t>
  </si>
  <si>
    <t xml:space="preserve">Base case + three stresses on default / recovery / prepayment. Each scenario is fully re-computed below; summary &amp; charts reference the blocks.</t>
  </si>
  <si>
    <t xml:space="preserve">SCENARIO SUMMARY</t>
  </si>
  <si>
    <t xml:space="preserve">Metric</t>
  </si>
  <si>
    <t xml:space="preserve">1. Base</t>
  </si>
  <si>
    <t xml:space="preserve">2. Mild stress</t>
  </si>
  <si>
    <t xml:space="preserve">3. Moderate</t>
  </si>
  <si>
    <t xml:space="preserve">4. Severe</t>
  </si>
  <si>
    <t xml:space="preserve">Interpretation: junior IRR falls sharply as defaults rise / recoveries fall; senior IRR stays ~E+200bps (protected).</t>
  </si>
  <si>
    <t xml:space="preserve">Chart data (base case, EUR m)</t>
  </si>
  <si>
    <t xml:space="preserve">Pool balance</t>
  </si>
  <si>
    <t xml:space="preserve">Senior balance</t>
  </si>
  <si>
    <t xml:space="preserve">Junior balance</t>
  </si>
  <si>
    <t xml:space="preserve">Interest proceeds</t>
  </si>
  <si>
    <t xml:space="preserve">Principal proceeds</t>
  </si>
  <si>
    <t xml:space="preserve">Max senior LTV</t>
  </si>
  <si>
    <t xml:space="preserve">SCENARIO 1: BASE   (default x1.00, recovery 60%, CPR 10%)</t>
  </si>
  <si>
    <t xml:space="preserve">Asset engine — Base</t>
  </si>
  <si>
    <t xml:space="preserve">Waterfall — Base</t>
  </si>
  <si>
    <t xml:space="preserve">Metrics — Base</t>
  </si>
  <si>
    <t xml:space="preserve">SCENARIO 2: MILD STRESS   (default x1.25, recovery 50%, CPR 8%)</t>
  </si>
  <si>
    <t xml:space="preserve">Asset engine — Mild stress</t>
  </si>
  <si>
    <t xml:space="preserve">Waterfall — Mild stress</t>
  </si>
  <si>
    <t xml:space="preserve">Metrics — Mild stress</t>
  </si>
  <si>
    <t xml:space="preserve">SCENARIO 3: MODERATE   (default x1.50, recovery 40%, CPR 12%)</t>
  </si>
  <si>
    <t xml:space="preserve">Asset engine — Moderate</t>
  </si>
  <si>
    <t xml:space="preserve">Waterfall — Moderate</t>
  </si>
  <si>
    <t xml:space="preserve">Metrics — Moderate</t>
  </si>
  <si>
    <t xml:space="preserve">SCENARIO 4: SEVERE   (default x2.00, recovery 30%, CPR 20%)</t>
  </si>
  <si>
    <t xml:space="preserve">Asset engine — Severe</t>
  </si>
  <si>
    <t xml:space="preserve">Waterfall — Severe</t>
  </si>
  <si>
    <t xml:space="preserve">Metrics — Severe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</si>
</sst>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0%;\(0.00%\);\-"/>
    <numFmt numFmtId="167" formatCode="0.0%;\(0.0%\);\-"/>
    <numFmt numFmtId="168" formatCode="0.00"/>
    <numFmt numFmtId="169" formatCode="0.00\x"/>
    <numFmt numFmtId="170" formatCode="#,##0.0,,;\(#,##0.0,,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4A7EBB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Paydown profile — pool vs tranches (base)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"Pool"</c:f>
              <c:strCache>
                <c:ptCount val="1"/>
                <c:pt idx="0">
                  <c:v>Pool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'Scenario Analysis'!$E$18:$AN$18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'Scenario Analysis'!$E$19:$AN$19</c:f>
              <c:numCache>
                <c:formatCode>#,##0;\(#,##0\);\-</c:formatCode>
                <c:ptCount val="36"/>
                <c:pt idx="0">
                  <c:v>536.784399269557</c:v>
                </c:pt>
                <c:pt idx="1">
                  <c:v>506.195899938778</c:v>
                </c:pt>
                <c:pt idx="2">
                  <c:v>475.787188136534</c:v>
                </c:pt>
                <c:pt idx="3">
                  <c:v>445.686210370844</c:v>
                </c:pt>
                <c:pt idx="4">
                  <c:v>417.080763669223</c:v>
                </c:pt>
                <c:pt idx="5">
                  <c:v>390.432478807512</c:v>
                </c:pt>
                <c:pt idx="6">
                  <c:v>365.639420544409</c:v>
                </c:pt>
                <c:pt idx="7">
                  <c:v>342.585276910871</c:v>
                </c:pt>
                <c:pt idx="8">
                  <c:v>321.113289033745</c:v>
                </c:pt>
                <c:pt idx="9">
                  <c:v>301.096590822734</c:v>
                </c:pt>
                <c:pt idx="10">
                  <c:v>282.451942232389</c:v>
                </c:pt>
                <c:pt idx="11">
                  <c:v>265.090732705127</c:v>
                </c:pt>
                <c:pt idx="12">
                  <c:v>248.884306582262</c:v>
                </c:pt>
                <c:pt idx="13">
                  <c:v>233.735541217402</c:v>
                </c:pt>
                <c:pt idx="14">
                  <c:v>219.586639324748</c:v>
                </c:pt>
                <c:pt idx="15">
                  <c:v>206.375706590773</c:v>
                </c:pt>
                <c:pt idx="16">
                  <c:v>194.013202076293</c:v>
                </c:pt>
                <c:pt idx="17">
                  <c:v>171.669329007857</c:v>
                </c:pt>
                <c:pt idx="18">
                  <c:v>145.875993360773</c:v>
                </c:pt>
                <c:pt idx="19">
                  <c:v>122.192401555031</c:v>
                </c:pt>
                <c:pt idx="20">
                  <c:v>100.475707746499</c:v>
                </c:pt>
                <c:pt idx="21">
                  <c:v>80.5816443560378</c:v>
                </c:pt>
                <c:pt idx="22">
                  <c:v>62.3822250854562</c:v>
                </c:pt>
                <c:pt idx="23">
                  <c:v>45.7578022280173</c:v>
                </c:pt>
                <c:pt idx="24">
                  <c:v>30.5525619020486</c:v>
                </c:pt>
                <c:pt idx="25">
                  <c:v>16.663396569404</c:v>
                </c:pt>
                <c:pt idx="26">
                  <c:v>3.99869639761629</c:v>
                </c:pt>
                <c:pt idx="27">
                  <c:v>2.25554686039686E-016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"Senior"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'Scenario Analysis'!$E$18:$AN$18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'Scenario Analysis'!$E$20:$AN$20</c:f>
              <c:numCache>
                <c:formatCode>#,##0;\(#,##0\);\-</c:formatCode>
                <c:ptCount val="36"/>
                <c:pt idx="0">
                  <c:v>322.760343421729</c:v>
                </c:pt>
                <c:pt idx="1">
                  <c:v>304.95706020328</c:v>
                </c:pt>
                <c:pt idx="2">
                  <c:v>287.096629796262</c:v>
                </c:pt>
                <c:pt idx="3">
                  <c:v>269.250957796296</c:v>
                </c:pt>
                <c:pt idx="4">
                  <c:v>252.188025841688</c:v>
                </c:pt>
                <c:pt idx="5">
                  <c:v>236.215285310205</c:v>
                </c:pt>
                <c:pt idx="6">
                  <c:v>221.256838179282</c:v>
                </c:pt>
                <c:pt idx="7">
                  <c:v>207.241544793043</c:v>
                </c:pt>
                <c:pt idx="8">
                  <c:v>191.855427980295</c:v>
                </c:pt>
                <c:pt idx="9">
                  <c:v>177.37225266229</c:v>
                </c:pt>
                <c:pt idx="10">
                  <c:v>163.76163605238</c:v>
                </c:pt>
                <c:pt idx="11">
                  <c:v>150.98166634856</c:v>
                </c:pt>
                <c:pt idx="12">
                  <c:v>139.023186693111</c:v>
                </c:pt>
                <c:pt idx="13">
                  <c:v>127.852341883172</c:v>
                </c:pt>
                <c:pt idx="14">
                  <c:v>117.430953137723</c:v>
                </c:pt>
                <c:pt idx="15">
                  <c:v>107.714480549879</c:v>
                </c:pt>
                <c:pt idx="16">
                  <c:v>98.6412118278441</c:v>
                </c:pt>
                <c:pt idx="17">
                  <c:v>82.6285480232657</c:v>
                </c:pt>
                <c:pt idx="18">
                  <c:v>64.2245989860612</c:v>
                </c:pt>
                <c:pt idx="19">
                  <c:v>47.3091702308545</c:v>
                </c:pt>
                <c:pt idx="20">
                  <c:v>31.774779557593</c:v>
                </c:pt>
                <c:pt idx="21">
                  <c:v>15.4804814704027</c:v>
                </c:pt>
                <c:pt idx="22">
                  <c:v>0.550289892536361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"Junior"</c:f>
              <c:strCache>
                <c:ptCount val="1"/>
                <c:pt idx="0">
                  <c:v>Junior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'Scenario Analysis'!$E$18:$AN$18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'Scenario Analysis'!$E$21:$AN$21</c:f>
              <c:numCache>
                <c:formatCode>#,##0;\(#,##0\);\-</c:formatCode>
                <c:ptCount val="36"/>
                <c:pt idx="0">
                  <c:v>219.37941437205</c:v>
                </c:pt>
                <c:pt idx="1">
                  <c:v>211.749435849857</c:v>
                </c:pt>
                <c:pt idx="2">
                  <c:v>204.094965675421</c:v>
                </c:pt>
                <c:pt idx="3">
                  <c:v>196.446820532578</c:v>
                </c:pt>
                <c:pt idx="4">
                  <c:v>189.134135409175</c:v>
                </c:pt>
                <c:pt idx="5">
                  <c:v>182.288675181397</c:v>
                </c:pt>
                <c:pt idx="6">
                  <c:v>175.877912125286</c:v>
                </c:pt>
                <c:pt idx="7">
                  <c:v>169.871357816899</c:v>
                </c:pt>
                <c:pt idx="8">
                  <c:v>163.277307754292</c:v>
                </c:pt>
                <c:pt idx="9">
                  <c:v>157.070232618004</c:v>
                </c:pt>
                <c:pt idx="10">
                  <c:v>151.237111213757</c:v>
                </c:pt>
                <c:pt idx="11">
                  <c:v>145.759981340691</c:v>
                </c:pt>
                <c:pt idx="12">
                  <c:v>140.634918631213</c:v>
                </c:pt>
                <c:pt idx="13">
                  <c:v>135.847413712668</c:v>
                </c:pt>
                <c:pt idx="14">
                  <c:v>131.381104250333</c:v>
                </c:pt>
                <c:pt idx="15">
                  <c:v>127.216901712685</c:v>
                </c:pt>
                <c:pt idx="16">
                  <c:v>123.32835797467</c:v>
                </c:pt>
                <c:pt idx="17">
                  <c:v>116.465787772708</c:v>
                </c:pt>
                <c:pt idx="18">
                  <c:v>108.578381042478</c:v>
                </c:pt>
                <c:pt idx="19">
                  <c:v>101.32891157596</c:v>
                </c:pt>
                <c:pt idx="20">
                  <c:v>94.6713155731341</c:v>
                </c:pt>
                <c:pt idx="21">
                  <c:v>90.5977410513366</c:v>
                </c:pt>
                <c:pt idx="22">
                  <c:v>86.86519315687</c:v>
                </c:pt>
                <c:pt idx="23">
                  <c:v>70.3419999235128</c:v>
                </c:pt>
                <c:pt idx="24">
                  <c:v>54.6952670664276</c:v>
                </c:pt>
                <c:pt idx="25">
                  <c:v>40.3692017059379</c:v>
                </c:pt>
                <c:pt idx="26">
                  <c:v>27.2968268972918</c:v>
                </c:pt>
                <c:pt idx="27">
                  <c:v>22.9293831514878</c:v>
                </c:pt>
                <c:pt idx="28">
                  <c:v>22.6541775204636</c:v>
                </c:pt>
                <c:pt idx="29">
                  <c:v>22.4401152563555</c:v>
                </c:pt>
                <c:pt idx="30">
                  <c:v>22.2820228664226</c:v>
                </c:pt>
                <c:pt idx="31">
                  <c:v>22.1750903656359</c:v>
                </c:pt>
                <c:pt idx="32">
                  <c:v>22.1089489435894</c:v>
                </c:pt>
                <c:pt idx="33">
                  <c:v>22.0772473908813</c:v>
                </c:pt>
                <c:pt idx="34">
                  <c:v>22.0770047976516</c:v>
                </c:pt>
                <c:pt idx="35">
                  <c:v>22.0770047976516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846288"/>
        <c:axId val="86991490"/>
      </c:lineChart>
      <c:catAx>
        <c:axId val="428462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91490"/>
        <c:crosses val="autoZero"/>
        <c:auto val="1"/>
        <c:lblAlgn val="ctr"/>
        <c:lblOffset val="100"/>
        <c:noMultiLvlLbl val="0"/>
      </c:catAx>
      <c:valAx>
        <c:axId val="86991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46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Senior LTV vs Max LTV (base)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"Senior LTV"</c:f>
              <c:strCache>
                <c:ptCount val="1"/>
                <c:pt idx="0">
                  <c:v>Senior LTV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'Scenario Analysis'!$E$18:$AN$18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'Scenario Analysis'!$E$24:$AN$24</c:f>
              <c:numCache>
                <c:formatCode>0.0%;\(0.0%\);\-</c:formatCode>
                <c:ptCount val="36"/>
                <c:pt idx="0">
                  <c:v>0.60128488059812</c:v>
                </c:pt>
                <c:pt idx="1">
                  <c:v>0.602448696720308</c:v>
                </c:pt>
                <c:pt idx="2">
                  <c:v>0.603413956816919</c:v>
                </c:pt>
                <c:pt idx="3">
                  <c:v>0.604126741036612</c:v>
                </c:pt>
                <c:pt idx="4">
                  <c:v>0.604650340675249</c:v>
                </c:pt>
                <c:pt idx="5">
                  <c:v>0.605009311806415</c:v>
                </c:pt>
                <c:pt idx="6">
                  <c:v>0.605123041300763</c:v>
                </c:pt>
                <c:pt idx="7">
                  <c:v>0.604934183575439</c:v>
                </c:pt>
                <c:pt idx="8">
                  <c:v>0.597469598837228</c:v>
                </c:pt>
                <c:pt idx="9">
                  <c:v>0.589087548874689</c:v>
                </c:pt>
                <c:pt idx="10">
                  <c:v>0.579785838107794</c:v>
                </c:pt>
                <c:pt idx="11">
                  <c:v>0.569547131308072</c:v>
                </c:pt>
                <c:pt idx="12">
                  <c:v>0.558585587826773</c:v>
                </c:pt>
                <c:pt idx="13">
                  <c:v>0.546995725242546</c:v>
                </c:pt>
                <c:pt idx="14">
                  <c:v>0.534781867871539</c:v>
                </c:pt>
                <c:pt idx="15">
                  <c:v>0.521933915232904</c:v>
                </c:pt>
                <c:pt idx="16">
                  <c:v>0.508425255457898</c:v>
                </c:pt>
                <c:pt idx="17">
                  <c:v>0.481323882960386</c:v>
                </c:pt>
                <c:pt idx="18">
                  <c:v>0.44026846026148</c:v>
                </c:pt>
                <c:pt idx="19">
                  <c:v>0.387169493592023</c:v>
                </c:pt>
                <c:pt idx="20">
                  <c:v>0.316243401218541</c:v>
                </c:pt>
                <c:pt idx="21">
                  <c:v>0.192109277418125</c:v>
                </c:pt>
                <c:pt idx="22">
                  <c:v>0.00882126105284846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"Max LTV"</c:f>
              <c:strCache>
                <c:ptCount val="1"/>
                <c:pt idx="0">
                  <c:v>Max LTV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'Scenario Analysis'!$E$18:$AN$18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'Scenario Analysis'!$E$25:$AN$25</c:f>
              <c:numCache>
                <c:formatCode>0.0%;\(0.0%\);\-</c:formatCode>
                <c:ptCount val="36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  <c:pt idx="24">
                  <c:v>0.65</c:v>
                </c:pt>
                <c:pt idx="25">
                  <c:v>0.65</c:v>
                </c:pt>
                <c:pt idx="26">
                  <c:v>0.65</c:v>
                </c:pt>
                <c:pt idx="27">
                  <c:v>0.65</c:v>
                </c:pt>
                <c:pt idx="28">
                  <c:v>0.65</c:v>
                </c:pt>
                <c:pt idx="29">
                  <c:v>0.65</c:v>
                </c:pt>
                <c:pt idx="30">
                  <c:v>0.65</c:v>
                </c:pt>
                <c:pt idx="31">
                  <c:v>0.65</c:v>
                </c:pt>
                <c:pt idx="32">
                  <c:v>0.65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752008"/>
        <c:axId val="24684446"/>
      </c:lineChart>
      <c:catAx>
        <c:axId val="52752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84446"/>
        <c:crosses val="autoZero"/>
        <c:auto val="1"/>
        <c:lblAlgn val="ctr"/>
        <c:lblOffset val="100"/>
        <c:noMultiLvlLbl val="0"/>
      </c:catAx>
      <c:valAx>
        <c:axId val="24684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LTV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520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Interest vs principal proceeds (base)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"Interest"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'Scenario Analysis'!$E$18:$AN$18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'Scenario Analysis'!$E$22:$AN$22</c:f>
              <c:numCache>
                <c:formatCode>#,##0;\(#,##0\);\-</c:formatCode>
                <c:ptCount val="36"/>
                <c:pt idx="0">
                  <c:v>10.2905772613315</c:v>
                </c:pt>
                <c:pt idx="1">
                  <c:v>9.73412995035017</c:v>
                </c:pt>
                <c:pt idx="2">
                  <c:v>9.17884124442638</c:v>
                </c:pt>
                <c:pt idx="3">
                  <c:v>8.62730630377498</c:v>
                </c:pt>
                <c:pt idx="4">
                  <c:v>8.08306633148184</c:v>
                </c:pt>
                <c:pt idx="5">
                  <c:v>7.56661994286761</c:v>
                </c:pt>
                <c:pt idx="6">
                  <c:v>7.08612802869272</c:v>
                </c:pt>
                <c:pt idx="7">
                  <c:v>6.63933645152665</c:v>
                </c:pt>
                <c:pt idx="8">
                  <c:v>6.22320720894852</c:v>
                </c:pt>
                <c:pt idx="9">
                  <c:v>5.83528162361711</c:v>
                </c:pt>
                <c:pt idx="10">
                  <c:v>5.47394649524267</c:v>
                </c:pt>
                <c:pt idx="11">
                  <c:v>5.13748454248067</c:v>
                </c:pt>
                <c:pt idx="12">
                  <c:v>4.82340240597803</c:v>
                </c:pt>
                <c:pt idx="13">
                  <c:v>4.52981783926968</c:v>
                </c:pt>
                <c:pt idx="14">
                  <c:v>4.25561072525698</c:v>
                </c:pt>
                <c:pt idx="15">
                  <c:v>3.99958154603989</c:v>
                </c:pt>
                <c:pt idx="16">
                  <c:v>3.75999498938672</c:v>
                </c:pt>
                <c:pt idx="17">
                  <c:v>3.53552932963916</c:v>
                </c:pt>
                <c:pt idx="18">
                  <c:v>3.12890491290453</c:v>
                </c:pt>
                <c:pt idx="19">
                  <c:v>2.65927584703576</c:v>
                </c:pt>
                <c:pt idx="20">
                  <c:v>2.22780013896586</c:v>
                </c:pt>
                <c:pt idx="21">
                  <c:v>1.8320333670787</c:v>
                </c:pt>
                <c:pt idx="22">
                  <c:v>1.46948108039293</c:v>
                </c:pt>
                <c:pt idx="23">
                  <c:v>1.13781094283236</c:v>
                </c:pt>
                <c:pt idx="24">
                  <c:v>0.834662568065546</c:v>
                </c:pt>
                <c:pt idx="25">
                  <c:v>0.5573056077097</c:v>
                </c:pt>
                <c:pt idx="26">
                  <c:v>0.303955013049062</c:v>
                </c:pt>
                <c:pt idx="27">
                  <c:v>0.0729397401456769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"Principal"</c:f>
              <c:strCache>
                <c:ptCount val="1"/>
                <c:pt idx="0">
                  <c:v>Principal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'Scenario Analysis'!$E$18:$AN$18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'Scenario Analysis'!$E$23:$AN$23</c:f>
              <c:numCache>
                <c:formatCode>#,##0;\(#,##0\);\-</c:formatCode>
                <c:ptCount val="36"/>
                <c:pt idx="0">
                  <c:v>25.2351125453807</c:v>
                </c:pt>
                <c:pt idx="1">
                  <c:v>25.4332617406418</c:v>
                </c:pt>
                <c:pt idx="2">
                  <c:v>25.5149005814547</c:v>
                </c:pt>
                <c:pt idx="3">
                  <c:v>25.493817142809</c:v>
                </c:pt>
                <c:pt idx="4">
                  <c:v>24.3756170780105</c:v>
                </c:pt>
                <c:pt idx="5">
                  <c:v>22.8182007592614</c:v>
                </c:pt>
                <c:pt idx="6">
                  <c:v>21.3692101870338</c:v>
                </c:pt>
                <c:pt idx="7">
                  <c:v>20.0218476946263</c:v>
                </c:pt>
                <c:pt idx="8">
                  <c:v>21.9801668753552</c:v>
                </c:pt>
                <c:pt idx="9">
                  <c:v>20.6902504542928</c:v>
                </c:pt>
                <c:pt idx="10">
                  <c:v>19.4437380141567</c:v>
                </c:pt>
                <c:pt idx="11">
                  <c:v>18.2570995768854</c:v>
                </c:pt>
                <c:pt idx="12">
                  <c:v>17.0835423649266</c:v>
                </c:pt>
                <c:pt idx="13">
                  <c:v>15.9583497284853</c:v>
                </c:pt>
                <c:pt idx="14">
                  <c:v>14.8876982077846</c:v>
                </c:pt>
                <c:pt idx="15">
                  <c:v>13.8806751254909</c:v>
                </c:pt>
                <c:pt idx="16">
                  <c:v>12.9618124600499</c:v>
                </c:pt>
                <c:pt idx="17">
                  <c:v>22.8752340065405</c:v>
                </c:pt>
                <c:pt idx="18">
                  <c:v>26.291355767435</c:v>
                </c:pt>
                <c:pt idx="19">
                  <c:v>24.1648982217239</c:v>
                </c:pt>
                <c:pt idx="20">
                  <c:v>22.1919866760878</c:v>
                </c:pt>
                <c:pt idx="21">
                  <c:v>20.3678726089879</c:v>
                </c:pt>
                <c:pt idx="22">
                  <c:v>18.662739472333</c:v>
                </c:pt>
                <c:pt idx="23">
                  <c:v>17.0734831258935</c:v>
                </c:pt>
                <c:pt idx="24">
                  <c:v>15.6467328570852</c:v>
                </c:pt>
                <c:pt idx="25">
                  <c:v>14.3260653604897</c:v>
                </c:pt>
                <c:pt idx="26">
                  <c:v>13.0723748086461</c:v>
                </c:pt>
                <c:pt idx="27">
                  <c:v>4.36744374580403</c:v>
                </c:pt>
                <c:pt idx="28">
                  <c:v>0.312705631024147</c:v>
                </c:pt>
                <c:pt idx="29">
                  <c:v>0.251562264108125</c:v>
                </c:pt>
                <c:pt idx="30">
                  <c:v>0.195592389932903</c:v>
                </c:pt>
                <c:pt idx="31">
                  <c:v>0.144432500786706</c:v>
                </c:pt>
                <c:pt idx="32">
                  <c:v>0.103641422046459</c:v>
                </c:pt>
                <c:pt idx="33">
                  <c:v>0.0692015527081401</c:v>
                </c:pt>
                <c:pt idx="34">
                  <c:v>0.0377425932297002</c:v>
                </c:pt>
                <c:pt idx="35">
                  <c:v>0.0090570473406009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699024"/>
        <c:axId val="20535685"/>
      </c:lineChart>
      <c:catAx>
        <c:axId val="906990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35685"/>
        <c:crosses val="autoZero"/>
        <c:auto val="1"/>
        <c:lblAlgn val="ctr"/>
        <c:lblOffset val="100"/>
        <c:noMultiLvlLbl val="0"/>
      </c:catAx>
      <c:valAx>
        <c:axId val="20535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EUR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99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Junior IRR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Analysis'!$C$5:$F$5</c:f>
              <c:strCache>
                <c:ptCount val="4"/>
                <c:pt idx="0">
                  <c:v>1. Base</c:v>
                </c:pt>
                <c:pt idx="1">
                  <c:v>2. Mild stress</c:v>
                </c:pt>
                <c:pt idx="2">
                  <c:v>3. Moderate</c:v>
                </c:pt>
                <c:pt idx="3">
                  <c:v>4. Severe</c:v>
                </c:pt>
              </c:strCache>
            </c:strRef>
          </c:cat>
          <c:val>
            <c:numRef>
              <c:f>'Scenario Analysis'!$C$10:$F$10</c:f>
              <c:numCache>
                <c:formatCode>0.00%;\(0.00%\);\-</c:formatCode>
                <c:ptCount val="4"/>
                <c:pt idx="0">
                  <c:v>0.0765693624107737</c:v>
                </c:pt>
                <c:pt idx="1">
                  <c:v>0.0613544156668537</c:v>
                </c:pt>
                <c:pt idx="2">
                  <c:v>0.0401575892955539</c:v>
                </c:pt>
                <c:pt idx="3">
                  <c:v>-0.000703287111852524</c:v>
                </c:pt>
              </c:numCache>
            </c:numRef>
          </c:val>
        </c:ser>
        <c:gapWidth val="150"/>
        <c:overlap val="0"/>
        <c:axId val="83735462"/>
        <c:axId val="79117672"/>
      </c:barChart>
      <c:catAx>
        <c:axId val="83735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17672"/>
        <c:crosses val="autoZero"/>
        <c:auto val="1"/>
        <c:lblAlgn val="ctr"/>
        <c:lblOffset val="100"/>
        <c:noMultiLvlLbl val="0"/>
      </c:catAx>
      <c:valAx>
        <c:axId val="79117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Annualised IRR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;\(0.0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35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160560</xdr:rowOff>
    </xdr:from>
    <xdr:to>
      <xdr:col>5</xdr:col>
      <xdr:colOff>374400</xdr:colOff>
      <xdr:row>40</xdr:row>
      <xdr:rowOff>2520</xdr:rowOff>
    </xdr:to>
    <xdr:graphicFrame>
      <xdr:nvGraphicFramePr>
        <xdr:cNvPr id="0" name="Chart 1"/>
        <xdr:cNvGraphicFramePr/>
      </xdr:nvGraphicFramePr>
      <xdr:xfrm>
        <a:off x="0" y="4952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25</xdr:row>
      <xdr:rowOff>160560</xdr:rowOff>
    </xdr:from>
    <xdr:to>
      <xdr:col>17</xdr:col>
      <xdr:colOff>157320</xdr:colOff>
      <xdr:row>40</xdr:row>
      <xdr:rowOff>2520</xdr:rowOff>
    </xdr:to>
    <xdr:graphicFrame>
      <xdr:nvGraphicFramePr>
        <xdr:cNvPr id="1" name="Chart 2"/>
        <xdr:cNvGraphicFramePr/>
      </xdr:nvGraphicFramePr>
      <xdr:xfrm>
        <a:off x="7646760" y="4952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160560</xdr:rowOff>
    </xdr:from>
    <xdr:to>
      <xdr:col>5</xdr:col>
      <xdr:colOff>374400</xdr:colOff>
      <xdr:row>56</xdr:row>
      <xdr:rowOff>2880</xdr:rowOff>
    </xdr:to>
    <xdr:graphicFrame>
      <xdr:nvGraphicFramePr>
        <xdr:cNvPr id="2" name="Chart 3"/>
        <xdr:cNvGraphicFramePr/>
      </xdr:nvGraphicFramePr>
      <xdr:xfrm>
        <a:off x="0" y="8001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41</xdr:row>
      <xdr:rowOff>160560</xdr:rowOff>
    </xdr:from>
    <xdr:to>
      <xdr:col>17</xdr:col>
      <xdr:colOff>157320</xdr:colOff>
      <xdr:row>56</xdr:row>
      <xdr:rowOff>2880</xdr:rowOff>
    </xdr:to>
    <xdr:graphicFrame>
      <xdr:nvGraphicFramePr>
        <xdr:cNvPr id="3" name="Chart 4"/>
        <xdr:cNvGraphicFramePr/>
      </xdr:nvGraphicFramePr>
      <xdr:xfrm>
        <a:off x="7646760" y="8001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40" min="5" style="0" width="9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false" ht="15" hidden="false" customHeight="false" outlineLevel="0" collapsed="false">
      <c r="B5" s="5" t="s">
        <v>3</v>
      </c>
      <c r="C5" s="6" t="n">
        <v>30</v>
      </c>
    </row>
    <row r="6" customFormat="false" ht="15" hidden="false" customHeight="false" outlineLevel="0" collapsed="false">
      <c r="B6" s="5" t="s">
        <v>4</v>
      </c>
      <c r="C6" s="6" t="n">
        <v>20000000</v>
      </c>
      <c r="D6" s="7" t="s">
        <v>5</v>
      </c>
    </row>
    <row r="7" customFormat="false" ht="15" hidden="false" customHeight="false" outlineLevel="0" collapsed="false">
      <c r="B7" s="5" t="s">
        <v>6</v>
      </c>
      <c r="C7" s="8" t="n">
        <f aca="false">$C$5*$C$6</f>
        <v>600000000</v>
      </c>
    </row>
    <row r="8" customFormat="false" ht="15" hidden="false" customHeight="false" outlineLevel="0" collapsed="false">
      <c r="B8" s="5" t="s">
        <v>7</v>
      </c>
      <c r="C8" s="9" t="s">
        <v>8</v>
      </c>
    </row>
    <row r="9" customFormat="false" ht="15" hidden="false" customHeight="false" outlineLevel="0" collapsed="false">
      <c r="B9" s="5" t="s">
        <v>9</v>
      </c>
      <c r="C9" s="6" t="n">
        <v>500</v>
      </c>
      <c r="D9" s="7" t="s">
        <v>10</v>
      </c>
    </row>
    <row r="10" customFormat="false" ht="15" hidden="false" customHeight="false" outlineLevel="0" collapsed="false">
      <c r="B10" s="5" t="s">
        <v>11</v>
      </c>
      <c r="C10" s="10" t="n">
        <f aca="false">$C$9/10000</f>
        <v>0.05</v>
      </c>
    </row>
    <row r="11" customFormat="false" ht="15" hidden="false" customHeight="false" outlineLevel="0" collapsed="false">
      <c r="B11" s="5" t="s">
        <v>12</v>
      </c>
      <c r="C11" s="6" t="n">
        <v>4</v>
      </c>
      <c r="D11" s="7" t="s">
        <v>13</v>
      </c>
    </row>
    <row r="12" customFormat="false" ht="15" hidden="false" customHeight="false" outlineLevel="0" collapsed="false">
      <c r="B12" s="5" t="s">
        <v>14</v>
      </c>
      <c r="C12" s="11" t="n">
        <v>0.03</v>
      </c>
      <c r="D12" s="7" t="s">
        <v>15</v>
      </c>
    </row>
    <row r="13" customFormat="false" ht="15" hidden="false" customHeight="false" outlineLevel="0" collapsed="false">
      <c r="B13" s="5" t="s">
        <v>16</v>
      </c>
      <c r="C13" s="6" t="n">
        <v>28</v>
      </c>
      <c r="D13" s="7" t="s">
        <v>17</v>
      </c>
    </row>
    <row r="14" customFormat="false" ht="15" hidden="false" customHeight="false" outlineLevel="0" collapsed="false">
      <c r="B14" s="5" t="s">
        <v>18</v>
      </c>
      <c r="C14" s="6" t="n">
        <v>30</v>
      </c>
      <c r="D14" s="7" t="s">
        <v>19</v>
      </c>
    </row>
    <row r="15" customFormat="false" ht="15" hidden="false" customHeight="false" outlineLevel="0" collapsed="false">
      <c r="B15" s="5" t="s">
        <v>20</v>
      </c>
      <c r="C15" s="9" t="s">
        <v>21</v>
      </c>
    </row>
    <row r="17" customFormat="false" ht="15" hidden="false" customHeight="false" outlineLevel="0" collapsed="false">
      <c r="A17" s="3" t="s">
        <v>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customFormat="false" ht="15" hidden="false" customHeight="false" outlineLevel="0" collapsed="false">
      <c r="B18" s="5" t="s">
        <v>23</v>
      </c>
      <c r="C18" s="11" t="n">
        <v>0.6</v>
      </c>
      <c r="D18" s="7" t="s">
        <v>24</v>
      </c>
    </row>
    <row r="19" customFormat="false" ht="15" hidden="false" customHeight="false" outlineLevel="0" collapsed="false">
      <c r="B19" s="5" t="s">
        <v>25</v>
      </c>
      <c r="C19" s="6" t="n">
        <v>8</v>
      </c>
      <c r="D19" s="7" t="s">
        <v>26</v>
      </c>
    </row>
    <row r="20" customFormat="false" ht="15" hidden="false" customHeight="false" outlineLevel="0" collapsed="false">
      <c r="B20" s="5" t="s">
        <v>27</v>
      </c>
      <c r="C20" s="11" t="n">
        <v>0.1</v>
      </c>
      <c r="D20" s="7" t="s">
        <v>24</v>
      </c>
    </row>
    <row r="22" customFormat="false" ht="15" hidden="false" customHeight="false" outlineLevel="0" collapsed="false">
      <c r="A22" s="12" t="s">
        <v>28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customFormat="false" ht="15" hidden="false" customHeight="false" outlineLevel="0" collapsed="false">
      <c r="B23" s="14" t="s">
        <v>29</v>
      </c>
      <c r="C23" s="15" t="n">
        <v>1</v>
      </c>
      <c r="D23" s="15" t="n">
        <v>2</v>
      </c>
      <c r="E23" s="15" t="n">
        <v>3</v>
      </c>
      <c r="F23" s="15" t="n">
        <v>4</v>
      </c>
      <c r="G23" s="15" t="n">
        <v>5</v>
      </c>
      <c r="H23" s="15" t="n">
        <v>6</v>
      </c>
      <c r="I23" s="15" t="n">
        <v>7</v>
      </c>
    </row>
    <row r="24" customFormat="false" ht="15" hidden="false" customHeight="false" outlineLevel="0" collapsed="false">
      <c r="B24" s="5" t="s">
        <v>30</v>
      </c>
      <c r="C24" s="16" t="n">
        <v>0.0318</v>
      </c>
      <c r="D24" s="16" t="n">
        <v>0.0746</v>
      </c>
      <c r="E24" s="16" t="n">
        <v>0.1126</v>
      </c>
      <c r="F24" s="16" t="n">
        <v>0.143</v>
      </c>
      <c r="G24" s="16" t="n">
        <v>0.1667</v>
      </c>
      <c r="H24" s="16" t="n">
        <v>0.1859</v>
      </c>
      <c r="I24" s="16" t="n">
        <v>0.201</v>
      </c>
    </row>
    <row r="25" customFormat="false" ht="15" hidden="false" customHeight="false" outlineLevel="0" collapsed="false">
      <c r="B25" s="5" t="s">
        <v>31</v>
      </c>
      <c r="C25" s="17" t="n">
        <f aca="false">C24</f>
        <v>0.0318</v>
      </c>
      <c r="D25" s="17" t="n">
        <f aca="false">D24-C24</f>
        <v>0.0428</v>
      </c>
      <c r="E25" s="17" t="n">
        <f aca="false">E24-D24</f>
        <v>0.038</v>
      </c>
      <c r="F25" s="17" t="n">
        <f aca="false">F24-E24</f>
        <v>0.0304</v>
      </c>
      <c r="G25" s="17" t="n">
        <f aca="false">G24-F24</f>
        <v>0.0237</v>
      </c>
      <c r="H25" s="17" t="n">
        <f aca="false">H24-G24</f>
        <v>0.0192</v>
      </c>
      <c r="I25" s="17" t="n">
        <f aca="false">I24-H24</f>
        <v>0.0151</v>
      </c>
    </row>
    <row r="26" customFormat="false" ht="15" hidden="false" customHeight="false" outlineLevel="0" collapsed="false">
      <c r="B26" s="5" t="s">
        <v>32</v>
      </c>
      <c r="C26" s="17" t="n">
        <f aca="false">C25/4</f>
        <v>0.00795</v>
      </c>
      <c r="D26" s="17" t="n">
        <f aca="false">D25/4</f>
        <v>0.0107</v>
      </c>
      <c r="E26" s="17" t="n">
        <f aca="false">E25/4</f>
        <v>0.0095</v>
      </c>
      <c r="F26" s="17" t="n">
        <f aca="false">F25/4</f>
        <v>0.0076</v>
      </c>
      <c r="G26" s="17" t="n">
        <f aca="false">G25/4</f>
        <v>0.005925</v>
      </c>
      <c r="H26" s="17" t="n">
        <f aca="false">H25/4</f>
        <v>0.00480000000000001</v>
      </c>
      <c r="I26" s="17" t="n">
        <f aca="false">I25/4</f>
        <v>0.003775</v>
      </c>
      <c r="K26" s="7" t="s">
        <v>33</v>
      </c>
    </row>
    <row r="28" customFormat="false" ht="15" hidden="false" customHeight="false" outlineLevel="0" collapsed="false">
      <c r="A28" s="3" t="s">
        <v>34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customFormat="false" ht="15" hidden="false" customHeight="false" outlineLevel="0" collapsed="false">
      <c r="B29" s="5" t="s">
        <v>35</v>
      </c>
      <c r="C29" s="11" t="n">
        <v>0.6</v>
      </c>
      <c r="D29" s="7" t="s">
        <v>36</v>
      </c>
    </row>
    <row r="30" customFormat="false" ht="15" hidden="false" customHeight="false" outlineLevel="0" collapsed="false">
      <c r="B30" s="5" t="s">
        <v>37</v>
      </c>
      <c r="C30" s="11" t="n">
        <v>0.4</v>
      </c>
    </row>
    <row r="31" customFormat="false" ht="15" hidden="false" customHeight="false" outlineLevel="0" collapsed="false">
      <c r="B31" s="5" t="s">
        <v>38</v>
      </c>
      <c r="C31" s="18" t="n">
        <f aca="false">$C$29+0.05</f>
        <v>0.65</v>
      </c>
      <c r="D31" s="7" t="s">
        <v>39</v>
      </c>
    </row>
    <row r="32" customFormat="false" ht="15" hidden="false" customHeight="false" outlineLevel="0" collapsed="false">
      <c r="B32" s="5" t="s">
        <v>40</v>
      </c>
      <c r="C32" s="6" t="n">
        <v>200</v>
      </c>
      <c r="D32" s="7" t="s">
        <v>41</v>
      </c>
    </row>
    <row r="33" customFormat="false" ht="15" hidden="false" customHeight="false" outlineLevel="0" collapsed="false">
      <c r="B33" s="5" t="s">
        <v>42</v>
      </c>
      <c r="C33" s="10" t="n">
        <f aca="false">$C$32/10000</f>
        <v>0.02</v>
      </c>
    </row>
    <row r="34" customFormat="false" ht="15" hidden="false" customHeight="false" outlineLevel="0" collapsed="false">
      <c r="B34" s="5" t="s">
        <v>43</v>
      </c>
      <c r="C34" s="6" t="n">
        <v>20</v>
      </c>
      <c r="D34" s="7" t="s">
        <v>44</v>
      </c>
    </row>
    <row r="35" customFormat="false" ht="15" hidden="false" customHeight="false" outlineLevel="0" collapsed="false">
      <c r="B35" s="5" t="s">
        <v>45</v>
      </c>
      <c r="C35" s="6" t="n">
        <v>150000</v>
      </c>
    </row>
    <row r="36" customFormat="false" ht="15" hidden="false" customHeight="false" outlineLevel="0" collapsed="false">
      <c r="B36" s="5" t="s">
        <v>46</v>
      </c>
      <c r="C36" s="8" t="n">
        <f aca="false">$C$35/4</f>
        <v>37500</v>
      </c>
    </row>
    <row r="37" customFormat="false" ht="15" hidden="false" customHeight="false" outlineLevel="0" collapsed="false">
      <c r="B37" s="5" t="s">
        <v>47</v>
      </c>
      <c r="C37" s="11" t="n">
        <v>0.7</v>
      </c>
    </row>
    <row r="38" customFormat="false" ht="15" hidden="false" customHeight="false" outlineLevel="0" collapsed="false">
      <c r="B38" s="5" t="s">
        <v>48</v>
      </c>
      <c r="C38" s="11" t="n">
        <v>0.8</v>
      </c>
    </row>
    <row r="39" customFormat="false" ht="15" hidden="false" customHeight="false" outlineLevel="0" collapsed="false">
      <c r="B39" s="5" t="s">
        <v>49</v>
      </c>
      <c r="C39" s="11" t="n">
        <v>1</v>
      </c>
    </row>
    <row r="41" customFormat="false" ht="15" hidden="false" customHeight="false" outlineLevel="0" collapsed="false">
      <c r="A41" s="3" t="s">
        <v>50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customFormat="false" ht="15" hidden="false" customHeight="false" outlineLevel="0" collapsed="false">
      <c r="B42" s="5" t="s">
        <v>51</v>
      </c>
      <c r="C42" s="19" t="n">
        <v>0.02324</v>
      </c>
      <c r="D42" s="7" t="s">
        <v>52</v>
      </c>
    </row>
    <row r="43" customFormat="false" ht="15" hidden="false" customHeight="false" outlineLevel="0" collapsed="false">
      <c r="B43" s="5" t="s">
        <v>53</v>
      </c>
      <c r="C43" s="6" t="n">
        <v>1</v>
      </c>
      <c r="D43" s="7" t="s">
        <v>54</v>
      </c>
    </row>
    <row r="44" customFormat="false" ht="15" hidden="false" customHeight="false" outlineLevel="0" collapsed="false">
      <c r="B44" s="2" t="s">
        <v>55</v>
      </c>
    </row>
    <row r="46" customFormat="false" ht="15" hidden="false" customHeight="false" outlineLevel="0" collapsed="false">
      <c r="A46" s="12" t="s">
        <v>56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customFormat="false" ht="15" hidden="false" customHeight="false" outlineLevel="0" collapsed="false">
      <c r="B47" s="14" t="s">
        <v>57</v>
      </c>
      <c r="E47" s="15" t="n">
        <v>1</v>
      </c>
      <c r="F47" s="15" t="n">
        <v>2</v>
      </c>
      <c r="G47" s="15" t="n">
        <v>3</v>
      </c>
      <c r="H47" s="15" t="n">
        <v>4</v>
      </c>
      <c r="I47" s="15" t="n">
        <v>5</v>
      </c>
      <c r="J47" s="15" t="n">
        <v>6</v>
      </c>
      <c r="K47" s="15" t="n">
        <v>7</v>
      </c>
      <c r="L47" s="15" t="n">
        <v>8</v>
      </c>
      <c r="M47" s="15" t="n">
        <v>9</v>
      </c>
      <c r="N47" s="15" t="n">
        <v>10</v>
      </c>
      <c r="O47" s="15" t="n">
        <v>11</v>
      </c>
      <c r="P47" s="15" t="n">
        <v>12</v>
      </c>
      <c r="Q47" s="15" t="n">
        <v>13</v>
      </c>
      <c r="R47" s="15" t="n">
        <v>14</v>
      </c>
      <c r="S47" s="15" t="n">
        <v>15</v>
      </c>
      <c r="T47" s="15" t="n">
        <v>16</v>
      </c>
      <c r="U47" s="15" t="n">
        <v>17</v>
      </c>
      <c r="V47" s="15" t="n">
        <v>18</v>
      </c>
      <c r="W47" s="15" t="n">
        <v>19</v>
      </c>
      <c r="X47" s="15" t="n">
        <v>20</v>
      </c>
      <c r="Y47" s="15" t="n">
        <v>21</v>
      </c>
      <c r="Z47" s="15" t="n">
        <v>22</v>
      </c>
      <c r="AA47" s="15" t="n">
        <v>23</v>
      </c>
      <c r="AB47" s="15" t="n">
        <v>24</v>
      </c>
      <c r="AC47" s="15" t="n">
        <v>25</v>
      </c>
      <c r="AD47" s="15" t="n">
        <v>26</v>
      </c>
      <c r="AE47" s="15" t="n">
        <v>27</v>
      </c>
      <c r="AF47" s="15" t="n">
        <v>28</v>
      </c>
      <c r="AG47" s="15" t="n">
        <v>29</v>
      </c>
      <c r="AH47" s="15" t="n">
        <v>30</v>
      </c>
      <c r="AI47" s="15" t="n">
        <v>31</v>
      </c>
      <c r="AJ47" s="15" t="n">
        <v>32</v>
      </c>
      <c r="AK47" s="15" t="n">
        <v>33</v>
      </c>
      <c r="AL47" s="15" t="n">
        <v>34</v>
      </c>
      <c r="AM47" s="15" t="n">
        <v>35</v>
      </c>
      <c r="AN47" s="15" t="n">
        <v>36</v>
      </c>
    </row>
    <row r="48" customFormat="false" ht="15" hidden="false" customHeight="false" outlineLevel="0" collapsed="false">
      <c r="B48" s="5" t="s">
        <v>58</v>
      </c>
      <c r="E48" s="20" t="n">
        <f aca="false">E47/4</f>
        <v>0.25</v>
      </c>
      <c r="F48" s="20" t="n">
        <f aca="false">F47/4</f>
        <v>0.5</v>
      </c>
      <c r="G48" s="20" t="n">
        <f aca="false">G47/4</f>
        <v>0.75</v>
      </c>
      <c r="H48" s="20" t="n">
        <f aca="false">H47/4</f>
        <v>1</v>
      </c>
      <c r="I48" s="20" t="n">
        <f aca="false">I47/4</f>
        <v>1.25</v>
      </c>
      <c r="J48" s="20" t="n">
        <f aca="false">J47/4</f>
        <v>1.5</v>
      </c>
      <c r="K48" s="20" t="n">
        <f aca="false">K47/4</f>
        <v>1.75</v>
      </c>
      <c r="L48" s="20" t="n">
        <f aca="false">L47/4</f>
        <v>2</v>
      </c>
      <c r="M48" s="20" t="n">
        <f aca="false">M47/4</f>
        <v>2.25</v>
      </c>
      <c r="N48" s="20" t="n">
        <f aca="false">N47/4</f>
        <v>2.5</v>
      </c>
      <c r="O48" s="20" t="n">
        <f aca="false">O47/4</f>
        <v>2.75</v>
      </c>
      <c r="P48" s="20" t="n">
        <f aca="false">P47/4</f>
        <v>3</v>
      </c>
      <c r="Q48" s="20" t="n">
        <f aca="false">Q47/4</f>
        <v>3.25</v>
      </c>
      <c r="R48" s="20" t="n">
        <f aca="false">R47/4</f>
        <v>3.5</v>
      </c>
      <c r="S48" s="20" t="n">
        <f aca="false">S47/4</f>
        <v>3.75</v>
      </c>
      <c r="T48" s="20" t="n">
        <f aca="false">T47/4</f>
        <v>4</v>
      </c>
      <c r="U48" s="20" t="n">
        <f aca="false">U47/4</f>
        <v>4.25</v>
      </c>
      <c r="V48" s="20" t="n">
        <f aca="false">V47/4</f>
        <v>4.5</v>
      </c>
      <c r="W48" s="20" t="n">
        <f aca="false">W47/4</f>
        <v>4.75</v>
      </c>
      <c r="X48" s="20" t="n">
        <f aca="false">X47/4</f>
        <v>5</v>
      </c>
      <c r="Y48" s="20" t="n">
        <f aca="false">Y47/4</f>
        <v>5.25</v>
      </c>
      <c r="Z48" s="20" t="n">
        <f aca="false">Z47/4</f>
        <v>5.5</v>
      </c>
      <c r="AA48" s="20" t="n">
        <f aca="false">AA47/4</f>
        <v>5.75</v>
      </c>
      <c r="AB48" s="20" t="n">
        <f aca="false">AB47/4</f>
        <v>6</v>
      </c>
      <c r="AC48" s="20" t="n">
        <f aca="false">AC47/4</f>
        <v>6.25</v>
      </c>
      <c r="AD48" s="20" t="n">
        <f aca="false">AD47/4</f>
        <v>6.5</v>
      </c>
      <c r="AE48" s="20" t="n">
        <f aca="false">AE47/4</f>
        <v>6.75</v>
      </c>
      <c r="AF48" s="20" t="n">
        <f aca="false">AF47/4</f>
        <v>7</v>
      </c>
      <c r="AG48" s="20" t="n">
        <f aca="false">AG47/4</f>
        <v>7.25</v>
      </c>
      <c r="AH48" s="20" t="n">
        <f aca="false">AH47/4</f>
        <v>7.5</v>
      </c>
      <c r="AI48" s="20" t="n">
        <f aca="false">AI47/4</f>
        <v>7.75</v>
      </c>
      <c r="AJ48" s="20" t="n">
        <f aca="false">AJ47/4</f>
        <v>8</v>
      </c>
      <c r="AK48" s="20" t="n">
        <f aca="false">AK47/4</f>
        <v>8.25</v>
      </c>
      <c r="AL48" s="20" t="n">
        <f aca="false">AL47/4</f>
        <v>8.5</v>
      </c>
      <c r="AM48" s="20" t="n">
        <f aca="false">AM47/4</f>
        <v>8.75</v>
      </c>
      <c r="AN48" s="20" t="n">
        <f aca="false">AN47/4</f>
        <v>9</v>
      </c>
    </row>
    <row r="49" customFormat="false" ht="15" hidden="false" customHeight="false" outlineLevel="0" collapsed="false">
      <c r="B49" s="5" t="s">
        <v>59</v>
      </c>
      <c r="E49" s="16" t="n">
        <v>0.0235</v>
      </c>
      <c r="F49" s="16" t="n">
        <v>0.0235</v>
      </c>
      <c r="G49" s="16" t="n">
        <v>0.0225</v>
      </c>
      <c r="H49" s="16" t="n">
        <v>0.0222</v>
      </c>
      <c r="I49" s="16" t="n">
        <v>0.022</v>
      </c>
      <c r="J49" s="16" t="n">
        <v>0.0217</v>
      </c>
      <c r="K49" s="16" t="n">
        <v>0.0215</v>
      </c>
      <c r="L49" s="16" t="n">
        <v>0.0197</v>
      </c>
      <c r="M49" s="16" t="n">
        <v>0.018</v>
      </c>
      <c r="N49" s="16" t="n">
        <v>0.0162</v>
      </c>
      <c r="O49" s="16" t="n">
        <v>0.0145</v>
      </c>
      <c r="P49" s="16" t="n">
        <v>0.0127</v>
      </c>
      <c r="Q49" s="16" t="n">
        <v>0.02</v>
      </c>
      <c r="R49" s="16" t="n">
        <v>0.02</v>
      </c>
      <c r="S49" s="16" t="n">
        <v>0.02</v>
      </c>
      <c r="T49" s="16" t="n">
        <v>0.02</v>
      </c>
      <c r="U49" s="16" t="n">
        <v>0.02</v>
      </c>
      <c r="V49" s="16" t="n">
        <v>0.02</v>
      </c>
      <c r="W49" s="16" t="n">
        <v>0.02</v>
      </c>
      <c r="X49" s="16" t="n">
        <v>0.02</v>
      </c>
      <c r="Y49" s="16" t="n">
        <v>0.02</v>
      </c>
      <c r="Z49" s="16" t="n">
        <v>0.02</v>
      </c>
      <c r="AA49" s="16" t="n">
        <v>0.02</v>
      </c>
      <c r="AB49" s="16" t="n">
        <v>0.02</v>
      </c>
      <c r="AC49" s="16" t="n">
        <v>0.02</v>
      </c>
      <c r="AD49" s="16" t="n">
        <v>0.02</v>
      </c>
      <c r="AE49" s="16" t="n">
        <v>0.02</v>
      </c>
      <c r="AF49" s="16" t="n">
        <v>0.02</v>
      </c>
      <c r="AG49" s="16" t="n">
        <v>0.02</v>
      </c>
      <c r="AH49" s="16" t="n">
        <v>0.02</v>
      </c>
      <c r="AI49" s="16" t="n">
        <v>0.02</v>
      </c>
      <c r="AJ49" s="16" t="n">
        <v>0.02</v>
      </c>
      <c r="AK49" s="16" t="n">
        <v>0.02</v>
      </c>
      <c r="AL49" s="16" t="n">
        <v>0.02</v>
      </c>
      <c r="AM49" s="16" t="n">
        <v>0.02</v>
      </c>
      <c r="AN49" s="16" t="n">
        <v>0.02</v>
      </c>
    </row>
    <row r="50" customFormat="false" ht="15" hidden="false" customHeight="false" outlineLevel="0" collapsed="false">
      <c r="B50" s="14" t="s">
        <v>60</v>
      </c>
      <c r="E50" s="17" t="n">
        <f aca="false">IF($C$43=1,$C$42,E49)</f>
        <v>0.02324</v>
      </c>
      <c r="F50" s="17" t="n">
        <f aca="false">IF($C$43=1,$C$42,F49)</f>
        <v>0.02324</v>
      </c>
      <c r="G50" s="17" t="n">
        <f aca="false">IF($C$43=1,$C$42,G49)</f>
        <v>0.02324</v>
      </c>
      <c r="H50" s="17" t="n">
        <f aca="false">IF($C$43=1,$C$42,H49)</f>
        <v>0.02324</v>
      </c>
      <c r="I50" s="17" t="n">
        <f aca="false">IF($C$43=1,$C$42,I49)</f>
        <v>0.02324</v>
      </c>
      <c r="J50" s="17" t="n">
        <f aca="false">IF($C$43=1,$C$42,J49)</f>
        <v>0.02324</v>
      </c>
      <c r="K50" s="17" t="n">
        <f aca="false">IF($C$43=1,$C$42,K49)</f>
        <v>0.02324</v>
      </c>
      <c r="L50" s="17" t="n">
        <f aca="false">IF($C$43=1,$C$42,L49)</f>
        <v>0.02324</v>
      </c>
      <c r="M50" s="17" t="n">
        <f aca="false">IF($C$43=1,$C$42,M49)</f>
        <v>0.02324</v>
      </c>
      <c r="N50" s="17" t="n">
        <f aca="false">IF($C$43=1,$C$42,N49)</f>
        <v>0.02324</v>
      </c>
      <c r="O50" s="17" t="n">
        <f aca="false">IF($C$43=1,$C$42,O49)</f>
        <v>0.02324</v>
      </c>
      <c r="P50" s="17" t="n">
        <f aca="false">IF($C$43=1,$C$42,P49)</f>
        <v>0.02324</v>
      </c>
      <c r="Q50" s="17" t="n">
        <f aca="false">IF($C$43=1,$C$42,Q49)</f>
        <v>0.02324</v>
      </c>
      <c r="R50" s="17" t="n">
        <f aca="false">IF($C$43=1,$C$42,R49)</f>
        <v>0.02324</v>
      </c>
      <c r="S50" s="17" t="n">
        <f aca="false">IF($C$43=1,$C$42,S49)</f>
        <v>0.02324</v>
      </c>
      <c r="T50" s="17" t="n">
        <f aca="false">IF($C$43=1,$C$42,T49)</f>
        <v>0.02324</v>
      </c>
      <c r="U50" s="17" t="n">
        <f aca="false">IF($C$43=1,$C$42,U49)</f>
        <v>0.02324</v>
      </c>
      <c r="V50" s="17" t="n">
        <f aca="false">IF($C$43=1,$C$42,V49)</f>
        <v>0.02324</v>
      </c>
      <c r="W50" s="17" t="n">
        <f aca="false">IF($C$43=1,$C$42,W49)</f>
        <v>0.02324</v>
      </c>
      <c r="X50" s="17" t="n">
        <f aca="false">IF($C$43=1,$C$42,X49)</f>
        <v>0.02324</v>
      </c>
      <c r="Y50" s="17" t="n">
        <f aca="false">IF($C$43=1,$C$42,Y49)</f>
        <v>0.02324</v>
      </c>
      <c r="Z50" s="17" t="n">
        <f aca="false">IF($C$43=1,$C$42,Z49)</f>
        <v>0.02324</v>
      </c>
      <c r="AA50" s="17" t="n">
        <f aca="false">IF($C$43=1,$C$42,AA49)</f>
        <v>0.02324</v>
      </c>
      <c r="AB50" s="17" t="n">
        <f aca="false">IF($C$43=1,$C$42,AB49)</f>
        <v>0.02324</v>
      </c>
      <c r="AC50" s="17" t="n">
        <f aca="false">IF($C$43=1,$C$42,AC49)</f>
        <v>0.02324</v>
      </c>
      <c r="AD50" s="17" t="n">
        <f aca="false">IF($C$43=1,$C$42,AD49)</f>
        <v>0.02324</v>
      </c>
      <c r="AE50" s="17" t="n">
        <f aca="false">IF($C$43=1,$C$42,AE49)</f>
        <v>0.02324</v>
      </c>
      <c r="AF50" s="17" t="n">
        <f aca="false">IF($C$43=1,$C$42,AF49)</f>
        <v>0.02324</v>
      </c>
      <c r="AG50" s="17" t="n">
        <f aca="false">IF($C$43=1,$C$42,AG49)</f>
        <v>0.02324</v>
      </c>
      <c r="AH50" s="17" t="n">
        <f aca="false">IF($C$43=1,$C$42,AH49)</f>
        <v>0.02324</v>
      </c>
      <c r="AI50" s="17" t="n">
        <f aca="false">IF($C$43=1,$C$42,AI49)</f>
        <v>0.02324</v>
      </c>
      <c r="AJ50" s="17" t="n">
        <f aca="false">IF($C$43=1,$C$42,AJ49)</f>
        <v>0.02324</v>
      </c>
      <c r="AK50" s="17" t="n">
        <f aca="false">IF($C$43=1,$C$42,AK49)</f>
        <v>0.02324</v>
      </c>
      <c r="AL50" s="17" t="n">
        <f aca="false">IF($C$43=1,$C$42,AL49)</f>
        <v>0.02324</v>
      </c>
      <c r="AM50" s="17" t="n">
        <f aca="false">IF($C$43=1,$C$42,AM49)</f>
        <v>0.02324</v>
      </c>
      <c r="AN50" s="17" t="n">
        <f aca="false">IF($C$43=1,$C$42,AN49)</f>
        <v>0.02324</v>
      </c>
    </row>
    <row r="51" customFormat="false" ht="15" hidden="false" customHeight="false" outlineLevel="0" collapsed="false">
      <c r="B51" s="5" t="s">
        <v>61</v>
      </c>
      <c r="E51" s="17" t="n">
        <f aca="false">E50+$C$10</f>
        <v>0.07324</v>
      </c>
      <c r="F51" s="17" t="n">
        <f aca="false">F50+$C$10</f>
        <v>0.07324</v>
      </c>
      <c r="G51" s="17" t="n">
        <f aca="false">G50+$C$10</f>
        <v>0.07324</v>
      </c>
      <c r="H51" s="17" t="n">
        <f aca="false">H50+$C$10</f>
        <v>0.07324</v>
      </c>
      <c r="I51" s="17" t="n">
        <f aca="false">I50+$C$10</f>
        <v>0.07324</v>
      </c>
      <c r="J51" s="17" t="n">
        <f aca="false">J50+$C$10</f>
        <v>0.07324</v>
      </c>
      <c r="K51" s="17" t="n">
        <f aca="false">K50+$C$10</f>
        <v>0.07324</v>
      </c>
      <c r="L51" s="17" t="n">
        <f aca="false">L50+$C$10</f>
        <v>0.07324</v>
      </c>
      <c r="M51" s="17" t="n">
        <f aca="false">M50+$C$10</f>
        <v>0.07324</v>
      </c>
      <c r="N51" s="17" t="n">
        <f aca="false">N50+$C$10</f>
        <v>0.07324</v>
      </c>
      <c r="O51" s="17" t="n">
        <f aca="false">O50+$C$10</f>
        <v>0.07324</v>
      </c>
      <c r="P51" s="17" t="n">
        <f aca="false">P50+$C$10</f>
        <v>0.07324</v>
      </c>
      <c r="Q51" s="17" t="n">
        <f aca="false">Q50+$C$10</f>
        <v>0.07324</v>
      </c>
      <c r="R51" s="17" t="n">
        <f aca="false">R50+$C$10</f>
        <v>0.07324</v>
      </c>
      <c r="S51" s="17" t="n">
        <f aca="false">S50+$C$10</f>
        <v>0.07324</v>
      </c>
      <c r="T51" s="17" t="n">
        <f aca="false">T50+$C$10</f>
        <v>0.07324</v>
      </c>
      <c r="U51" s="17" t="n">
        <f aca="false">U50+$C$10</f>
        <v>0.07324</v>
      </c>
      <c r="V51" s="17" t="n">
        <f aca="false">V50+$C$10</f>
        <v>0.07324</v>
      </c>
      <c r="W51" s="17" t="n">
        <f aca="false">W50+$C$10</f>
        <v>0.07324</v>
      </c>
      <c r="X51" s="17" t="n">
        <f aca="false">X50+$C$10</f>
        <v>0.07324</v>
      </c>
      <c r="Y51" s="17" t="n">
        <f aca="false">Y50+$C$10</f>
        <v>0.07324</v>
      </c>
      <c r="Z51" s="17" t="n">
        <f aca="false">Z50+$C$10</f>
        <v>0.07324</v>
      </c>
      <c r="AA51" s="17" t="n">
        <f aca="false">AA50+$C$10</f>
        <v>0.07324</v>
      </c>
      <c r="AB51" s="17" t="n">
        <f aca="false">AB50+$C$10</f>
        <v>0.07324</v>
      </c>
      <c r="AC51" s="17" t="n">
        <f aca="false">AC50+$C$10</f>
        <v>0.07324</v>
      </c>
      <c r="AD51" s="17" t="n">
        <f aca="false">AD50+$C$10</f>
        <v>0.07324</v>
      </c>
      <c r="AE51" s="17" t="n">
        <f aca="false">AE50+$C$10</f>
        <v>0.07324</v>
      </c>
      <c r="AF51" s="17" t="n">
        <f aca="false">AF50+$C$10</f>
        <v>0.07324</v>
      </c>
      <c r="AG51" s="17" t="n">
        <f aca="false">AG50+$C$10</f>
        <v>0.07324</v>
      </c>
      <c r="AH51" s="17" t="n">
        <f aca="false">AH50+$C$10</f>
        <v>0.07324</v>
      </c>
      <c r="AI51" s="17" t="n">
        <f aca="false">AI50+$C$10</f>
        <v>0.07324</v>
      </c>
      <c r="AJ51" s="17" t="n">
        <f aca="false">AJ50+$C$10</f>
        <v>0.07324</v>
      </c>
      <c r="AK51" s="17" t="n">
        <f aca="false">AK50+$C$10</f>
        <v>0.07324</v>
      </c>
      <c r="AL51" s="17" t="n">
        <f aca="false">AL50+$C$10</f>
        <v>0.07324</v>
      </c>
      <c r="AM51" s="17" t="n">
        <f aca="false">AM50+$C$10</f>
        <v>0.07324</v>
      </c>
      <c r="AN51" s="17" t="n">
        <f aca="false">AN50+$C$10</f>
        <v>0.07324</v>
      </c>
    </row>
    <row r="52" customFormat="false" ht="15" hidden="false" customHeight="false" outlineLevel="0" collapsed="false">
      <c r="B52" s="5" t="s">
        <v>62</v>
      </c>
      <c r="E52" s="17" t="n">
        <f aca="false">E50+$C$33</f>
        <v>0.04324</v>
      </c>
      <c r="F52" s="17" t="n">
        <f aca="false">F50+$C$33</f>
        <v>0.04324</v>
      </c>
      <c r="G52" s="17" t="n">
        <f aca="false">G50+$C$33</f>
        <v>0.04324</v>
      </c>
      <c r="H52" s="17" t="n">
        <f aca="false">H50+$C$33</f>
        <v>0.04324</v>
      </c>
      <c r="I52" s="17" t="n">
        <f aca="false">I50+$C$33</f>
        <v>0.04324</v>
      </c>
      <c r="J52" s="17" t="n">
        <f aca="false">J50+$C$33</f>
        <v>0.04324</v>
      </c>
      <c r="K52" s="17" t="n">
        <f aca="false">K50+$C$33</f>
        <v>0.04324</v>
      </c>
      <c r="L52" s="17" t="n">
        <f aca="false">L50+$C$33</f>
        <v>0.04324</v>
      </c>
      <c r="M52" s="17" t="n">
        <f aca="false">M50+$C$33</f>
        <v>0.04324</v>
      </c>
      <c r="N52" s="17" t="n">
        <f aca="false">N50+$C$33</f>
        <v>0.04324</v>
      </c>
      <c r="O52" s="17" t="n">
        <f aca="false">O50+$C$33</f>
        <v>0.04324</v>
      </c>
      <c r="P52" s="17" t="n">
        <f aca="false">P50+$C$33</f>
        <v>0.04324</v>
      </c>
      <c r="Q52" s="17" t="n">
        <f aca="false">Q50+$C$33</f>
        <v>0.04324</v>
      </c>
      <c r="R52" s="17" t="n">
        <f aca="false">R50+$C$33</f>
        <v>0.04324</v>
      </c>
      <c r="S52" s="17" t="n">
        <f aca="false">S50+$C$33</f>
        <v>0.04324</v>
      </c>
      <c r="T52" s="17" t="n">
        <f aca="false">T50+$C$33</f>
        <v>0.04324</v>
      </c>
      <c r="U52" s="17" t="n">
        <f aca="false">U50+$C$33</f>
        <v>0.04324</v>
      </c>
      <c r="V52" s="17" t="n">
        <f aca="false">V50+$C$33</f>
        <v>0.04324</v>
      </c>
      <c r="W52" s="17" t="n">
        <f aca="false">W50+$C$33</f>
        <v>0.04324</v>
      </c>
      <c r="X52" s="17" t="n">
        <f aca="false">X50+$C$33</f>
        <v>0.04324</v>
      </c>
      <c r="Y52" s="17" t="n">
        <f aca="false">Y50+$C$33</f>
        <v>0.04324</v>
      </c>
      <c r="Z52" s="17" t="n">
        <f aca="false">Z50+$C$33</f>
        <v>0.04324</v>
      </c>
      <c r="AA52" s="17" t="n">
        <f aca="false">AA50+$C$33</f>
        <v>0.04324</v>
      </c>
      <c r="AB52" s="17" t="n">
        <f aca="false">AB50+$C$33</f>
        <v>0.04324</v>
      </c>
      <c r="AC52" s="17" t="n">
        <f aca="false">AC50+$C$33</f>
        <v>0.04324</v>
      </c>
      <c r="AD52" s="17" t="n">
        <f aca="false">AD50+$C$33</f>
        <v>0.04324</v>
      </c>
      <c r="AE52" s="17" t="n">
        <f aca="false">AE50+$C$33</f>
        <v>0.04324</v>
      </c>
      <c r="AF52" s="17" t="n">
        <f aca="false">AF50+$C$33</f>
        <v>0.04324</v>
      </c>
      <c r="AG52" s="17" t="n">
        <f aca="false">AG50+$C$33</f>
        <v>0.04324</v>
      </c>
      <c r="AH52" s="17" t="n">
        <f aca="false">AH50+$C$33</f>
        <v>0.04324</v>
      </c>
      <c r="AI52" s="17" t="n">
        <f aca="false">AI50+$C$33</f>
        <v>0.04324</v>
      </c>
      <c r="AJ52" s="17" t="n">
        <f aca="false">AJ50+$C$33</f>
        <v>0.04324</v>
      </c>
      <c r="AK52" s="17" t="n">
        <f aca="false">AK50+$C$33</f>
        <v>0.04324</v>
      </c>
      <c r="AL52" s="17" t="n">
        <f aca="false">AL50+$C$33</f>
        <v>0.04324</v>
      </c>
      <c r="AM52" s="17" t="n">
        <f aca="false">AM50+$C$33</f>
        <v>0.04324</v>
      </c>
      <c r="AN52" s="17" t="n">
        <f aca="false">AN50+$C$33</f>
        <v>0.04324</v>
      </c>
    </row>
    <row r="54" customFormat="false" ht="15" hidden="false" customHeight="false" outlineLevel="0" collapsed="false">
      <c r="A54" s="3" t="s">
        <v>63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customFormat="false" ht="15" hidden="false" customHeight="false" outlineLevel="0" collapsed="false">
      <c r="B55" s="14" t="s">
        <v>64</v>
      </c>
      <c r="C55" s="21" t="n">
        <v>1</v>
      </c>
      <c r="D55" s="7" t="s">
        <v>65</v>
      </c>
    </row>
    <row r="57" customFormat="false" ht="15" hidden="false" customHeight="false" outlineLevel="0" collapsed="false">
      <c r="B57" s="22" t="s">
        <v>66</v>
      </c>
      <c r="C57" s="22" t="s">
        <v>67</v>
      </c>
      <c r="D57" s="22" t="s">
        <v>68</v>
      </c>
      <c r="E57" s="22" t="s">
        <v>69</v>
      </c>
      <c r="F57" s="22" t="s">
        <v>70</v>
      </c>
      <c r="G57" s="22" t="s">
        <v>71</v>
      </c>
    </row>
    <row r="58" customFormat="false" ht="15" hidden="false" customHeight="false" outlineLevel="0" collapsed="false">
      <c r="B58" s="23" t="n">
        <v>1</v>
      </c>
      <c r="C58" s="24" t="s">
        <v>72</v>
      </c>
      <c r="D58" s="25" t="n">
        <v>1</v>
      </c>
      <c r="E58" s="26" t="n">
        <v>0.6</v>
      </c>
      <c r="F58" s="26" t="n">
        <v>0.1</v>
      </c>
      <c r="G58" s="27" t="n">
        <f aca="false">1-(1-F58)^(1/4)</f>
        <v>0.0259962535747033</v>
      </c>
    </row>
    <row r="59" customFormat="false" ht="15" hidden="false" customHeight="false" outlineLevel="0" collapsed="false">
      <c r="B59" s="23" t="n">
        <v>2</v>
      </c>
      <c r="C59" s="24" t="s">
        <v>73</v>
      </c>
      <c r="D59" s="25" t="n">
        <v>1.25</v>
      </c>
      <c r="E59" s="26" t="n">
        <v>0.5</v>
      </c>
      <c r="F59" s="26" t="n">
        <v>0.08</v>
      </c>
      <c r="G59" s="27" t="n">
        <f aca="false">1-(1-F59)^(1/4)</f>
        <v>0.0206296386644407</v>
      </c>
    </row>
    <row r="60" customFormat="false" ht="15" hidden="false" customHeight="false" outlineLevel="0" collapsed="false">
      <c r="B60" s="23" t="n">
        <v>3</v>
      </c>
      <c r="C60" s="24" t="s">
        <v>74</v>
      </c>
      <c r="D60" s="25" t="n">
        <v>1.5</v>
      </c>
      <c r="E60" s="26" t="n">
        <v>0.4</v>
      </c>
      <c r="F60" s="26" t="n">
        <v>0.12</v>
      </c>
      <c r="G60" s="27" t="n">
        <f aca="false">1-(1-F60)^(1/4)</f>
        <v>0.0314530718830988</v>
      </c>
    </row>
    <row r="61" customFormat="false" ht="15" hidden="false" customHeight="false" outlineLevel="0" collapsed="false">
      <c r="B61" s="23" t="n">
        <v>4</v>
      </c>
      <c r="C61" s="24" t="s">
        <v>75</v>
      </c>
      <c r="D61" s="25" t="n">
        <v>2</v>
      </c>
      <c r="E61" s="26" t="n">
        <v>0.3</v>
      </c>
      <c r="F61" s="26" t="n">
        <v>0.2</v>
      </c>
      <c r="G61" s="27" t="n">
        <f aca="false">1-(1-F61)^(1/4)</f>
        <v>0.0542583909968242</v>
      </c>
    </row>
    <row r="63" customFormat="false" ht="15" hidden="false" customHeight="false" outlineLevel="0" collapsed="false">
      <c r="B63" s="14" t="s">
        <v>76</v>
      </c>
      <c r="C63" s="28" t="n">
        <f aca="false">INDEX(D58:D61,$C$55)</f>
        <v>1</v>
      </c>
    </row>
    <row r="64" customFormat="false" ht="15" hidden="false" customHeight="false" outlineLevel="0" collapsed="false">
      <c r="B64" s="14" t="s">
        <v>77</v>
      </c>
      <c r="C64" s="29" t="n">
        <f aca="false">INDEX(E58:E61,$C$55)</f>
        <v>0.6</v>
      </c>
    </row>
    <row r="65" customFormat="false" ht="15" hidden="false" customHeight="false" outlineLevel="0" collapsed="false">
      <c r="B65" s="14" t="s">
        <v>78</v>
      </c>
      <c r="C65" s="29" t="n">
        <f aca="false">INDEX(F58:F61,$C$55)</f>
        <v>0.1</v>
      </c>
    </row>
    <row r="66" customFormat="false" ht="15" hidden="false" customHeight="false" outlineLevel="0" collapsed="false">
      <c r="B66" s="14" t="s">
        <v>79</v>
      </c>
      <c r="C66" s="17" t="n">
        <f aca="false">INDEX(G58:G61,$C$55)</f>
        <v>0.0259962535747033</v>
      </c>
    </row>
    <row r="68" customFormat="false" ht="15" hidden="false" customHeight="false" outlineLevel="0" collapsed="false">
      <c r="A68" s="3" t="s">
        <v>80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customFormat="false" ht="15" hidden="false" customHeight="false" outlineLevel="0" collapsed="false">
      <c r="B69" s="22" t="s">
        <v>81</v>
      </c>
      <c r="C69" s="22" t="s">
        <v>82</v>
      </c>
      <c r="D69" s="22" t="s">
        <v>83</v>
      </c>
      <c r="E69" s="22" t="s">
        <v>84</v>
      </c>
    </row>
    <row r="70" customFormat="false" ht="15" hidden="false" customHeight="false" outlineLevel="0" collapsed="false">
      <c r="B70" s="30" t="n">
        <v>0</v>
      </c>
      <c r="C70" s="31" t="n">
        <f aca="false">$C$6</f>
        <v>20000000</v>
      </c>
      <c r="D70" s="31" t="n">
        <v>0</v>
      </c>
      <c r="E70" s="31" t="n">
        <f aca="false">C70-D70</f>
        <v>20000000</v>
      </c>
    </row>
    <row r="71" customFormat="false" ht="15" hidden="false" customHeight="false" outlineLevel="0" collapsed="false">
      <c r="B71" s="30" t="n">
        <v>1</v>
      </c>
      <c r="C71" s="31" t="n">
        <f aca="false">E70</f>
        <v>20000000</v>
      </c>
      <c r="D71" s="31" t="n">
        <f aca="false">IF(B71&lt;=$C$11,0,IF(B71&gt;=$C$13,C71,$C$12*C71))</f>
        <v>0</v>
      </c>
      <c r="E71" s="31" t="n">
        <f aca="false">C71-D71</f>
        <v>20000000</v>
      </c>
    </row>
    <row r="72" customFormat="false" ht="15" hidden="false" customHeight="false" outlineLevel="0" collapsed="false">
      <c r="B72" s="30" t="n">
        <v>2</v>
      </c>
      <c r="C72" s="31" t="n">
        <f aca="false">E71</f>
        <v>20000000</v>
      </c>
      <c r="D72" s="31" t="n">
        <f aca="false">IF(B72&lt;=$C$11,0,IF(B72&gt;=$C$13,C72,$C$12*C72))</f>
        <v>0</v>
      </c>
      <c r="E72" s="31" t="n">
        <f aca="false">C72-D72</f>
        <v>20000000</v>
      </c>
    </row>
    <row r="73" customFormat="false" ht="15" hidden="false" customHeight="false" outlineLevel="0" collapsed="false">
      <c r="B73" s="30" t="n">
        <v>3</v>
      </c>
      <c r="C73" s="31" t="n">
        <f aca="false">E72</f>
        <v>20000000</v>
      </c>
      <c r="D73" s="31" t="n">
        <f aca="false">IF(B73&lt;=$C$11,0,IF(B73&gt;=$C$13,C73,$C$12*C73))</f>
        <v>0</v>
      </c>
      <c r="E73" s="31" t="n">
        <f aca="false">C73-D73</f>
        <v>20000000</v>
      </c>
    </row>
    <row r="74" customFormat="false" ht="15" hidden="false" customHeight="false" outlineLevel="0" collapsed="false">
      <c r="B74" s="30" t="n">
        <v>4</v>
      </c>
      <c r="C74" s="31" t="n">
        <f aca="false">E73</f>
        <v>20000000</v>
      </c>
      <c r="D74" s="31" t="n">
        <f aca="false">IF(B74&lt;=$C$11,0,IF(B74&gt;=$C$13,C74,$C$12*C74))</f>
        <v>0</v>
      </c>
      <c r="E74" s="31" t="n">
        <f aca="false">C74-D74</f>
        <v>20000000</v>
      </c>
    </row>
    <row r="75" customFormat="false" ht="15" hidden="false" customHeight="false" outlineLevel="0" collapsed="false">
      <c r="B75" s="30" t="n">
        <v>5</v>
      </c>
      <c r="C75" s="31" t="n">
        <f aca="false">E74</f>
        <v>20000000</v>
      </c>
      <c r="D75" s="31" t="n">
        <f aca="false">IF(B75&lt;=$C$11,0,IF(B75&gt;=$C$13,C75,$C$12*C75))</f>
        <v>600000</v>
      </c>
      <c r="E75" s="31" t="n">
        <f aca="false">C75-D75</f>
        <v>19400000</v>
      </c>
    </row>
    <row r="76" customFormat="false" ht="15" hidden="false" customHeight="false" outlineLevel="0" collapsed="false">
      <c r="B76" s="30" t="n">
        <v>6</v>
      </c>
      <c r="C76" s="31" t="n">
        <f aca="false">E75</f>
        <v>19400000</v>
      </c>
      <c r="D76" s="31" t="n">
        <f aca="false">IF(B76&lt;=$C$11,0,IF(B76&gt;=$C$13,C76,$C$12*C76))</f>
        <v>582000</v>
      </c>
      <c r="E76" s="31" t="n">
        <f aca="false">C76-D76</f>
        <v>18818000</v>
      </c>
    </row>
    <row r="77" customFormat="false" ht="15" hidden="false" customHeight="false" outlineLevel="0" collapsed="false">
      <c r="B77" s="30" t="n">
        <v>7</v>
      </c>
      <c r="C77" s="31" t="n">
        <f aca="false">E76</f>
        <v>18818000</v>
      </c>
      <c r="D77" s="31" t="n">
        <f aca="false">IF(B77&lt;=$C$11,0,IF(B77&gt;=$C$13,C77,$C$12*C77))</f>
        <v>564540</v>
      </c>
      <c r="E77" s="31" t="n">
        <f aca="false">C77-D77</f>
        <v>18253460</v>
      </c>
    </row>
    <row r="78" customFormat="false" ht="15" hidden="false" customHeight="false" outlineLevel="0" collapsed="false">
      <c r="B78" s="30" t="n">
        <v>8</v>
      </c>
      <c r="C78" s="31" t="n">
        <f aca="false">E77</f>
        <v>18253460</v>
      </c>
      <c r="D78" s="31" t="n">
        <f aca="false">IF(B78&lt;=$C$11,0,IF(B78&gt;=$C$13,C78,$C$12*C78))</f>
        <v>547603.8</v>
      </c>
      <c r="E78" s="31" t="n">
        <f aca="false">C78-D78</f>
        <v>17705856.2</v>
      </c>
    </row>
    <row r="79" customFormat="false" ht="15" hidden="false" customHeight="false" outlineLevel="0" collapsed="false">
      <c r="B79" s="30" t="n">
        <v>9</v>
      </c>
      <c r="C79" s="31" t="n">
        <f aca="false">E78</f>
        <v>17705856.2</v>
      </c>
      <c r="D79" s="31" t="n">
        <f aca="false">IF(B79&lt;=$C$11,0,IF(B79&gt;=$C$13,C79,$C$12*C79))</f>
        <v>531175.686</v>
      </c>
      <c r="E79" s="31" t="n">
        <f aca="false">C79-D79</f>
        <v>17174680.514</v>
      </c>
    </row>
    <row r="80" customFormat="false" ht="15" hidden="false" customHeight="false" outlineLevel="0" collapsed="false">
      <c r="B80" s="30" t="n">
        <v>10</v>
      </c>
      <c r="C80" s="31" t="n">
        <f aca="false">E79</f>
        <v>17174680.514</v>
      </c>
      <c r="D80" s="31" t="n">
        <f aca="false">IF(B80&lt;=$C$11,0,IF(B80&gt;=$C$13,C80,$C$12*C80))</f>
        <v>515240.41542</v>
      </c>
      <c r="E80" s="31" t="n">
        <f aca="false">C80-D80</f>
        <v>16659440.09858</v>
      </c>
    </row>
    <row r="81" customFormat="false" ht="15" hidden="false" customHeight="false" outlineLevel="0" collapsed="false">
      <c r="B81" s="30" t="n">
        <v>11</v>
      </c>
      <c r="C81" s="31" t="n">
        <f aca="false">E80</f>
        <v>16659440.09858</v>
      </c>
      <c r="D81" s="31" t="n">
        <f aca="false">IF(B81&lt;=$C$11,0,IF(B81&gt;=$C$13,C81,$C$12*C81))</f>
        <v>499783.2029574</v>
      </c>
      <c r="E81" s="31" t="n">
        <f aca="false">C81-D81</f>
        <v>16159656.8956226</v>
      </c>
    </row>
    <row r="82" customFormat="false" ht="15" hidden="false" customHeight="false" outlineLevel="0" collapsed="false">
      <c r="B82" s="30" t="n">
        <v>12</v>
      </c>
      <c r="C82" s="31" t="n">
        <f aca="false">E81</f>
        <v>16159656.8956226</v>
      </c>
      <c r="D82" s="31" t="n">
        <f aca="false">IF(B82&lt;=$C$11,0,IF(B82&gt;=$C$13,C82,$C$12*C82))</f>
        <v>484789.706868678</v>
      </c>
      <c r="E82" s="31" t="n">
        <f aca="false">C82-D82</f>
        <v>15674867.1887539</v>
      </c>
    </row>
    <row r="83" customFormat="false" ht="15" hidden="false" customHeight="false" outlineLevel="0" collapsed="false">
      <c r="B83" s="30" t="n">
        <v>13</v>
      </c>
      <c r="C83" s="31" t="n">
        <f aca="false">E82</f>
        <v>15674867.1887539</v>
      </c>
      <c r="D83" s="31" t="n">
        <f aca="false">IF(B83&lt;=$C$11,0,IF(B83&gt;=$C$13,C83,$C$12*C83))</f>
        <v>470246.015662618</v>
      </c>
      <c r="E83" s="31" t="n">
        <f aca="false">C83-D83</f>
        <v>15204621.1730913</v>
      </c>
    </row>
    <row r="84" customFormat="false" ht="15" hidden="false" customHeight="false" outlineLevel="0" collapsed="false">
      <c r="B84" s="30" t="n">
        <v>14</v>
      </c>
      <c r="C84" s="31" t="n">
        <f aca="false">E83</f>
        <v>15204621.1730913</v>
      </c>
      <c r="D84" s="31" t="n">
        <f aca="false">IF(B84&lt;=$C$11,0,IF(B84&gt;=$C$13,C84,$C$12*C84))</f>
        <v>456138.635192739</v>
      </c>
      <c r="E84" s="31" t="n">
        <f aca="false">C84-D84</f>
        <v>14748482.5378986</v>
      </c>
    </row>
    <row r="85" customFormat="false" ht="15" hidden="false" customHeight="false" outlineLevel="0" collapsed="false">
      <c r="B85" s="30" t="n">
        <v>15</v>
      </c>
      <c r="C85" s="31" t="n">
        <f aca="false">E84</f>
        <v>14748482.5378986</v>
      </c>
      <c r="D85" s="31" t="n">
        <f aca="false">IF(B85&lt;=$C$11,0,IF(B85&gt;=$C$13,C85,$C$12*C85))</f>
        <v>442454.476136957</v>
      </c>
      <c r="E85" s="31" t="n">
        <f aca="false">C85-D85</f>
        <v>14306028.0617616</v>
      </c>
    </row>
    <row r="86" customFormat="false" ht="15" hidden="false" customHeight="false" outlineLevel="0" collapsed="false">
      <c r="B86" s="30" t="n">
        <v>16</v>
      </c>
      <c r="C86" s="31" t="n">
        <f aca="false">E85</f>
        <v>14306028.0617616</v>
      </c>
      <c r="D86" s="31" t="n">
        <f aca="false">IF(B86&lt;=$C$11,0,IF(B86&gt;=$C$13,C86,$C$12*C86))</f>
        <v>429180.841852848</v>
      </c>
      <c r="E86" s="31" t="n">
        <f aca="false">C86-D86</f>
        <v>13876847.2199088</v>
      </c>
    </row>
    <row r="87" customFormat="false" ht="15" hidden="false" customHeight="false" outlineLevel="0" collapsed="false">
      <c r="B87" s="30" t="n">
        <v>17</v>
      </c>
      <c r="C87" s="31" t="n">
        <f aca="false">E86</f>
        <v>13876847.2199088</v>
      </c>
      <c r="D87" s="31" t="n">
        <f aca="false">IF(B87&lt;=$C$11,0,IF(B87&gt;=$C$13,C87,$C$12*C87))</f>
        <v>416305.416597263</v>
      </c>
      <c r="E87" s="31" t="n">
        <f aca="false">C87-D87</f>
        <v>13460541.8033115</v>
      </c>
    </row>
    <row r="88" customFormat="false" ht="15" hidden="false" customHeight="false" outlineLevel="0" collapsed="false">
      <c r="B88" s="30" t="n">
        <v>18</v>
      </c>
      <c r="C88" s="31" t="n">
        <f aca="false">E87</f>
        <v>13460541.8033115</v>
      </c>
      <c r="D88" s="31" t="n">
        <f aca="false">IF(B88&lt;=$C$11,0,IF(B88&gt;=$C$13,C88,$C$12*C88))</f>
        <v>403816.254099345</v>
      </c>
      <c r="E88" s="31" t="n">
        <f aca="false">C88-D88</f>
        <v>13056725.5492122</v>
      </c>
    </row>
    <row r="89" customFormat="false" ht="15" hidden="false" customHeight="false" outlineLevel="0" collapsed="false">
      <c r="B89" s="30" t="n">
        <v>19</v>
      </c>
      <c r="C89" s="31" t="n">
        <f aca="false">E88</f>
        <v>13056725.5492122</v>
      </c>
      <c r="D89" s="31" t="n">
        <f aca="false">IF(B89&lt;=$C$11,0,IF(B89&gt;=$C$13,C89,$C$12*C89))</f>
        <v>391701.766476365</v>
      </c>
      <c r="E89" s="31" t="n">
        <f aca="false">C89-D89</f>
        <v>12665023.7827358</v>
      </c>
    </row>
    <row r="90" customFormat="false" ht="15" hidden="false" customHeight="false" outlineLevel="0" collapsed="false">
      <c r="B90" s="30" t="n">
        <v>20</v>
      </c>
      <c r="C90" s="31" t="n">
        <f aca="false">E89</f>
        <v>12665023.7827358</v>
      </c>
      <c r="D90" s="31" t="n">
        <f aca="false">IF(B90&lt;=$C$11,0,IF(B90&gt;=$C$13,C90,$C$12*C90))</f>
        <v>379950.713482074</v>
      </c>
      <c r="E90" s="31" t="n">
        <f aca="false">C90-D90</f>
        <v>12285073.0692537</v>
      </c>
    </row>
    <row r="91" customFormat="false" ht="15" hidden="false" customHeight="false" outlineLevel="0" collapsed="false">
      <c r="B91" s="30" t="n">
        <v>21</v>
      </c>
      <c r="C91" s="31" t="n">
        <f aca="false">E90</f>
        <v>12285073.0692537</v>
      </c>
      <c r="D91" s="31" t="n">
        <f aca="false">IF(B91&lt;=$C$11,0,IF(B91&gt;=$C$13,C91,$C$12*C91))</f>
        <v>368552.192077611</v>
      </c>
      <c r="E91" s="31" t="n">
        <f aca="false">C91-D91</f>
        <v>11916520.8771761</v>
      </c>
    </row>
    <row r="92" customFormat="false" ht="15" hidden="false" customHeight="false" outlineLevel="0" collapsed="false">
      <c r="B92" s="30" t="n">
        <v>22</v>
      </c>
      <c r="C92" s="31" t="n">
        <f aca="false">E91</f>
        <v>11916520.8771761</v>
      </c>
      <c r="D92" s="31" t="n">
        <f aca="false">IF(B92&lt;=$C$11,0,IF(B92&gt;=$C$13,C92,$C$12*C92))</f>
        <v>357495.626315283</v>
      </c>
      <c r="E92" s="31" t="n">
        <f aca="false">C92-D92</f>
        <v>11559025.2508608</v>
      </c>
    </row>
    <row r="93" customFormat="false" ht="15" hidden="false" customHeight="false" outlineLevel="0" collapsed="false">
      <c r="B93" s="30" t="n">
        <v>23</v>
      </c>
      <c r="C93" s="31" t="n">
        <f aca="false">E92</f>
        <v>11559025.2508608</v>
      </c>
      <c r="D93" s="31" t="n">
        <f aca="false">IF(B93&lt;=$C$11,0,IF(B93&gt;=$C$13,C93,$C$12*C93))</f>
        <v>346770.757525825</v>
      </c>
      <c r="E93" s="31" t="n">
        <f aca="false">C93-D93</f>
        <v>11212254.493335</v>
      </c>
    </row>
    <row r="94" customFormat="false" ht="15" hidden="false" customHeight="false" outlineLevel="0" collapsed="false">
      <c r="B94" s="30" t="n">
        <v>24</v>
      </c>
      <c r="C94" s="31" t="n">
        <f aca="false">E93</f>
        <v>11212254.493335</v>
      </c>
      <c r="D94" s="31" t="n">
        <f aca="false">IF(B94&lt;=$C$11,0,IF(B94&gt;=$C$13,C94,$C$12*C94))</f>
        <v>336367.63480005</v>
      </c>
      <c r="E94" s="31" t="n">
        <f aca="false">C94-D94</f>
        <v>10875886.8585349</v>
      </c>
    </row>
    <row r="95" customFormat="false" ht="15" hidden="false" customHeight="false" outlineLevel="0" collapsed="false">
      <c r="B95" s="30" t="n">
        <v>25</v>
      </c>
      <c r="C95" s="31" t="n">
        <f aca="false">E94</f>
        <v>10875886.8585349</v>
      </c>
      <c r="D95" s="31" t="n">
        <f aca="false">IF(B95&lt;=$C$11,0,IF(B95&gt;=$C$13,C95,$C$12*C95))</f>
        <v>326276.605756048</v>
      </c>
      <c r="E95" s="31" t="n">
        <f aca="false">C95-D95</f>
        <v>10549610.2527789</v>
      </c>
    </row>
    <row r="96" customFormat="false" ht="15" hidden="false" customHeight="false" outlineLevel="0" collapsed="false">
      <c r="B96" s="30" t="n">
        <v>26</v>
      </c>
      <c r="C96" s="31" t="n">
        <f aca="false">E95</f>
        <v>10549610.2527789</v>
      </c>
      <c r="D96" s="31" t="n">
        <f aca="false">IF(B96&lt;=$C$11,0,IF(B96&gt;=$C$13,C96,$C$12*C96))</f>
        <v>316488.307583367</v>
      </c>
      <c r="E96" s="31" t="n">
        <f aca="false">C96-D96</f>
        <v>10233121.9451955</v>
      </c>
    </row>
    <row r="97" customFormat="false" ht="15" hidden="false" customHeight="false" outlineLevel="0" collapsed="false">
      <c r="B97" s="30" t="n">
        <v>27</v>
      </c>
      <c r="C97" s="31" t="n">
        <f aca="false">E96</f>
        <v>10233121.9451955</v>
      </c>
      <c r="D97" s="31" t="n">
        <f aca="false">IF(B97&lt;=$C$11,0,IF(B97&gt;=$C$13,C97,$C$12*C97))</f>
        <v>306993.658355866</v>
      </c>
      <c r="E97" s="31" t="n">
        <f aca="false">C97-D97</f>
        <v>9926128.28683967</v>
      </c>
    </row>
    <row r="98" customFormat="false" ht="15" hidden="false" customHeight="false" outlineLevel="0" collapsed="false">
      <c r="B98" s="30" t="n">
        <v>28</v>
      </c>
      <c r="C98" s="31" t="n">
        <f aca="false">E97</f>
        <v>9926128.28683967</v>
      </c>
      <c r="D98" s="31" t="n">
        <f aca="false">IF(B98&lt;=$C$11,0,IF(B98&gt;=$C$13,C98,$C$12*C98))</f>
        <v>9926128.28683967</v>
      </c>
      <c r="E98" s="31" t="n">
        <f aca="false">C98-D98</f>
        <v>0</v>
      </c>
    </row>
    <row r="100" customFormat="false" ht="15" hidden="false" customHeight="false" outlineLevel="0" collapsed="false">
      <c r="A100" s="3" t="s">
        <v>85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customFormat="false" ht="30" hidden="false" customHeight="true" outlineLevel="0" collapsed="false">
      <c r="B101" s="32" t="s">
        <v>86</v>
      </c>
      <c r="C101" s="32" t="s">
        <v>87</v>
      </c>
      <c r="D101" s="32" t="s">
        <v>88</v>
      </c>
      <c r="E101" s="32" t="s">
        <v>89</v>
      </c>
      <c r="F101" s="32" t="s">
        <v>90</v>
      </c>
    </row>
    <row r="102" customFormat="false" ht="15" hidden="false" customHeight="false" outlineLevel="0" collapsed="false">
      <c r="B102" s="30" t="n">
        <v>1</v>
      </c>
      <c r="C102" s="23" t="n">
        <v>1</v>
      </c>
      <c r="D102" s="30" t="n">
        <f aca="false">ROUND(C102/3,0)</f>
        <v>0</v>
      </c>
      <c r="E102" s="30" t="n">
        <f aca="false">$C$13-D102</f>
        <v>28</v>
      </c>
      <c r="F102" s="31" t="n">
        <f aca="false">INDEX($E$70:$E$98,D102+1)</f>
        <v>20000000</v>
      </c>
    </row>
    <row r="103" customFormat="false" ht="15" hidden="false" customHeight="false" outlineLevel="0" collapsed="false">
      <c r="B103" s="30" t="n">
        <v>2</v>
      </c>
      <c r="C103" s="23" t="n">
        <v>2</v>
      </c>
      <c r="D103" s="30" t="n">
        <f aca="false">ROUND(C103/3,0)</f>
        <v>1</v>
      </c>
      <c r="E103" s="30" t="n">
        <f aca="false">$C$13-D103</f>
        <v>27</v>
      </c>
      <c r="F103" s="31" t="n">
        <f aca="false">INDEX($E$70:$E$98,D103+1)</f>
        <v>20000000</v>
      </c>
    </row>
    <row r="104" customFormat="false" ht="15" hidden="false" customHeight="false" outlineLevel="0" collapsed="false">
      <c r="B104" s="30" t="n">
        <v>3</v>
      </c>
      <c r="C104" s="23" t="n">
        <v>3</v>
      </c>
      <c r="D104" s="30" t="n">
        <f aca="false">ROUND(C104/3,0)</f>
        <v>1</v>
      </c>
      <c r="E104" s="30" t="n">
        <f aca="false">$C$13-D104</f>
        <v>27</v>
      </c>
      <c r="F104" s="31" t="n">
        <f aca="false">INDEX($E$70:$E$98,D104+1)</f>
        <v>20000000</v>
      </c>
    </row>
    <row r="105" customFormat="false" ht="15" hidden="false" customHeight="false" outlineLevel="0" collapsed="false">
      <c r="B105" s="30" t="n">
        <v>4</v>
      </c>
      <c r="C105" s="23" t="n">
        <v>4</v>
      </c>
      <c r="D105" s="30" t="n">
        <f aca="false">ROUND(C105/3,0)</f>
        <v>1</v>
      </c>
      <c r="E105" s="30" t="n">
        <f aca="false">$C$13-D105</f>
        <v>27</v>
      </c>
      <c r="F105" s="31" t="n">
        <f aca="false">INDEX($E$70:$E$98,D105+1)</f>
        <v>20000000</v>
      </c>
    </row>
    <row r="106" customFormat="false" ht="15" hidden="false" customHeight="false" outlineLevel="0" collapsed="false">
      <c r="B106" s="30" t="n">
        <v>5</v>
      </c>
      <c r="C106" s="23" t="n">
        <v>5</v>
      </c>
      <c r="D106" s="30" t="n">
        <f aca="false">ROUND(C106/3,0)</f>
        <v>2</v>
      </c>
      <c r="E106" s="30" t="n">
        <f aca="false">$C$13-D106</f>
        <v>26</v>
      </c>
      <c r="F106" s="31" t="n">
        <f aca="false">INDEX($E$70:$E$98,D106+1)</f>
        <v>20000000</v>
      </c>
    </row>
    <row r="107" customFormat="false" ht="15" hidden="false" customHeight="false" outlineLevel="0" collapsed="false">
      <c r="B107" s="30" t="n">
        <v>6</v>
      </c>
      <c r="C107" s="23" t="n">
        <v>6</v>
      </c>
      <c r="D107" s="30" t="n">
        <f aca="false">ROUND(C107/3,0)</f>
        <v>2</v>
      </c>
      <c r="E107" s="30" t="n">
        <f aca="false">$C$13-D107</f>
        <v>26</v>
      </c>
      <c r="F107" s="31" t="n">
        <f aca="false">INDEX($E$70:$E$98,D107+1)</f>
        <v>20000000</v>
      </c>
    </row>
    <row r="108" customFormat="false" ht="15" hidden="false" customHeight="false" outlineLevel="0" collapsed="false">
      <c r="B108" s="30" t="n">
        <v>7</v>
      </c>
      <c r="C108" s="23" t="n">
        <v>7</v>
      </c>
      <c r="D108" s="30" t="n">
        <f aca="false">ROUND(C108/3,0)</f>
        <v>2</v>
      </c>
      <c r="E108" s="30" t="n">
        <f aca="false">$C$13-D108</f>
        <v>26</v>
      </c>
      <c r="F108" s="31" t="n">
        <f aca="false">INDEX($E$70:$E$98,D108+1)</f>
        <v>20000000</v>
      </c>
    </row>
    <row r="109" customFormat="false" ht="15" hidden="false" customHeight="false" outlineLevel="0" collapsed="false">
      <c r="B109" s="30" t="n">
        <v>8</v>
      </c>
      <c r="C109" s="23" t="n">
        <v>8</v>
      </c>
      <c r="D109" s="30" t="n">
        <f aca="false">ROUND(C109/3,0)</f>
        <v>3</v>
      </c>
      <c r="E109" s="30" t="n">
        <f aca="false">$C$13-D109</f>
        <v>25</v>
      </c>
      <c r="F109" s="31" t="n">
        <f aca="false">INDEX($E$70:$E$98,D109+1)</f>
        <v>20000000</v>
      </c>
    </row>
    <row r="110" customFormat="false" ht="15" hidden="false" customHeight="false" outlineLevel="0" collapsed="false">
      <c r="B110" s="30" t="n">
        <v>9</v>
      </c>
      <c r="C110" s="23" t="n">
        <v>9</v>
      </c>
      <c r="D110" s="30" t="n">
        <f aca="false">ROUND(C110/3,0)</f>
        <v>3</v>
      </c>
      <c r="E110" s="30" t="n">
        <f aca="false">$C$13-D110</f>
        <v>25</v>
      </c>
      <c r="F110" s="31" t="n">
        <f aca="false">INDEX($E$70:$E$98,D110+1)</f>
        <v>20000000</v>
      </c>
    </row>
    <row r="111" customFormat="false" ht="15" hidden="false" customHeight="false" outlineLevel="0" collapsed="false">
      <c r="B111" s="30" t="n">
        <v>10</v>
      </c>
      <c r="C111" s="23" t="n">
        <v>10</v>
      </c>
      <c r="D111" s="30" t="n">
        <f aca="false">ROUND(C111/3,0)</f>
        <v>3</v>
      </c>
      <c r="E111" s="30" t="n">
        <f aca="false">$C$13-D111</f>
        <v>25</v>
      </c>
      <c r="F111" s="31" t="n">
        <f aca="false">INDEX($E$70:$E$98,D111+1)</f>
        <v>20000000</v>
      </c>
    </row>
    <row r="112" customFormat="false" ht="15" hidden="false" customHeight="false" outlineLevel="0" collapsed="false">
      <c r="B112" s="30" t="n">
        <v>11</v>
      </c>
      <c r="C112" s="23" t="n">
        <v>11</v>
      </c>
      <c r="D112" s="30" t="n">
        <f aca="false">ROUND(C112/3,0)</f>
        <v>4</v>
      </c>
      <c r="E112" s="30" t="n">
        <f aca="false">$C$13-D112</f>
        <v>24</v>
      </c>
      <c r="F112" s="31" t="n">
        <f aca="false">INDEX($E$70:$E$98,D112+1)</f>
        <v>20000000</v>
      </c>
    </row>
    <row r="113" customFormat="false" ht="15" hidden="false" customHeight="false" outlineLevel="0" collapsed="false">
      <c r="B113" s="30" t="n">
        <v>12</v>
      </c>
      <c r="C113" s="23" t="n">
        <v>12</v>
      </c>
      <c r="D113" s="30" t="n">
        <f aca="false">ROUND(C113/3,0)</f>
        <v>4</v>
      </c>
      <c r="E113" s="30" t="n">
        <f aca="false">$C$13-D113</f>
        <v>24</v>
      </c>
      <c r="F113" s="31" t="n">
        <f aca="false">INDEX($E$70:$E$98,D113+1)</f>
        <v>20000000</v>
      </c>
    </row>
    <row r="114" customFormat="false" ht="15" hidden="false" customHeight="false" outlineLevel="0" collapsed="false">
      <c r="B114" s="30" t="n">
        <v>13</v>
      </c>
      <c r="C114" s="23" t="n">
        <v>13</v>
      </c>
      <c r="D114" s="30" t="n">
        <f aca="false">ROUND(C114/3,0)</f>
        <v>4</v>
      </c>
      <c r="E114" s="30" t="n">
        <f aca="false">$C$13-D114</f>
        <v>24</v>
      </c>
      <c r="F114" s="31" t="n">
        <f aca="false">INDEX($E$70:$E$98,D114+1)</f>
        <v>20000000</v>
      </c>
    </row>
    <row r="115" customFormat="false" ht="15" hidden="false" customHeight="false" outlineLevel="0" collapsed="false">
      <c r="B115" s="30" t="n">
        <v>14</v>
      </c>
      <c r="C115" s="23" t="n">
        <v>14</v>
      </c>
      <c r="D115" s="30" t="n">
        <f aca="false">ROUND(C115/3,0)</f>
        <v>5</v>
      </c>
      <c r="E115" s="30" t="n">
        <f aca="false">$C$13-D115</f>
        <v>23</v>
      </c>
      <c r="F115" s="31" t="n">
        <f aca="false">INDEX($E$70:$E$98,D115+1)</f>
        <v>19400000</v>
      </c>
    </row>
    <row r="116" customFormat="false" ht="15" hidden="false" customHeight="false" outlineLevel="0" collapsed="false">
      <c r="B116" s="30" t="n">
        <v>15</v>
      </c>
      <c r="C116" s="23" t="n">
        <v>15</v>
      </c>
      <c r="D116" s="30" t="n">
        <f aca="false">ROUND(C116/3,0)</f>
        <v>5</v>
      </c>
      <c r="E116" s="30" t="n">
        <f aca="false">$C$13-D116</f>
        <v>23</v>
      </c>
      <c r="F116" s="31" t="n">
        <f aca="false">INDEX($E$70:$E$98,D116+1)</f>
        <v>19400000</v>
      </c>
    </row>
    <row r="117" customFormat="false" ht="15" hidden="false" customHeight="false" outlineLevel="0" collapsed="false">
      <c r="B117" s="30" t="n">
        <v>16</v>
      </c>
      <c r="C117" s="23" t="n">
        <v>16</v>
      </c>
      <c r="D117" s="30" t="n">
        <f aca="false">ROUND(C117/3,0)</f>
        <v>5</v>
      </c>
      <c r="E117" s="30" t="n">
        <f aca="false">$C$13-D117</f>
        <v>23</v>
      </c>
      <c r="F117" s="31" t="n">
        <f aca="false">INDEX($E$70:$E$98,D117+1)</f>
        <v>19400000</v>
      </c>
    </row>
    <row r="118" customFormat="false" ht="15" hidden="false" customHeight="false" outlineLevel="0" collapsed="false">
      <c r="B118" s="30" t="n">
        <v>17</v>
      </c>
      <c r="C118" s="23" t="n">
        <v>17</v>
      </c>
      <c r="D118" s="30" t="n">
        <f aca="false">ROUND(C118/3,0)</f>
        <v>6</v>
      </c>
      <c r="E118" s="30" t="n">
        <f aca="false">$C$13-D118</f>
        <v>22</v>
      </c>
      <c r="F118" s="31" t="n">
        <f aca="false">INDEX($E$70:$E$98,D118+1)</f>
        <v>18818000</v>
      </c>
    </row>
    <row r="119" customFormat="false" ht="15" hidden="false" customHeight="false" outlineLevel="0" collapsed="false">
      <c r="B119" s="30" t="n">
        <v>18</v>
      </c>
      <c r="C119" s="23" t="n">
        <v>18</v>
      </c>
      <c r="D119" s="30" t="n">
        <f aca="false">ROUND(C119/3,0)</f>
        <v>6</v>
      </c>
      <c r="E119" s="30" t="n">
        <f aca="false">$C$13-D119</f>
        <v>22</v>
      </c>
      <c r="F119" s="31" t="n">
        <f aca="false">INDEX($E$70:$E$98,D119+1)</f>
        <v>18818000</v>
      </c>
    </row>
    <row r="120" customFormat="false" ht="15" hidden="false" customHeight="false" outlineLevel="0" collapsed="false">
      <c r="B120" s="30" t="n">
        <v>19</v>
      </c>
      <c r="C120" s="23" t="n">
        <v>19</v>
      </c>
      <c r="D120" s="30" t="n">
        <f aca="false">ROUND(C120/3,0)</f>
        <v>6</v>
      </c>
      <c r="E120" s="30" t="n">
        <f aca="false">$C$13-D120</f>
        <v>22</v>
      </c>
      <c r="F120" s="31" t="n">
        <f aca="false">INDEX($E$70:$E$98,D120+1)</f>
        <v>18818000</v>
      </c>
    </row>
    <row r="121" customFormat="false" ht="15" hidden="false" customHeight="false" outlineLevel="0" collapsed="false">
      <c r="B121" s="30" t="n">
        <v>20</v>
      </c>
      <c r="C121" s="23" t="n">
        <v>20</v>
      </c>
      <c r="D121" s="30" t="n">
        <f aca="false">ROUND(C121/3,0)</f>
        <v>7</v>
      </c>
      <c r="E121" s="30" t="n">
        <f aca="false">$C$13-D121</f>
        <v>21</v>
      </c>
      <c r="F121" s="31" t="n">
        <f aca="false">INDEX($E$70:$E$98,D121+1)</f>
        <v>18253460</v>
      </c>
    </row>
    <row r="122" customFormat="false" ht="15" hidden="false" customHeight="false" outlineLevel="0" collapsed="false">
      <c r="B122" s="30" t="n">
        <v>21</v>
      </c>
      <c r="C122" s="23" t="n">
        <v>21</v>
      </c>
      <c r="D122" s="30" t="n">
        <f aca="false">ROUND(C122/3,0)</f>
        <v>7</v>
      </c>
      <c r="E122" s="30" t="n">
        <f aca="false">$C$13-D122</f>
        <v>21</v>
      </c>
      <c r="F122" s="31" t="n">
        <f aca="false">INDEX($E$70:$E$98,D122+1)</f>
        <v>18253460</v>
      </c>
    </row>
    <row r="123" customFormat="false" ht="15" hidden="false" customHeight="false" outlineLevel="0" collapsed="false">
      <c r="B123" s="30" t="n">
        <v>22</v>
      </c>
      <c r="C123" s="23" t="n">
        <v>22</v>
      </c>
      <c r="D123" s="30" t="n">
        <f aca="false">ROUND(C123/3,0)</f>
        <v>7</v>
      </c>
      <c r="E123" s="30" t="n">
        <f aca="false">$C$13-D123</f>
        <v>21</v>
      </c>
      <c r="F123" s="31" t="n">
        <f aca="false">INDEX($E$70:$E$98,D123+1)</f>
        <v>18253460</v>
      </c>
    </row>
    <row r="124" customFormat="false" ht="15" hidden="false" customHeight="false" outlineLevel="0" collapsed="false">
      <c r="B124" s="30" t="n">
        <v>23</v>
      </c>
      <c r="C124" s="23" t="n">
        <v>23</v>
      </c>
      <c r="D124" s="30" t="n">
        <f aca="false">ROUND(C124/3,0)</f>
        <v>8</v>
      </c>
      <c r="E124" s="30" t="n">
        <f aca="false">$C$13-D124</f>
        <v>20</v>
      </c>
      <c r="F124" s="31" t="n">
        <f aca="false">INDEX($E$70:$E$98,D124+1)</f>
        <v>17705856.2</v>
      </c>
    </row>
    <row r="125" customFormat="false" ht="15" hidden="false" customHeight="false" outlineLevel="0" collapsed="false">
      <c r="B125" s="30" t="n">
        <v>24</v>
      </c>
      <c r="C125" s="23" t="n">
        <v>24</v>
      </c>
      <c r="D125" s="30" t="n">
        <f aca="false">ROUND(C125/3,0)</f>
        <v>8</v>
      </c>
      <c r="E125" s="30" t="n">
        <f aca="false">$C$13-D125</f>
        <v>20</v>
      </c>
      <c r="F125" s="31" t="n">
        <f aca="false">INDEX($E$70:$E$98,D125+1)</f>
        <v>17705856.2</v>
      </c>
    </row>
    <row r="126" customFormat="false" ht="15" hidden="false" customHeight="false" outlineLevel="0" collapsed="false">
      <c r="B126" s="30" t="n">
        <v>25</v>
      </c>
      <c r="C126" s="23" t="n">
        <v>25</v>
      </c>
      <c r="D126" s="30" t="n">
        <f aca="false">ROUND(C126/3,0)</f>
        <v>8</v>
      </c>
      <c r="E126" s="30" t="n">
        <f aca="false">$C$13-D126</f>
        <v>20</v>
      </c>
      <c r="F126" s="31" t="n">
        <f aca="false">INDEX($E$70:$E$98,D126+1)</f>
        <v>17705856.2</v>
      </c>
    </row>
    <row r="127" customFormat="false" ht="15" hidden="false" customHeight="false" outlineLevel="0" collapsed="false">
      <c r="B127" s="30" t="n">
        <v>26</v>
      </c>
      <c r="C127" s="23" t="n">
        <v>26</v>
      </c>
      <c r="D127" s="30" t="n">
        <f aca="false">ROUND(C127/3,0)</f>
        <v>9</v>
      </c>
      <c r="E127" s="30" t="n">
        <f aca="false">$C$13-D127</f>
        <v>19</v>
      </c>
      <c r="F127" s="31" t="n">
        <f aca="false">INDEX($E$70:$E$98,D127+1)</f>
        <v>17174680.514</v>
      </c>
    </row>
    <row r="128" customFormat="false" ht="15" hidden="false" customHeight="false" outlineLevel="0" collapsed="false">
      <c r="B128" s="30" t="n">
        <v>27</v>
      </c>
      <c r="C128" s="23" t="n">
        <v>27</v>
      </c>
      <c r="D128" s="30" t="n">
        <f aca="false">ROUND(C128/3,0)</f>
        <v>9</v>
      </c>
      <c r="E128" s="30" t="n">
        <f aca="false">$C$13-D128</f>
        <v>19</v>
      </c>
      <c r="F128" s="31" t="n">
        <f aca="false">INDEX($E$70:$E$98,D128+1)</f>
        <v>17174680.514</v>
      </c>
    </row>
    <row r="129" customFormat="false" ht="15" hidden="false" customHeight="false" outlineLevel="0" collapsed="false">
      <c r="B129" s="30" t="n">
        <v>28</v>
      </c>
      <c r="C129" s="23" t="n">
        <v>28</v>
      </c>
      <c r="D129" s="30" t="n">
        <f aca="false">ROUND(C129/3,0)</f>
        <v>9</v>
      </c>
      <c r="E129" s="30" t="n">
        <f aca="false">$C$13-D129</f>
        <v>19</v>
      </c>
      <c r="F129" s="31" t="n">
        <f aca="false">INDEX($E$70:$E$98,D129+1)</f>
        <v>17174680.514</v>
      </c>
    </row>
    <row r="130" customFormat="false" ht="15" hidden="false" customHeight="false" outlineLevel="0" collapsed="false">
      <c r="B130" s="30" t="n">
        <v>29</v>
      </c>
      <c r="C130" s="23" t="n">
        <v>29</v>
      </c>
      <c r="D130" s="30" t="n">
        <f aca="false">ROUND(C130/3,0)</f>
        <v>10</v>
      </c>
      <c r="E130" s="30" t="n">
        <f aca="false">$C$13-D130</f>
        <v>18</v>
      </c>
      <c r="F130" s="31" t="n">
        <f aca="false">INDEX($E$70:$E$98,D130+1)</f>
        <v>16659440.09858</v>
      </c>
    </row>
    <row r="131" customFormat="false" ht="15" hidden="false" customHeight="false" outlineLevel="0" collapsed="false">
      <c r="B131" s="30" t="n">
        <v>30</v>
      </c>
      <c r="C131" s="23" t="n">
        <v>30</v>
      </c>
      <c r="D131" s="30" t="n">
        <f aca="false">ROUND(C131/3,0)</f>
        <v>10</v>
      </c>
      <c r="E131" s="30" t="n">
        <f aca="false">$C$13-D131</f>
        <v>18</v>
      </c>
      <c r="F131" s="31" t="n">
        <f aca="false">INDEX($E$70:$E$98,D131+1)</f>
        <v>16659440.09858</v>
      </c>
    </row>
    <row r="133" customFormat="false" ht="15" hidden="false" customHeight="false" outlineLevel="0" collapsed="false">
      <c r="B133" s="33" t="s">
        <v>91</v>
      </c>
      <c r="C133" s="34" t="n">
        <f aca="false">SUM(F102:F131)</f>
        <v>567374870.33916</v>
      </c>
    </row>
    <row r="134" customFormat="false" ht="15" hidden="false" customHeight="false" outlineLevel="0" collapsed="false">
      <c r="B134" s="14" t="s">
        <v>92</v>
      </c>
      <c r="C134" s="8" t="n">
        <f aca="false">$C$133*$C$29</f>
        <v>340424922.203496</v>
      </c>
    </row>
    <row r="135" customFormat="false" ht="15" hidden="false" customHeight="false" outlineLevel="0" collapsed="false">
      <c r="B135" s="14" t="s">
        <v>93</v>
      </c>
      <c r="C135" s="8" t="n">
        <f aca="false">$C$133*$C$30</f>
        <v>226949948.135664</v>
      </c>
    </row>
    <row r="136" customFormat="false" ht="15" hidden="false" customHeight="false" outlineLevel="0" collapsed="false">
      <c r="B136" s="5" t="s">
        <v>94</v>
      </c>
      <c r="C136" s="8" t="n">
        <f aca="false">$C$134+$C$135-$C$133</f>
        <v>0</v>
      </c>
    </row>
    <row r="138" customFormat="false" ht="15" hidden="false" customHeight="false" outlineLevel="0" collapsed="false">
      <c r="A138" s="3" t="s">
        <v>95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customFormat="false" ht="30" hidden="false" customHeight="true" outlineLevel="0" collapsed="false">
      <c r="B139" s="32" t="s">
        <v>96</v>
      </c>
      <c r="C139" s="32" t="s">
        <v>97</v>
      </c>
      <c r="D139" s="32" t="s">
        <v>98</v>
      </c>
      <c r="E139" s="32" t="s">
        <v>99</v>
      </c>
      <c r="F139" s="32" t="s">
        <v>100</v>
      </c>
      <c r="G139" s="32" t="s">
        <v>101</v>
      </c>
    </row>
    <row r="140" customFormat="false" ht="15" hidden="false" customHeight="false" outlineLevel="0" collapsed="false">
      <c r="B140" s="30" t="n">
        <v>1</v>
      </c>
      <c r="C140" s="30" t="n">
        <v>0</v>
      </c>
      <c r="D140" s="30" t="n">
        <f aca="false">COUNTIF($D$102:$D$131,C140)</f>
        <v>1</v>
      </c>
      <c r="E140" s="30" t="n">
        <f aca="false">$C$13-C140</f>
        <v>28</v>
      </c>
      <c r="F140" s="31" t="n">
        <f aca="false">INDEX($E$70:$E$98,C140+1)</f>
        <v>20000000</v>
      </c>
      <c r="G140" s="31" t="n">
        <f aca="false">D140*F140</f>
        <v>20000000</v>
      </c>
    </row>
    <row r="141" customFormat="false" ht="15" hidden="false" customHeight="false" outlineLevel="0" collapsed="false">
      <c r="B141" s="30" t="n">
        <v>2</v>
      </c>
      <c r="C141" s="30" t="n">
        <v>1</v>
      </c>
      <c r="D141" s="30" t="n">
        <f aca="false">COUNTIF($D$102:$D$131,C141)</f>
        <v>3</v>
      </c>
      <c r="E141" s="30" t="n">
        <f aca="false">$C$13-C141</f>
        <v>27</v>
      </c>
      <c r="F141" s="31" t="n">
        <f aca="false">INDEX($E$70:$E$98,C141+1)</f>
        <v>20000000</v>
      </c>
      <c r="G141" s="31" t="n">
        <f aca="false">D141*F141</f>
        <v>60000000</v>
      </c>
    </row>
    <row r="142" customFormat="false" ht="15" hidden="false" customHeight="false" outlineLevel="0" collapsed="false">
      <c r="B142" s="30" t="n">
        <v>3</v>
      </c>
      <c r="C142" s="30" t="n">
        <v>2</v>
      </c>
      <c r="D142" s="30" t="n">
        <f aca="false">COUNTIF($D$102:$D$131,C142)</f>
        <v>3</v>
      </c>
      <c r="E142" s="30" t="n">
        <f aca="false">$C$13-C142</f>
        <v>26</v>
      </c>
      <c r="F142" s="31" t="n">
        <f aca="false">INDEX($E$70:$E$98,C142+1)</f>
        <v>20000000</v>
      </c>
      <c r="G142" s="31" t="n">
        <f aca="false">D142*F142</f>
        <v>60000000</v>
      </c>
    </row>
    <row r="143" customFormat="false" ht="15" hidden="false" customHeight="false" outlineLevel="0" collapsed="false">
      <c r="B143" s="30" t="n">
        <v>4</v>
      </c>
      <c r="C143" s="30" t="n">
        <v>3</v>
      </c>
      <c r="D143" s="30" t="n">
        <f aca="false">COUNTIF($D$102:$D$131,C143)</f>
        <v>3</v>
      </c>
      <c r="E143" s="30" t="n">
        <f aca="false">$C$13-C143</f>
        <v>25</v>
      </c>
      <c r="F143" s="31" t="n">
        <f aca="false">INDEX($E$70:$E$98,C143+1)</f>
        <v>20000000</v>
      </c>
      <c r="G143" s="31" t="n">
        <f aca="false">D143*F143</f>
        <v>60000000</v>
      </c>
    </row>
    <row r="144" customFormat="false" ht="15" hidden="false" customHeight="false" outlineLevel="0" collapsed="false">
      <c r="B144" s="30" t="n">
        <v>5</v>
      </c>
      <c r="C144" s="30" t="n">
        <v>4</v>
      </c>
      <c r="D144" s="30" t="n">
        <f aca="false">COUNTIF($D$102:$D$131,C144)</f>
        <v>3</v>
      </c>
      <c r="E144" s="30" t="n">
        <f aca="false">$C$13-C144</f>
        <v>24</v>
      </c>
      <c r="F144" s="31" t="n">
        <f aca="false">INDEX($E$70:$E$98,C144+1)</f>
        <v>20000000</v>
      </c>
      <c r="G144" s="31" t="n">
        <f aca="false">D144*F144</f>
        <v>60000000</v>
      </c>
    </row>
    <row r="145" customFormat="false" ht="15" hidden="false" customHeight="false" outlineLevel="0" collapsed="false">
      <c r="B145" s="30" t="n">
        <v>6</v>
      </c>
      <c r="C145" s="30" t="n">
        <v>5</v>
      </c>
      <c r="D145" s="30" t="n">
        <f aca="false">COUNTIF($D$102:$D$131,C145)</f>
        <v>3</v>
      </c>
      <c r="E145" s="30" t="n">
        <f aca="false">$C$13-C145</f>
        <v>23</v>
      </c>
      <c r="F145" s="31" t="n">
        <f aca="false">INDEX($E$70:$E$98,C145+1)</f>
        <v>19400000</v>
      </c>
      <c r="G145" s="31" t="n">
        <f aca="false">D145*F145</f>
        <v>58200000</v>
      </c>
    </row>
    <row r="146" customFormat="false" ht="15" hidden="false" customHeight="false" outlineLevel="0" collapsed="false">
      <c r="B146" s="30" t="n">
        <v>7</v>
      </c>
      <c r="C146" s="30" t="n">
        <v>6</v>
      </c>
      <c r="D146" s="30" t="n">
        <f aca="false">COUNTIF($D$102:$D$131,C146)</f>
        <v>3</v>
      </c>
      <c r="E146" s="30" t="n">
        <f aca="false">$C$13-C146</f>
        <v>22</v>
      </c>
      <c r="F146" s="31" t="n">
        <f aca="false">INDEX($E$70:$E$98,C146+1)</f>
        <v>18818000</v>
      </c>
      <c r="G146" s="31" t="n">
        <f aca="false">D146*F146</f>
        <v>56454000</v>
      </c>
    </row>
    <row r="147" customFormat="false" ht="15" hidden="false" customHeight="false" outlineLevel="0" collapsed="false">
      <c r="B147" s="30" t="n">
        <v>8</v>
      </c>
      <c r="C147" s="30" t="n">
        <v>7</v>
      </c>
      <c r="D147" s="30" t="n">
        <f aca="false">COUNTIF($D$102:$D$131,C147)</f>
        <v>3</v>
      </c>
      <c r="E147" s="30" t="n">
        <f aca="false">$C$13-C147</f>
        <v>21</v>
      </c>
      <c r="F147" s="31" t="n">
        <f aca="false">INDEX($E$70:$E$98,C147+1)</f>
        <v>18253460</v>
      </c>
      <c r="G147" s="31" t="n">
        <f aca="false">D147*F147</f>
        <v>54760380</v>
      </c>
    </row>
    <row r="148" customFormat="false" ht="15" hidden="false" customHeight="false" outlineLevel="0" collapsed="false">
      <c r="B148" s="30" t="n">
        <v>9</v>
      </c>
      <c r="C148" s="30" t="n">
        <v>8</v>
      </c>
      <c r="D148" s="30" t="n">
        <f aca="false">COUNTIF($D$102:$D$131,C148)</f>
        <v>3</v>
      </c>
      <c r="E148" s="30" t="n">
        <f aca="false">$C$13-C148</f>
        <v>20</v>
      </c>
      <c r="F148" s="31" t="n">
        <f aca="false">INDEX($E$70:$E$98,C148+1)</f>
        <v>17705856.2</v>
      </c>
      <c r="G148" s="31" t="n">
        <f aca="false">D148*F148</f>
        <v>53117568.6</v>
      </c>
    </row>
    <row r="149" customFormat="false" ht="15" hidden="false" customHeight="false" outlineLevel="0" collapsed="false">
      <c r="B149" s="30" t="n">
        <v>10</v>
      </c>
      <c r="C149" s="30" t="n">
        <v>9</v>
      </c>
      <c r="D149" s="30" t="n">
        <f aca="false">COUNTIF($D$102:$D$131,C149)</f>
        <v>3</v>
      </c>
      <c r="E149" s="30" t="n">
        <f aca="false">$C$13-C149</f>
        <v>19</v>
      </c>
      <c r="F149" s="31" t="n">
        <f aca="false">INDEX($E$70:$E$98,C149+1)</f>
        <v>17174680.514</v>
      </c>
      <c r="G149" s="31" t="n">
        <f aca="false">D149*F149</f>
        <v>51524041.542</v>
      </c>
    </row>
    <row r="150" customFormat="false" ht="15" hidden="false" customHeight="false" outlineLevel="0" collapsed="false">
      <c r="B150" s="30" t="n">
        <v>11</v>
      </c>
      <c r="C150" s="30" t="n">
        <v>10</v>
      </c>
      <c r="D150" s="30" t="n">
        <f aca="false">COUNTIF($D$102:$D$131,C150)</f>
        <v>2</v>
      </c>
      <c r="E150" s="30" t="n">
        <f aca="false">$C$13-C150</f>
        <v>18</v>
      </c>
      <c r="F150" s="31" t="n">
        <f aca="false">INDEX($E$70:$E$98,C150+1)</f>
        <v>16659440.09858</v>
      </c>
      <c r="G150" s="31" t="n">
        <f aca="false">D150*F150</f>
        <v>33318880.19716</v>
      </c>
    </row>
    <row r="151" customFormat="false" ht="15" hidden="false" customHeight="false" outlineLevel="0" collapsed="false">
      <c r="B151" s="33" t="s">
        <v>102</v>
      </c>
      <c r="D151" s="35" t="n">
        <f aca="false">SUM(D140:D150)</f>
        <v>30</v>
      </c>
      <c r="G151" s="34" t="n">
        <f aca="false">SUM(G140:G150)</f>
        <v>567374870.33916</v>
      </c>
    </row>
    <row r="153" customFormat="false" ht="15" hidden="false" customHeight="false" outlineLevel="0" collapsed="false">
      <c r="B153" s="36" t="s">
        <v>103</v>
      </c>
    </row>
    <row r="154" customFormat="false" ht="15" hidden="false" customHeight="false" outlineLevel="0" collapsed="false">
      <c r="B154" s="2" t="s">
        <v>104</v>
      </c>
    </row>
    <row r="155" customFormat="false" ht="15" hidden="false" customHeight="false" outlineLevel="0" collapsed="false">
      <c r="B155" s="2" t="s">
        <v>105</v>
      </c>
    </row>
    <row r="156" customFormat="false" ht="15" hidden="false" customHeight="false" outlineLevel="0" collapsed="false">
      <c r="B156" s="2" t="s">
        <v>106</v>
      </c>
    </row>
    <row r="157" customFormat="false" ht="15" hidden="false" customHeight="false" outlineLevel="0" collapsed="false">
      <c r="B157" s="2" t="s">
        <v>107</v>
      </c>
    </row>
    <row r="158" customFormat="false" ht="15" hidden="false" customHeight="false" outlineLevel="0" collapsed="false">
      <c r="B158" s="2" t="s">
        <v>108</v>
      </c>
    </row>
    <row r="159" customFormat="false" ht="15" hidden="false" customHeight="false" outlineLevel="0" collapsed="false">
      <c r="B159" s="2" t="s">
        <v>109</v>
      </c>
    </row>
  </sheetData>
  <dataValidations count="1">
    <dataValidation allowBlank="false" errorStyle="stop" operator="between" showDropDown="false" showErrorMessage="false" showInputMessage="false" sqref="C55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4" min="3" style="0" width="11"/>
    <col collapsed="false" customWidth="true" hidden="false" outlineLevel="0" max="40" min="5" style="0" width="9.3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3" t="s">
        <v>112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false" ht="15" hidden="false" customHeight="false" outlineLevel="0" collapsed="false">
      <c r="A5" s="2" t="s">
        <v>113</v>
      </c>
      <c r="E5" s="37" t="n">
        <v>1</v>
      </c>
      <c r="F5" s="37" t="n">
        <v>2</v>
      </c>
      <c r="G5" s="37" t="n">
        <v>3</v>
      </c>
      <c r="H5" s="37" t="n">
        <v>4</v>
      </c>
      <c r="I5" s="37" t="n">
        <v>5</v>
      </c>
      <c r="J5" s="37" t="n">
        <v>6</v>
      </c>
      <c r="K5" s="37" t="n">
        <v>7</v>
      </c>
      <c r="L5" s="37" t="n">
        <v>8</v>
      </c>
      <c r="M5" s="37" t="n">
        <v>9</v>
      </c>
      <c r="N5" s="37" t="n">
        <v>10</v>
      </c>
      <c r="O5" s="37" t="n">
        <v>11</v>
      </c>
      <c r="P5" s="37" t="n">
        <v>12</v>
      </c>
      <c r="Q5" s="37" t="n">
        <v>13</v>
      </c>
      <c r="R5" s="37" t="n">
        <v>14</v>
      </c>
      <c r="S5" s="37" t="n">
        <v>15</v>
      </c>
      <c r="T5" s="37" t="n">
        <v>16</v>
      </c>
      <c r="U5" s="37" t="n">
        <v>17</v>
      </c>
      <c r="V5" s="37" t="n">
        <v>18</v>
      </c>
      <c r="W5" s="37" t="n">
        <v>19</v>
      </c>
      <c r="X5" s="37" t="n">
        <v>20</v>
      </c>
      <c r="Y5" s="37" t="n">
        <v>21</v>
      </c>
      <c r="Z5" s="37" t="n">
        <v>22</v>
      </c>
      <c r="AA5" s="37" t="n">
        <v>23</v>
      </c>
      <c r="AB5" s="37" t="n">
        <v>24</v>
      </c>
      <c r="AC5" s="37" t="n">
        <v>25</v>
      </c>
      <c r="AD5" s="37" t="n">
        <v>26</v>
      </c>
      <c r="AE5" s="37" t="n">
        <v>27</v>
      </c>
      <c r="AF5" s="37" t="n">
        <v>28</v>
      </c>
      <c r="AG5" s="37" t="n">
        <v>29</v>
      </c>
      <c r="AH5" s="37" t="n">
        <v>30</v>
      </c>
      <c r="AI5" s="37" t="n">
        <v>31</v>
      </c>
      <c r="AJ5" s="37" t="n">
        <v>32</v>
      </c>
      <c r="AK5" s="37" t="n">
        <v>33</v>
      </c>
      <c r="AL5" s="37" t="n">
        <v>34</v>
      </c>
      <c r="AM5" s="37" t="n">
        <v>35</v>
      </c>
      <c r="AN5" s="37" t="n">
        <v>36</v>
      </c>
    </row>
    <row r="6" customFormat="false" ht="15" hidden="false" customHeight="false" outlineLevel="0" collapsed="false">
      <c r="A6" s="14" t="s">
        <v>114</v>
      </c>
      <c r="B6" s="38" t="n">
        <f aca="false">'Inputs &amp; Assumptions'!$B$102</f>
        <v>1</v>
      </c>
      <c r="E6" s="39" t="n">
        <f aca="false">IF(('Inputs &amp; Assumptions'!$D$102+1)&lt;='Inputs &amp; Assumptions'!$C$13,INDEX('Inputs &amp; Assumptions'!$D$70:$D$98,'Inputs &amp; Assumptions'!$D$102+1+1),0)</f>
        <v>0</v>
      </c>
      <c r="F6" s="39" t="n">
        <f aca="false">IF(('Inputs &amp; Assumptions'!$D$102+2)&lt;='Inputs &amp; Assumptions'!$C$13,INDEX('Inputs &amp; Assumptions'!$D$70:$D$98,'Inputs &amp; Assumptions'!$D$102+2+1),0)</f>
        <v>0</v>
      </c>
      <c r="G6" s="39" t="n">
        <f aca="false">IF(('Inputs &amp; Assumptions'!$D$102+3)&lt;='Inputs &amp; Assumptions'!$C$13,INDEX('Inputs &amp; Assumptions'!$D$70:$D$98,'Inputs &amp; Assumptions'!$D$102+3+1),0)</f>
        <v>0</v>
      </c>
      <c r="H6" s="39" t="n">
        <f aca="false">IF(('Inputs &amp; Assumptions'!$D$102+4)&lt;='Inputs &amp; Assumptions'!$C$13,INDEX('Inputs &amp; Assumptions'!$D$70:$D$98,'Inputs &amp; Assumptions'!$D$102+4+1),0)</f>
        <v>0</v>
      </c>
      <c r="I6" s="39" t="n">
        <f aca="false">IF(('Inputs &amp; Assumptions'!$D$102+5)&lt;='Inputs &amp; Assumptions'!$C$13,INDEX('Inputs &amp; Assumptions'!$D$70:$D$98,'Inputs &amp; Assumptions'!$D$102+5+1),0)</f>
        <v>600000</v>
      </c>
      <c r="J6" s="39" t="n">
        <f aca="false">IF(('Inputs &amp; Assumptions'!$D$102+6)&lt;='Inputs &amp; Assumptions'!$C$13,INDEX('Inputs &amp; Assumptions'!$D$70:$D$98,'Inputs &amp; Assumptions'!$D$102+6+1),0)</f>
        <v>582000</v>
      </c>
      <c r="K6" s="39" t="n">
        <f aca="false">IF(('Inputs &amp; Assumptions'!$D$102+7)&lt;='Inputs &amp; Assumptions'!$C$13,INDEX('Inputs &amp; Assumptions'!$D$70:$D$98,'Inputs &amp; Assumptions'!$D$102+7+1),0)</f>
        <v>564540</v>
      </c>
      <c r="L6" s="39" t="n">
        <f aca="false">IF(('Inputs &amp; Assumptions'!$D$102+8)&lt;='Inputs &amp; Assumptions'!$C$13,INDEX('Inputs &amp; Assumptions'!$D$70:$D$98,'Inputs &amp; Assumptions'!$D$102+8+1),0)</f>
        <v>547603.8</v>
      </c>
      <c r="M6" s="39" t="n">
        <f aca="false">IF(('Inputs &amp; Assumptions'!$D$102+9)&lt;='Inputs &amp; Assumptions'!$C$13,INDEX('Inputs &amp; Assumptions'!$D$70:$D$98,'Inputs &amp; Assumptions'!$D$102+9+1),0)</f>
        <v>531175.686</v>
      </c>
      <c r="N6" s="39" t="n">
        <f aca="false">IF(('Inputs &amp; Assumptions'!$D$102+10)&lt;='Inputs &amp; Assumptions'!$C$13,INDEX('Inputs &amp; Assumptions'!$D$70:$D$98,'Inputs &amp; Assumptions'!$D$102+10+1),0)</f>
        <v>515240.41542</v>
      </c>
      <c r="O6" s="39" t="n">
        <f aca="false">IF(('Inputs &amp; Assumptions'!$D$102+11)&lt;='Inputs &amp; Assumptions'!$C$13,INDEX('Inputs &amp; Assumptions'!$D$70:$D$98,'Inputs &amp; Assumptions'!$D$102+11+1),0)</f>
        <v>499783.2029574</v>
      </c>
      <c r="P6" s="39" t="n">
        <f aca="false">IF(('Inputs &amp; Assumptions'!$D$102+12)&lt;='Inputs &amp; Assumptions'!$C$13,INDEX('Inputs &amp; Assumptions'!$D$70:$D$98,'Inputs &amp; Assumptions'!$D$102+12+1),0)</f>
        <v>484789.706868678</v>
      </c>
      <c r="Q6" s="39" t="n">
        <f aca="false">IF(('Inputs &amp; Assumptions'!$D$102+13)&lt;='Inputs &amp; Assumptions'!$C$13,INDEX('Inputs &amp; Assumptions'!$D$70:$D$98,'Inputs &amp; Assumptions'!$D$102+13+1),0)</f>
        <v>470246.015662618</v>
      </c>
      <c r="R6" s="39" t="n">
        <f aca="false">IF(('Inputs &amp; Assumptions'!$D$102+14)&lt;='Inputs &amp; Assumptions'!$C$13,INDEX('Inputs &amp; Assumptions'!$D$70:$D$98,'Inputs &amp; Assumptions'!$D$102+14+1),0)</f>
        <v>456138.635192739</v>
      </c>
      <c r="S6" s="39" t="n">
        <f aca="false">IF(('Inputs &amp; Assumptions'!$D$102+15)&lt;='Inputs &amp; Assumptions'!$C$13,INDEX('Inputs &amp; Assumptions'!$D$70:$D$98,'Inputs &amp; Assumptions'!$D$102+15+1),0)</f>
        <v>442454.476136957</v>
      </c>
      <c r="T6" s="39" t="n">
        <f aca="false">IF(('Inputs &amp; Assumptions'!$D$102+16)&lt;='Inputs &amp; Assumptions'!$C$13,INDEX('Inputs &amp; Assumptions'!$D$70:$D$98,'Inputs &amp; Assumptions'!$D$102+16+1),0)</f>
        <v>429180.841852848</v>
      </c>
      <c r="U6" s="39" t="n">
        <f aca="false">IF(('Inputs &amp; Assumptions'!$D$102+17)&lt;='Inputs &amp; Assumptions'!$C$13,INDEX('Inputs &amp; Assumptions'!$D$70:$D$98,'Inputs &amp; Assumptions'!$D$102+17+1),0)</f>
        <v>416305.416597263</v>
      </c>
      <c r="V6" s="39" t="n">
        <f aca="false">IF(('Inputs &amp; Assumptions'!$D$102+18)&lt;='Inputs &amp; Assumptions'!$C$13,INDEX('Inputs &amp; Assumptions'!$D$70:$D$98,'Inputs &amp; Assumptions'!$D$102+18+1),0)</f>
        <v>403816.254099345</v>
      </c>
      <c r="W6" s="39" t="n">
        <f aca="false">IF(('Inputs &amp; Assumptions'!$D$102+19)&lt;='Inputs &amp; Assumptions'!$C$13,INDEX('Inputs &amp; Assumptions'!$D$70:$D$98,'Inputs &amp; Assumptions'!$D$102+19+1),0)</f>
        <v>391701.766476365</v>
      </c>
      <c r="X6" s="39" t="n">
        <f aca="false">IF(('Inputs &amp; Assumptions'!$D$102+20)&lt;='Inputs &amp; Assumptions'!$C$13,INDEX('Inputs &amp; Assumptions'!$D$70:$D$98,'Inputs &amp; Assumptions'!$D$102+20+1),0)</f>
        <v>379950.713482074</v>
      </c>
      <c r="Y6" s="39" t="n">
        <f aca="false">IF(('Inputs &amp; Assumptions'!$D$102+21)&lt;='Inputs &amp; Assumptions'!$C$13,INDEX('Inputs &amp; Assumptions'!$D$70:$D$98,'Inputs &amp; Assumptions'!$D$102+21+1),0)</f>
        <v>368552.192077611</v>
      </c>
      <c r="Z6" s="39" t="n">
        <f aca="false">IF(('Inputs &amp; Assumptions'!$D$102+22)&lt;='Inputs &amp; Assumptions'!$C$13,INDEX('Inputs &amp; Assumptions'!$D$70:$D$98,'Inputs &amp; Assumptions'!$D$102+22+1),0)</f>
        <v>357495.626315283</v>
      </c>
      <c r="AA6" s="39" t="n">
        <f aca="false">IF(('Inputs &amp; Assumptions'!$D$102+23)&lt;='Inputs &amp; Assumptions'!$C$13,INDEX('Inputs &amp; Assumptions'!$D$70:$D$98,'Inputs &amp; Assumptions'!$D$102+23+1),0)</f>
        <v>346770.757525825</v>
      </c>
      <c r="AB6" s="39" t="n">
        <f aca="false">IF(('Inputs &amp; Assumptions'!$D$102+24)&lt;='Inputs &amp; Assumptions'!$C$13,INDEX('Inputs &amp; Assumptions'!$D$70:$D$98,'Inputs &amp; Assumptions'!$D$102+24+1),0)</f>
        <v>336367.63480005</v>
      </c>
      <c r="AC6" s="39" t="n">
        <f aca="false">IF(('Inputs &amp; Assumptions'!$D$102+25)&lt;='Inputs &amp; Assumptions'!$C$13,INDEX('Inputs &amp; Assumptions'!$D$70:$D$98,'Inputs &amp; Assumptions'!$D$102+25+1),0)</f>
        <v>326276.605756048</v>
      </c>
      <c r="AD6" s="39" t="n">
        <f aca="false">IF(('Inputs &amp; Assumptions'!$D$102+26)&lt;='Inputs &amp; Assumptions'!$C$13,INDEX('Inputs &amp; Assumptions'!$D$70:$D$98,'Inputs &amp; Assumptions'!$D$102+26+1),0)</f>
        <v>316488.307583367</v>
      </c>
      <c r="AE6" s="39" t="n">
        <f aca="false">IF(('Inputs &amp; Assumptions'!$D$102+27)&lt;='Inputs &amp; Assumptions'!$C$13,INDEX('Inputs &amp; Assumptions'!$D$70:$D$98,'Inputs &amp; Assumptions'!$D$102+27+1),0)</f>
        <v>306993.658355866</v>
      </c>
      <c r="AF6" s="39" t="n">
        <f aca="false">IF(('Inputs &amp; Assumptions'!$D$102+28)&lt;='Inputs &amp; Assumptions'!$C$13,INDEX('Inputs &amp; Assumptions'!$D$70:$D$98,'Inputs &amp; Assumptions'!$D$102+28+1),0)</f>
        <v>9926128.28683967</v>
      </c>
      <c r="AG6" s="39" t="n">
        <f aca="false">IF(('Inputs &amp; Assumptions'!$D$102+29)&lt;='Inputs &amp; Assumptions'!$C$13,INDEX('Inputs &amp; Assumptions'!$D$70:$D$98,'Inputs &amp; Assumptions'!$D$102+29+1),0)</f>
        <v>0</v>
      </c>
      <c r="AH6" s="39" t="n">
        <f aca="false">IF(('Inputs &amp; Assumptions'!$D$102+30)&lt;='Inputs &amp; Assumptions'!$C$13,INDEX('Inputs &amp; Assumptions'!$D$70:$D$98,'Inputs &amp; Assumptions'!$D$102+30+1),0)</f>
        <v>0</v>
      </c>
      <c r="AI6" s="39" t="n">
        <f aca="false">IF(('Inputs &amp; Assumptions'!$D$102+31)&lt;='Inputs &amp; Assumptions'!$C$13,INDEX('Inputs &amp; Assumptions'!$D$70:$D$98,'Inputs &amp; Assumptions'!$D$102+31+1),0)</f>
        <v>0</v>
      </c>
      <c r="AJ6" s="39" t="n">
        <f aca="false">IF(('Inputs &amp; Assumptions'!$D$102+32)&lt;='Inputs &amp; Assumptions'!$C$13,INDEX('Inputs &amp; Assumptions'!$D$70:$D$98,'Inputs &amp; Assumptions'!$D$102+32+1),0)</f>
        <v>0</v>
      </c>
      <c r="AK6" s="39" t="n">
        <f aca="false">IF(('Inputs &amp; Assumptions'!$D$102+33)&lt;='Inputs &amp; Assumptions'!$C$13,INDEX('Inputs &amp; Assumptions'!$D$70:$D$98,'Inputs &amp; Assumptions'!$D$102+33+1),0)</f>
        <v>0</v>
      </c>
      <c r="AL6" s="39" t="n">
        <f aca="false">IF(('Inputs &amp; Assumptions'!$D$102+34)&lt;='Inputs &amp; Assumptions'!$C$13,INDEX('Inputs &amp; Assumptions'!$D$70:$D$98,'Inputs &amp; Assumptions'!$D$102+34+1),0)</f>
        <v>0</v>
      </c>
      <c r="AM6" s="39" t="n">
        <f aca="false">IF(('Inputs &amp; Assumptions'!$D$102+35)&lt;='Inputs &amp; Assumptions'!$C$13,INDEX('Inputs &amp; Assumptions'!$D$70:$D$98,'Inputs &amp; Assumptions'!$D$102+35+1),0)</f>
        <v>0</v>
      </c>
      <c r="AN6" s="39" t="n">
        <f aca="false">IF(('Inputs &amp; Assumptions'!$D$102+36)&lt;='Inputs &amp; Assumptions'!$C$13,INDEX('Inputs &amp; Assumptions'!$D$70:$D$98,'Inputs &amp; Assumptions'!$D$102+36+1),0)</f>
        <v>0</v>
      </c>
    </row>
    <row r="7" customFormat="false" ht="15" hidden="false" customHeight="false" outlineLevel="0" collapsed="false">
      <c r="B7" s="38" t="n">
        <f aca="false">'Inputs &amp; Assumptions'!$B$103</f>
        <v>2</v>
      </c>
      <c r="E7" s="39" t="n">
        <f aca="false">IF(('Inputs &amp; Assumptions'!$D$103+1)&lt;='Inputs &amp; Assumptions'!$C$13,INDEX('Inputs &amp; Assumptions'!$D$70:$D$98,'Inputs &amp; Assumptions'!$D$103+1+1),0)</f>
        <v>0</v>
      </c>
      <c r="F7" s="39" t="n">
        <f aca="false">IF(('Inputs &amp; Assumptions'!$D$103+2)&lt;='Inputs &amp; Assumptions'!$C$13,INDEX('Inputs &amp; Assumptions'!$D$70:$D$98,'Inputs &amp; Assumptions'!$D$103+2+1),0)</f>
        <v>0</v>
      </c>
      <c r="G7" s="39" t="n">
        <f aca="false">IF(('Inputs &amp; Assumptions'!$D$103+3)&lt;='Inputs &amp; Assumptions'!$C$13,INDEX('Inputs &amp; Assumptions'!$D$70:$D$98,'Inputs &amp; Assumptions'!$D$103+3+1),0)</f>
        <v>0</v>
      </c>
      <c r="H7" s="39" t="n">
        <f aca="false">IF(('Inputs &amp; Assumptions'!$D$103+4)&lt;='Inputs &amp; Assumptions'!$C$13,INDEX('Inputs &amp; Assumptions'!$D$70:$D$98,'Inputs &amp; Assumptions'!$D$103+4+1),0)</f>
        <v>600000</v>
      </c>
      <c r="I7" s="39" t="n">
        <f aca="false">IF(('Inputs &amp; Assumptions'!$D$103+5)&lt;='Inputs &amp; Assumptions'!$C$13,INDEX('Inputs &amp; Assumptions'!$D$70:$D$98,'Inputs &amp; Assumptions'!$D$103+5+1),0)</f>
        <v>582000</v>
      </c>
      <c r="J7" s="39" t="n">
        <f aca="false">IF(('Inputs &amp; Assumptions'!$D$103+6)&lt;='Inputs &amp; Assumptions'!$C$13,INDEX('Inputs &amp; Assumptions'!$D$70:$D$98,'Inputs &amp; Assumptions'!$D$103+6+1),0)</f>
        <v>564540</v>
      </c>
      <c r="K7" s="39" t="n">
        <f aca="false">IF(('Inputs &amp; Assumptions'!$D$103+7)&lt;='Inputs &amp; Assumptions'!$C$13,INDEX('Inputs &amp; Assumptions'!$D$70:$D$98,'Inputs &amp; Assumptions'!$D$103+7+1),0)</f>
        <v>547603.8</v>
      </c>
      <c r="L7" s="39" t="n">
        <f aca="false">IF(('Inputs &amp; Assumptions'!$D$103+8)&lt;='Inputs &amp; Assumptions'!$C$13,INDEX('Inputs &amp; Assumptions'!$D$70:$D$98,'Inputs &amp; Assumptions'!$D$103+8+1),0)</f>
        <v>531175.686</v>
      </c>
      <c r="M7" s="39" t="n">
        <f aca="false">IF(('Inputs &amp; Assumptions'!$D$103+9)&lt;='Inputs &amp; Assumptions'!$C$13,INDEX('Inputs &amp; Assumptions'!$D$70:$D$98,'Inputs &amp; Assumptions'!$D$103+9+1),0)</f>
        <v>515240.41542</v>
      </c>
      <c r="N7" s="39" t="n">
        <f aca="false">IF(('Inputs &amp; Assumptions'!$D$103+10)&lt;='Inputs &amp; Assumptions'!$C$13,INDEX('Inputs &amp; Assumptions'!$D$70:$D$98,'Inputs &amp; Assumptions'!$D$103+10+1),0)</f>
        <v>499783.2029574</v>
      </c>
      <c r="O7" s="39" t="n">
        <f aca="false">IF(('Inputs &amp; Assumptions'!$D$103+11)&lt;='Inputs &amp; Assumptions'!$C$13,INDEX('Inputs &amp; Assumptions'!$D$70:$D$98,'Inputs &amp; Assumptions'!$D$103+11+1),0)</f>
        <v>484789.706868678</v>
      </c>
      <c r="P7" s="39" t="n">
        <f aca="false">IF(('Inputs &amp; Assumptions'!$D$103+12)&lt;='Inputs &amp; Assumptions'!$C$13,INDEX('Inputs &amp; Assumptions'!$D$70:$D$98,'Inputs &amp; Assumptions'!$D$103+12+1),0)</f>
        <v>470246.015662618</v>
      </c>
      <c r="Q7" s="39" t="n">
        <f aca="false">IF(('Inputs &amp; Assumptions'!$D$103+13)&lt;='Inputs &amp; Assumptions'!$C$13,INDEX('Inputs &amp; Assumptions'!$D$70:$D$98,'Inputs &amp; Assumptions'!$D$103+13+1),0)</f>
        <v>456138.635192739</v>
      </c>
      <c r="R7" s="39" t="n">
        <f aca="false">IF(('Inputs &amp; Assumptions'!$D$103+14)&lt;='Inputs &amp; Assumptions'!$C$13,INDEX('Inputs &amp; Assumptions'!$D$70:$D$98,'Inputs &amp; Assumptions'!$D$103+14+1),0)</f>
        <v>442454.476136957</v>
      </c>
      <c r="S7" s="39" t="n">
        <f aca="false">IF(('Inputs &amp; Assumptions'!$D$103+15)&lt;='Inputs &amp; Assumptions'!$C$13,INDEX('Inputs &amp; Assumptions'!$D$70:$D$98,'Inputs &amp; Assumptions'!$D$103+15+1),0)</f>
        <v>429180.841852848</v>
      </c>
      <c r="T7" s="39" t="n">
        <f aca="false">IF(('Inputs &amp; Assumptions'!$D$103+16)&lt;='Inputs &amp; Assumptions'!$C$13,INDEX('Inputs &amp; Assumptions'!$D$70:$D$98,'Inputs &amp; Assumptions'!$D$103+16+1),0)</f>
        <v>416305.416597263</v>
      </c>
      <c r="U7" s="39" t="n">
        <f aca="false">IF(('Inputs &amp; Assumptions'!$D$103+17)&lt;='Inputs &amp; Assumptions'!$C$13,INDEX('Inputs &amp; Assumptions'!$D$70:$D$98,'Inputs &amp; Assumptions'!$D$103+17+1),0)</f>
        <v>403816.254099345</v>
      </c>
      <c r="V7" s="39" t="n">
        <f aca="false">IF(('Inputs &amp; Assumptions'!$D$103+18)&lt;='Inputs &amp; Assumptions'!$C$13,INDEX('Inputs &amp; Assumptions'!$D$70:$D$98,'Inputs &amp; Assumptions'!$D$103+18+1),0)</f>
        <v>391701.766476365</v>
      </c>
      <c r="W7" s="39" t="n">
        <f aca="false">IF(('Inputs &amp; Assumptions'!$D$103+19)&lt;='Inputs &amp; Assumptions'!$C$13,INDEX('Inputs &amp; Assumptions'!$D$70:$D$98,'Inputs &amp; Assumptions'!$D$103+19+1),0)</f>
        <v>379950.713482074</v>
      </c>
      <c r="X7" s="39" t="n">
        <f aca="false">IF(('Inputs &amp; Assumptions'!$D$103+20)&lt;='Inputs &amp; Assumptions'!$C$13,INDEX('Inputs &amp; Assumptions'!$D$70:$D$98,'Inputs &amp; Assumptions'!$D$103+20+1),0)</f>
        <v>368552.192077611</v>
      </c>
      <c r="Y7" s="39" t="n">
        <f aca="false">IF(('Inputs &amp; Assumptions'!$D$103+21)&lt;='Inputs &amp; Assumptions'!$C$13,INDEX('Inputs &amp; Assumptions'!$D$70:$D$98,'Inputs &amp; Assumptions'!$D$103+21+1),0)</f>
        <v>357495.626315283</v>
      </c>
      <c r="Z7" s="39" t="n">
        <f aca="false">IF(('Inputs &amp; Assumptions'!$D$103+22)&lt;='Inputs &amp; Assumptions'!$C$13,INDEX('Inputs &amp; Assumptions'!$D$70:$D$98,'Inputs &amp; Assumptions'!$D$103+22+1),0)</f>
        <v>346770.757525825</v>
      </c>
      <c r="AA7" s="39" t="n">
        <f aca="false">IF(('Inputs &amp; Assumptions'!$D$103+23)&lt;='Inputs &amp; Assumptions'!$C$13,INDEX('Inputs &amp; Assumptions'!$D$70:$D$98,'Inputs &amp; Assumptions'!$D$103+23+1),0)</f>
        <v>336367.63480005</v>
      </c>
      <c r="AB7" s="39" t="n">
        <f aca="false">IF(('Inputs &amp; Assumptions'!$D$103+24)&lt;='Inputs &amp; Assumptions'!$C$13,INDEX('Inputs &amp; Assumptions'!$D$70:$D$98,'Inputs &amp; Assumptions'!$D$103+24+1),0)</f>
        <v>326276.605756048</v>
      </c>
      <c r="AC7" s="39" t="n">
        <f aca="false">IF(('Inputs &amp; Assumptions'!$D$103+25)&lt;='Inputs &amp; Assumptions'!$C$13,INDEX('Inputs &amp; Assumptions'!$D$70:$D$98,'Inputs &amp; Assumptions'!$D$103+25+1),0)</f>
        <v>316488.307583367</v>
      </c>
      <c r="AD7" s="39" t="n">
        <f aca="false">IF(('Inputs &amp; Assumptions'!$D$103+26)&lt;='Inputs &amp; Assumptions'!$C$13,INDEX('Inputs &amp; Assumptions'!$D$70:$D$98,'Inputs &amp; Assumptions'!$D$103+26+1),0)</f>
        <v>306993.658355866</v>
      </c>
      <c r="AE7" s="39" t="n">
        <f aca="false">IF(('Inputs &amp; Assumptions'!$D$103+27)&lt;='Inputs &amp; Assumptions'!$C$13,INDEX('Inputs &amp; Assumptions'!$D$70:$D$98,'Inputs &amp; Assumptions'!$D$103+27+1),0)</f>
        <v>9926128.28683967</v>
      </c>
      <c r="AF7" s="39" t="n">
        <f aca="false">IF(('Inputs &amp; Assumptions'!$D$103+28)&lt;='Inputs &amp; Assumptions'!$C$13,INDEX('Inputs &amp; Assumptions'!$D$70:$D$98,'Inputs &amp; Assumptions'!$D$103+28+1),0)</f>
        <v>0</v>
      </c>
      <c r="AG7" s="39" t="n">
        <f aca="false">IF(('Inputs &amp; Assumptions'!$D$103+29)&lt;='Inputs &amp; Assumptions'!$C$13,INDEX('Inputs &amp; Assumptions'!$D$70:$D$98,'Inputs &amp; Assumptions'!$D$103+29+1),0)</f>
        <v>0</v>
      </c>
      <c r="AH7" s="39" t="n">
        <f aca="false">IF(('Inputs &amp; Assumptions'!$D$103+30)&lt;='Inputs &amp; Assumptions'!$C$13,INDEX('Inputs &amp; Assumptions'!$D$70:$D$98,'Inputs &amp; Assumptions'!$D$103+30+1),0)</f>
        <v>0</v>
      </c>
      <c r="AI7" s="39" t="n">
        <f aca="false">IF(('Inputs &amp; Assumptions'!$D$103+31)&lt;='Inputs &amp; Assumptions'!$C$13,INDEX('Inputs &amp; Assumptions'!$D$70:$D$98,'Inputs &amp; Assumptions'!$D$103+31+1),0)</f>
        <v>0</v>
      </c>
      <c r="AJ7" s="39" t="n">
        <f aca="false">IF(('Inputs &amp; Assumptions'!$D$103+32)&lt;='Inputs &amp; Assumptions'!$C$13,INDEX('Inputs &amp; Assumptions'!$D$70:$D$98,'Inputs &amp; Assumptions'!$D$103+32+1),0)</f>
        <v>0</v>
      </c>
      <c r="AK7" s="39" t="n">
        <f aca="false">IF(('Inputs &amp; Assumptions'!$D$103+33)&lt;='Inputs &amp; Assumptions'!$C$13,INDEX('Inputs &amp; Assumptions'!$D$70:$D$98,'Inputs &amp; Assumptions'!$D$103+33+1),0)</f>
        <v>0</v>
      </c>
      <c r="AL7" s="39" t="n">
        <f aca="false">IF(('Inputs &amp; Assumptions'!$D$103+34)&lt;='Inputs &amp; Assumptions'!$C$13,INDEX('Inputs &amp; Assumptions'!$D$70:$D$98,'Inputs &amp; Assumptions'!$D$103+34+1),0)</f>
        <v>0</v>
      </c>
      <c r="AM7" s="39" t="n">
        <f aca="false">IF(('Inputs &amp; Assumptions'!$D$103+35)&lt;='Inputs &amp; Assumptions'!$C$13,INDEX('Inputs &amp; Assumptions'!$D$70:$D$98,'Inputs &amp; Assumptions'!$D$103+35+1),0)</f>
        <v>0</v>
      </c>
      <c r="AN7" s="39" t="n">
        <f aca="false">IF(('Inputs &amp; Assumptions'!$D$103+36)&lt;='Inputs &amp; Assumptions'!$C$13,INDEX('Inputs &amp; Assumptions'!$D$70:$D$98,'Inputs &amp; Assumptions'!$D$103+36+1),0)</f>
        <v>0</v>
      </c>
    </row>
    <row r="8" customFormat="false" ht="15" hidden="false" customHeight="false" outlineLevel="0" collapsed="false">
      <c r="B8" s="38" t="n">
        <f aca="false">'Inputs &amp; Assumptions'!$B$104</f>
        <v>3</v>
      </c>
      <c r="E8" s="39" t="n">
        <f aca="false">IF(('Inputs &amp; Assumptions'!$D$104+1)&lt;='Inputs &amp; Assumptions'!$C$13,INDEX('Inputs &amp; Assumptions'!$D$70:$D$98,'Inputs &amp; Assumptions'!$D$104+1+1),0)</f>
        <v>0</v>
      </c>
      <c r="F8" s="39" t="n">
        <f aca="false">IF(('Inputs &amp; Assumptions'!$D$104+2)&lt;='Inputs &amp; Assumptions'!$C$13,INDEX('Inputs &amp; Assumptions'!$D$70:$D$98,'Inputs &amp; Assumptions'!$D$104+2+1),0)</f>
        <v>0</v>
      </c>
      <c r="G8" s="39" t="n">
        <f aca="false">IF(('Inputs &amp; Assumptions'!$D$104+3)&lt;='Inputs &amp; Assumptions'!$C$13,INDEX('Inputs &amp; Assumptions'!$D$70:$D$98,'Inputs &amp; Assumptions'!$D$104+3+1),0)</f>
        <v>0</v>
      </c>
      <c r="H8" s="39" t="n">
        <f aca="false">IF(('Inputs &amp; Assumptions'!$D$104+4)&lt;='Inputs &amp; Assumptions'!$C$13,INDEX('Inputs &amp; Assumptions'!$D$70:$D$98,'Inputs &amp; Assumptions'!$D$104+4+1),0)</f>
        <v>600000</v>
      </c>
      <c r="I8" s="39" t="n">
        <f aca="false">IF(('Inputs &amp; Assumptions'!$D$104+5)&lt;='Inputs &amp; Assumptions'!$C$13,INDEX('Inputs &amp; Assumptions'!$D$70:$D$98,'Inputs &amp; Assumptions'!$D$104+5+1),0)</f>
        <v>582000</v>
      </c>
      <c r="J8" s="39" t="n">
        <f aca="false">IF(('Inputs &amp; Assumptions'!$D$104+6)&lt;='Inputs &amp; Assumptions'!$C$13,INDEX('Inputs &amp; Assumptions'!$D$70:$D$98,'Inputs &amp; Assumptions'!$D$104+6+1),0)</f>
        <v>564540</v>
      </c>
      <c r="K8" s="39" t="n">
        <f aca="false">IF(('Inputs &amp; Assumptions'!$D$104+7)&lt;='Inputs &amp; Assumptions'!$C$13,INDEX('Inputs &amp; Assumptions'!$D$70:$D$98,'Inputs &amp; Assumptions'!$D$104+7+1),0)</f>
        <v>547603.8</v>
      </c>
      <c r="L8" s="39" t="n">
        <f aca="false">IF(('Inputs &amp; Assumptions'!$D$104+8)&lt;='Inputs &amp; Assumptions'!$C$13,INDEX('Inputs &amp; Assumptions'!$D$70:$D$98,'Inputs &amp; Assumptions'!$D$104+8+1),0)</f>
        <v>531175.686</v>
      </c>
      <c r="M8" s="39" t="n">
        <f aca="false">IF(('Inputs &amp; Assumptions'!$D$104+9)&lt;='Inputs &amp; Assumptions'!$C$13,INDEX('Inputs &amp; Assumptions'!$D$70:$D$98,'Inputs &amp; Assumptions'!$D$104+9+1),0)</f>
        <v>515240.41542</v>
      </c>
      <c r="N8" s="39" t="n">
        <f aca="false">IF(('Inputs &amp; Assumptions'!$D$104+10)&lt;='Inputs &amp; Assumptions'!$C$13,INDEX('Inputs &amp; Assumptions'!$D$70:$D$98,'Inputs &amp; Assumptions'!$D$104+10+1),0)</f>
        <v>499783.2029574</v>
      </c>
      <c r="O8" s="39" t="n">
        <f aca="false">IF(('Inputs &amp; Assumptions'!$D$104+11)&lt;='Inputs &amp; Assumptions'!$C$13,INDEX('Inputs &amp; Assumptions'!$D$70:$D$98,'Inputs &amp; Assumptions'!$D$104+11+1),0)</f>
        <v>484789.706868678</v>
      </c>
      <c r="P8" s="39" t="n">
        <f aca="false">IF(('Inputs &amp; Assumptions'!$D$104+12)&lt;='Inputs &amp; Assumptions'!$C$13,INDEX('Inputs &amp; Assumptions'!$D$70:$D$98,'Inputs &amp; Assumptions'!$D$104+12+1),0)</f>
        <v>470246.015662618</v>
      </c>
      <c r="Q8" s="39" t="n">
        <f aca="false">IF(('Inputs &amp; Assumptions'!$D$104+13)&lt;='Inputs &amp; Assumptions'!$C$13,INDEX('Inputs &amp; Assumptions'!$D$70:$D$98,'Inputs &amp; Assumptions'!$D$104+13+1),0)</f>
        <v>456138.635192739</v>
      </c>
      <c r="R8" s="39" t="n">
        <f aca="false">IF(('Inputs &amp; Assumptions'!$D$104+14)&lt;='Inputs &amp; Assumptions'!$C$13,INDEX('Inputs &amp; Assumptions'!$D$70:$D$98,'Inputs &amp; Assumptions'!$D$104+14+1),0)</f>
        <v>442454.476136957</v>
      </c>
      <c r="S8" s="39" t="n">
        <f aca="false">IF(('Inputs &amp; Assumptions'!$D$104+15)&lt;='Inputs &amp; Assumptions'!$C$13,INDEX('Inputs &amp; Assumptions'!$D$70:$D$98,'Inputs &amp; Assumptions'!$D$104+15+1),0)</f>
        <v>429180.841852848</v>
      </c>
      <c r="T8" s="39" t="n">
        <f aca="false">IF(('Inputs &amp; Assumptions'!$D$104+16)&lt;='Inputs &amp; Assumptions'!$C$13,INDEX('Inputs &amp; Assumptions'!$D$70:$D$98,'Inputs &amp; Assumptions'!$D$104+16+1),0)</f>
        <v>416305.416597263</v>
      </c>
      <c r="U8" s="39" t="n">
        <f aca="false">IF(('Inputs &amp; Assumptions'!$D$104+17)&lt;='Inputs &amp; Assumptions'!$C$13,INDEX('Inputs &amp; Assumptions'!$D$70:$D$98,'Inputs &amp; Assumptions'!$D$104+17+1),0)</f>
        <v>403816.254099345</v>
      </c>
      <c r="V8" s="39" t="n">
        <f aca="false">IF(('Inputs &amp; Assumptions'!$D$104+18)&lt;='Inputs &amp; Assumptions'!$C$13,INDEX('Inputs &amp; Assumptions'!$D$70:$D$98,'Inputs &amp; Assumptions'!$D$104+18+1),0)</f>
        <v>391701.766476365</v>
      </c>
      <c r="W8" s="39" t="n">
        <f aca="false">IF(('Inputs &amp; Assumptions'!$D$104+19)&lt;='Inputs &amp; Assumptions'!$C$13,INDEX('Inputs &amp; Assumptions'!$D$70:$D$98,'Inputs &amp; Assumptions'!$D$104+19+1),0)</f>
        <v>379950.713482074</v>
      </c>
      <c r="X8" s="39" t="n">
        <f aca="false">IF(('Inputs &amp; Assumptions'!$D$104+20)&lt;='Inputs &amp; Assumptions'!$C$13,INDEX('Inputs &amp; Assumptions'!$D$70:$D$98,'Inputs &amp; Assumptions'!$D$104+20+1),0)</f>
        <v>368552.192077611</v>
      </c>
      <c r="Y8" s="39" t="n">
        <f aca="false">IF(('Inputs &amp; Assumptions'!$D$104+21)&lt;='Inputs &amp; Assumptions'!$C$13,INDEX('Inputs &amp; Assumptions'!$D$70:$D$98,'Inputs &amp; Assumptions'!$D$104+21+1),0)</f>
        <v>357495.626315283</v>
      </c>
      <c r="Z8" s="39" t="n">
        <f aca="false">IF(('Inputs &amp; Assumptions'!$D$104+22)&lt;='Inputs &amp; Assumptions'!$C$13,INDEX('Inputs &amp; Assumptions'!$D$70:$D$98,'Inputs &amp; Assumptions'!$D$104+22+1),0)</f>
        <v>346770.757525825</v>
      </c>
      <c r="AA8" s="39" t="n">
        <f aca="false">IF(('Inputs &amp; Assumptions'!$D$104+23)&lt;='Inputs &amp; Assumptions'!$C$13,INDEX('Inputs &amp; Assumptions'!$D$70:$D$98,'Inputs &amp; Assumptions'!$D$104+23+1),0)</f>
        <v>336367.63480005</v>
      </c>
      <c r="AB8" s="39" t="n">
        <f aca="false">IF(('Inputs &amp; Assumptions'!$D$104+24)&lt;='Inputs &amp; Assumptions'!$C$13,INDEX('Inputs &amp; Assumptions'!$D$70:$D$98,'Inputs &amp; Assumptions'!$D$104+24+1),0)</f>
        <v>326276.605756048</v>
      </c>
      <c r="AC8" s="39" t="n">
        <f aca="false">IF(('Inputs &amp; Assumptions'!$D$104+25)&lt;='Inputs &amp; Assumptions'!$C$13,INDEX('Inputs &amp; Assumptions'!$D$70:$D$98,'Inputs &amp; Assumptions'!$D$104+25+1),0)</f>
        <v>316488.307583367</v>
      </c>
      <c r="AD8" s="39" t="n">
        <f aca="false">IF(('Inputs &amp; Assumptions'!$D$104+26)&lt;='Inputs &amp; Assumptions'!$C$13,INDEX('Inputs &amp; Assumptions'!$D$70:$D$98,'Inputs &amp; Assumptions'!$D$104+26+1),0)</f>
        <v>306993.658355866</v>
      </c>
      <c r="AE8" s="39" t="n">
        <f aca="false">IF(('Inputs &amp; Assumptions'!$D$104+27)&lt;='Inputs &amp; Assumptions'!$C$13,INDEX('Inputs &amp; Assumptions'!$D$70:$D$98,'Inputs &amp; Assumptions'!$D$104+27+1),0)</f>
        <v>9926128.28683967</v>
      </c>
      <c r="AF8" s="39" t="n">
        <f aca="false">IF(('Inputs &amp; Assumptions'!$D$104+28)&lt;='Inputs &amp; Assumptions'!$C$13,INDEX('Inputs &amp; Assumptions'!$D$70:$D$98,'Inputs &amp; Assumptions'!$D$104+28+1),0)</f>
        <v>0</v>
      </c>
      <c r="AG8" s="39" t="n">
        <f aca="false">IF(('Inputs &amp; Assumptions'!$D$104+29)&lt;='Inputs &amp; Assumptions'!$C$13,INDEX('Inputs &amp; Assumptions'!$D$70:$D$98,'Inputs &amp; Assumptions'!$D$104+29+1),0)</f>
        <v>0</v>
      </c>
      <c r="AH8" s="39" t="n">
        <f aca="false">IF(('Inputs &amp; Assumptions'!$D$104+30)&lt;='Inputs &amp; Assumptions'!$C$13,INDEX('Inputs &amp; Assumptions'!$D$70:$D$98,'Inputs &amp; Assumptions'!$D$104+30+1),0)</f>
        <v>0</v>
      </c>
      <c r="AI8" s="39" t="n">
        <f aca="false">IF(('Inputs &amp; Assumptions'!$D$104+31)&lt;='Inputs &amp; Assumptions'!$C$13,INDEX('Inputs &amp; Assumptions'!$D$70:$D$98,'Inputs &amp; Assumptions'!$D$104+31+1),0)</f>
        <v>0</v>
      </c>
      <c r="AJ8" s="39" t="n">
        <f aca="false">IF(('Inputs &amp; Assumptions'!$D$104+32)&lt;='Inputs &amp; Assumptions'!$C$13,INDEX('Inputs &amp; Assumptions'!$D$70:$D$98,'Inputs &amp; Assumptions'!$D$104+32+1),0)</f>
        <v>0</v>
      </c>
      <c r="AK8" s="39" t="n">
        <f aca="false">IF(('Inputs &amp; Assumptions'!$D$104+33)&lt;='Inputs &amp; Assumptions'!$C$13,INDEX('Inputs &amp; Assumptions'!$D$70:$D$98,'Inputs &amp; Assumptions'!$D$104+33+1),0)</f>
        <v>0</v>
      </c>
      <c r="AL8" s="39" t="n">
        <f aca="false">IF(('Inputs &amp; Assumptions'!$D$104+34)&lt;='Inputs &amp; Assumptions'!$C$13,INDEX('Inputs &amp; Assumptions'!$D$70:$D$98,'Inputs &amp; Assumptions'!$D$104+34+1),0)</f>
        <v>0</v>
      </c>
      <c r="AM8" s="39" t="n">
        <f aca="false">IF(('Inputs &amp; Assumptions'!$D$104+35)&lt;='Inputs &amp; Assumptions'!$C$13,INDEX('Inputs &amp; Assumptions'!$D$70:$D$98,'Inputs &amp; Assumptions'!$D$104+35+1),0)</f>
        <v>0</v>
      </c>
      <c r="AN8" s="39" t="n">
        <f aca="false">IF(('Inputs &amp; Assumptions'!$D$104+36)&lt;='Inputs &amp; Assumptions'!$C$13,INDEX('Inputs &amp; Assumptions'!$D$70:$D$98,'Inputs &amp; Assumptions'!$D$104+36+1),0)</f>
        <v>0</v>
      </c>
    </row>
    <row r="9" customFormat="false" ht="15" hidden="false" customHeight="false" outlineLevel="0" collapsed="false">
      <c r="B9" s="38" t="n">
        <f aca="false">'Inputs &amp; Assumptions'!$B$105</f>
        <v>4</v>
      </c>
      <c r="E9" s="39" t="n">
        <f aca="false">IF(('Inputs &amp; Assumptions'!$D$105+1)&lt;='Inputs &amp; Assumptions'!$C$13,INDEX('Inputs &amp; Assumptions'!$D$70:$D$98,'Inputs &amp; Assumptions'!$D$105+1+1),0)</f>
        <v>0</v>
      </c>
      <c r="F9" s="39" t="n">
        <f aca="false">IF(('Inputs &amp; Assumptions'!$D$105+2)&lt;='Inputs &amp; Assumptions'!$C$13,INDEX('Inputs &amp; Assumptions'!$D$70:$D$98,'Inputs &amp; Assumptions'!$D$105+2+1),0)</f>
        <v>0</v>
      </c>
      <c r="G9" s="39" t="n">
        <f aca="false">IF(('Inputs &amp; Assumptions'!$D$105+3)&lt;='Inputs &amp; Assumptions'!$C$13,INDEX('Inputs &amp; Assumptions'!$D$70:$D$98,'Inputs &amp; Assumptions'!$D$105+3+1),0)</f>
        <v>0</v>
      </c>
      <c r="H9" s="39" t="n">
        <f aca="false">IF(('Inputs &amp; Assumptions'!$D$105+4)&lt;='Inputs &amp; Assumptions'!$C$13,INDEX('Inputs &amp; Assumptions'!$D$70:$D$98,'Inputs &amp; Assumptions'!$D$105+4+1),0)</f>
        <v>600000</v>
      </c>
      <c r="I9" s="39" t="n">
        <f aca="false">IF(('Inputs &amp; Assumptions'!$D$105+5)&lt;='Inputs &amp; Assumptions'!$C$13,INDEX('Inputs &amp; Assumptions'!$D$70:$D$98,'Inputs &amp; Assumptions'!$D$105+5+1),0)</f>
        <v>582000</v>
      </c>
      <c r="J9" s="39" t="n">
        <f aca="false">IF(('Inputs &amp; Assumptions'!$D$105+6)&lt;='Inputs &amp; Assumptions'!$C$13,INDEX('Inputs &amp; Assumptions'!$D$70:$D$98,'Inputs &amp; Assumptions'!$D$105+6+1),0)</f>
        <v>564540</v>
      </c>
      <c r="K9" s="39" t="n">
        <f aca="false">IF(('Inputs &amp; Assumptions'!$D$105+7)&lt;='Inputs &amp; Assumptions'!$C$13,INDEX('Inputs &amp; Assumptions'!$D$70:$D$98,'Inputs &amp; Assumptions'!$D$105+7+1),0)</f>
        <v>547603.8</v>
      </c>
      <c r="L9" s="39" t="n">
        <f aca="false">IF(('Inputs &amp; Assumptions'!$D$105+8)&lt;='Inputs &amp; Assumptions'!$C$13,INDEX('Inputs &amp; Assumptions'!$D$70:$D$98,'Inputs &amp; Assumptions'!$D$105+8+1),0)</f>
        <v>531175.686</v>
      </c>
      <c r="M9" s="39" t="n">
        <f aca="false">IF(('Inputs &amp; Assumptions'!$D$105+9)&lt;='Inputs &amp; Assumptions'!$C$13,INDEX('Inputs &amp; Assumptions'!$D$70:$D$98,'Inputs &amp; Assumptions'!$D$105+9+1),0)</f>
        <v>515240.41542</v>
      </c>
      <c r="N9" s="39" t="n">
        <f aca="false">IF(('Inputs &amp; Assumptions'!$D$105+10)&lt;='Inputs &amp; Assumptions'!$C$13,INDEX('Inputs &amp; Assumptions'!$D$70:$D$98,'Inputs &amp; Assumptions'!$D$105+10+1),0)</f>
        <v>499783.2029574</v>
      </c>
      <c r="O9" s="39" t="n">
        <f aca="false">IF(('Inputs &amp; Assumptions'!$D$105+11)&lt;='Inputs &amp; Assumptions'!$C$13,INDEX('Inputs &amp; Assumptions'!$D$70:$D$98,'Inputs &amp; Assumptions'!$D$105+11+1),0)</f>
        <v>484789.706868678</v>
      </c>
      <c r="P9" s="39" t="n">
        <f aca="false">IF(('Inputs &amp; Assumptions'!$D$105+12)&lt;='Inputs &amp; Assumptions'!$C$13,INDEX('Inputs &amp; Assumptions'!$D$70:$D$98,'Inputs &amp; Assumptions'!$D$105+12+1),0)</f>
        <v>470246.015662618</v>
      </c>
      <c r="Q9" s="39" t="n">
        <f aca="false">IF(('Inputs &amp; Assumptions'!$D$105+13)&lt;='Inputs &amp; Assumptions'!$C$13,INDEX('Inputs &amp; Assumptions'!$D$70:$D$98,'Inputs &amp; Assumptions'!$D$105+13+1),0)</f>
        <v>456138.635192739</v>
      </c>
      <c r="R9" s="39" t="n">
        <f aca="false">IF(('Inputs &amp; Assumptions'!$D$105+14)&lt;='Inputs &amp; Assumptions'!$C$13,INDEX('Inputs &amp; Assumptions'!$D$70:$D$98,'Inputs &amp; Assumptions'!$D$105+14+1),0)</f>
        <v>442454.476136957</v>
      </c>
      <c r="S9" s="39" t="n">
        <f aca="false">IF(('Inputs &amp; Assumptions'!$D$105+15)&lt;='Inputs &amp; Assumptions'!$C$13,INDEX('Inputs &amp; Assumptions'!$D$70:$D$98,'Inputs &amp; Assumptions'!$D$105+15+1),0)</f>
        <v>429180.841852848</v>
      </c>
      <c r="T9" s="39" t="n">
        <f aca="false">IF(('Inputs &amp; Assumptions'!$D$105+16)&lt;='Inputs &amp; Assumptions'!$C$13,INDEX('Inputs &amp; Assumptions'!$D$70:$D$98,'Inputs &amp; Assumptions'!$D$105+16+1),0)</f>
        <v>416305.416597263</v>
      </c>
      <c r="U9" s="39" t="n">
        <f aca="false">IF(('Inputs &amp; Assumptions'!$D$105+17)&lt;='Inputs &amp; Assumptions'!$C$13,INDEX('Inputs &amp; Assumptions'!$D$70:$D$98,'Inputs &amp; Assumptions'!$D$105+17+1),0)</f>
        <v>403816.254099345</v>
      </c>
      <c r="V9" s="39" t="n">
        <f aca="false">IF(('Inputs &amp; Assumptions'!$D$105+18)&lt;='Inputs &amp; Assumptions'!$C$13,INDEX('Inputs &amp; Assumptions'!$D$70:$D$98,'Inputs &amp; Assumptions'!$D$105+18+1),0)</f>
        <v>391701.766476365</v>
      </c>
      <c r="W9" s="39" t="n">
        <f aca="false">IF(('Inputs &amp; Assumptions'!$D$105+19)&lt;='Inputs &amp; Assumptions'!$C$13,INDEX('Inputs &amp; Assumptions'!$D$70:$D$98,'Inputs &amp; Assumptions'!$D$105+19+1),0)</f>
        <v>379950.713482074</v>
      </c>
      <c r="X9" s="39" t="n">
        <f aca="false">IF(('Inputs &amp; Assumptions'!$D$105+20)&lt;='Inputs &amp; Assumptions'!$C$13,INDEX('Inputs &amp; Assumptions'!$D$70:$D$98,'Inputs &amp; Assumptions'!$D$105+20+1),0)</f>
        <v>368552.192077611</v>
      </c>
      <c r="Y9" s="39" t="n">
        <f aca="false">IF(('Inputs &amp; Assumptions'!$D$105+21)&lt;='Inputs &amp; Assumptions'!$C$13,INDEX('Inputs &amp; Assumptions'!$D$70:$D$98,'Inputs &amp; Assumptions'!$D$105+21+1),0)</f>
        <v>357495.626315283</v>
      </c>
      <c r="Z9" s="39" t="n">
        <f aca="false">IF(('Inputs &amp; Assumptions'!$D$105+22)&lt;='Inputs &amp; Assumptions'!$C$13,INDEX('Inputs &amp; Assumptions'!$D$70:$D$98,'Inputs &amp; Assumptions'!$D$105+22+1),0)</f>
        <v>346770.757525825</v>
      </c>
      <c r="AA9" s="39" t="n">
        <f aca="false">IF(('Inputs &amp; Assumptions'!$D$105+23)&lt;='Inputs &amp; Assumptions'!$C$13,INDEX('Inputs &amp; Assumptions'!$D$70:$D$98,'Inputs &amp; Assumptions'!$D$105+23+1),0)</f>
        <v>336367.63480005</v>
      </c>
      <c r="AB9" s="39" t="n">
        <f aca="false">IF(('Inputs &amp; Assumptions'!$D$105+24)&lt;='Inputs &amp; Assumptions'!$C$13,INDEX('Inputs &amp; Assumptions'!$D$70:$D$98,'Inputs &amp; Assumptions'!$D$105+24+1),0)</f>
        <v>326276.605756048</v>
      </c>
      <c r="AC9" s="39" t="n">
        <f aca="false">IF(('Inputs &amp; Assumptions'!$D$105+25)&lt;='Inputs &amp; Assumptions'!$C$13,INDEX('Inputs &amp; Assumptions'!$D$70:$D$98,'Inputs &amp; Assumptions'!$D$105+25+1),0)</f>
        <v>316488.307583367</v>
      </c>
      <c r="AD9" s="39" t="n">
        <f aca="false">IF(('Inputs &amp; Assumptions'!$D$105+26)&lt;='Inputs &amp; Assumptions'!$C$13,INDEX('Inputs &amp; Assumptions'!$D$70:$D$98,'Inputs &amp; Assumptions'!$D$105+26+1),0)</f>
        <v>306993.658355866</v>
      </c>
      <c r="AE9" s="39" t="n">
        <f aca="false">IF(('Inputs &amp; Assumptions'!$D$105+27)&lt;='Inputs &amp; Assumptions'!$C$13,INDEX('Inputs &amp; Assumptions'!$D$70:$D$98,'Inputs &amp; Assumptions'!$D$105+27+1),0)</f>
        <v>9926128.28683967</v>
      </c>
      <c r="AF9" s="39" t="n">
        <f aca="false">IF(('Inputs &amp; Assumptions'!$D$105+28)&lt;='Inputs &amp; Assumptions'!$C$13,INDEX('Inputs &amp; Assumptions'!$D$70:$D$98,'Inputs &amp; Assumptions'!$D$105+28+1),0)</f>
        <v>0</v>
      </c>
      <c r="AG9" s="39" t="n">
        <f aca="false">IF(('Inputs &amp; Assumptions'!$D$105+29)&lt;='Inputs &amp; Assumptions'!$C$13,INDEX('Inputs &amp; Assumptions'!$D$70:$D$98,'Inputs &amp; Assumptions'!$D$105+29+1),0)</f>
        <v>0</v>
      </c>
      <c r="AH9" s="39" t="n">
        <f aca="false">IF(('Inputs &amp; Assumptions'!$D$105+30)&lt;='Inputs &amp; Assumptions'!$C$13,INDEX('Inputs &amp; Assumptions'!$D$70:$D$98,'Inputs &amp; Assumptions'!$D$105+30+1),0)</f>
        <v>0</v>
      </c>
      <c r="AI9" s="39" t="n">
        <f aca="false">IF(('Inputs &amp; Assumptions'!$D$105+31)&lt;='Inputs &amp; Assumptions'!$C$13,INDEX('Inputs &amp; Assumptions'!$D$70:$D$98,'Inputs &amp; Assumptions'!$D$105+31+1),0)</f>
        <v>0</v>
      </c>
      <c r="AJ9" s="39" t="n">
        <f aca="false">IF(('Inputs &amp; Assumptions'!$D$105+32)&lt;='Inputs &amp; Assumptions'!$C$13,INDEX('Inputs &amp; Assumptions'!$D$70:$D$98,'Inputs &amp; Assumptions'!$D$105+32+1),0)</f>
        <v>0</v>
      </c>
      <c r="AK9" s="39" t="n">
        <f aca="false">IF(('Inputs &amp; Assumptions'!$D$105+33)&lt;='Inputs &amp; Assumptions'!$C$13,INDEX('Inputs &amp; Assumptions'!$D$70:$D$98,'Inputs &amp; Assumptions'!$D$105+33+1),0)</f>
        <v>0</v>
      </c>
      <c r="AL9" s="39" t="n">
        <f aca="false">IF(('Inputs &amp; Assumptions'!$D$105+34)&lt;='Inputs &amp; Assumptions'!$C$13,INDEX('Inputs &amp; Assumptions'!$D$70:$D$98,'Inputs &amp; Assumptions'!$D$105+34+1),0)</f>
        <v>0</v>
      </c>
      <c r="AM9" s="39" t="n">
        <f aca="false">IF(('Inputs &amp; Assumptions'!$D$105+35)&lt;='Inputs &amp; Assumptions'!$C$13,INDEX('Inputs &amp; Assumptions'!$D$70:$D$98,'Inputs &amp; Assumptions'!$D$105+35+1),0)</f>
        <v>0</v>
      </c>
      <c r="AN9" s="39" t="n">
        <f aca="false">IF(('Inputs &amp; Assumptions'!$D$105+36)&lt;='Inputs &amp; Assumptions'!$C$13,INDEX('Inputs &amp; Assumptions'!$D$70:$D$98,'Inputs &amp; Assumptions'!$D$105+36+1),0)</f>
        <v>0</v>
      </c>
    </row>
    <row r="10" customFormat="false" ht="15" hidden="false" customHeight="false" outlineLevel="0" collapsed="false">
      <c r="B10" s="38" t="n">
        <f aca="false">'Inputs &amp; Assumptions'!$B$106</f>
        <v>5</v>
      </c>
      <c r="E10" s="39" t="n">
        <f aca="false">IF(('Inputs &amp; Assumptions'!$D$106+1)&lt;='Inputs &amp; Assumptions'!$C$13,INDEX('Inputs &amp; Assumptions'!$D$70:$D$98,'Inputs &amp; Assumptions'!$D$106+1+1),0)</f>
        <v>0</v>
      </c>
      <c r="F10" s="39" t="n">
        <f aca="false">IF(('Inputs &amp; Assumptions'!$D$106+2)&lt;='Inputs &amp; Assumptions'!$C$13,INDEX('Inputs &amp; Assumptions'!$D$70:$D$98,'Inputs &amp; Assumptions'!$D$106+2+1),0)</f>
        <v>0</v>
      </c>
      <c r="G10" s="39" t="n">
        <f aca="false">IF(('Inputs &amp; Assumptions'!$D$106+3)&lt;='Inputs &amp; Assumptions'!$C$13,INDEX('Inputs &amp; Assumptions'!$D$70:$D$98,'Inputs &amp; Assumptions'!$D$106+3+1),0)</f>
        <v>600000</v>
      </c>
      <c r="H10" s="39" t="n">
        <f aca="false">IF(('Inputs &amp; Assumptions'!$D$106+4)&lt;='Inputs &amp; Assumptions'!$C$13,INDEX('Inputs &amp; Assumptions'!$D$70:$D$98,'Inputs &amp; Assumptions'!$D$106+4+1),0)</f>
        <v>582000</v>
      </c>
      <c r="I10" s="39" t="n">
        <f aca="false">IF(('Inputs &amp; Assumptions'!$D$106+5)&lt;='Inputs &amp; Assumptions'!$C$13,INDEX('Inputs &amp; Assumptions'!$D$70:$D$98,'Inputs &amp; Assumptions'!$D$106+5+1),0)</f>
        <v>564540</v>
      </c>
      <c r="J10" s="39" t="n">
        <f aca="false">IF(('Inputs &amp; Assumptions'!$D$106+6)&lt;='Inputs &amp; Assumptions'!$C$13,INDEX('Inputs &amp; Assumptions'!$D$70:$D$98,'Inputs &amp; Assumptions'!$D$106+6+1),0)</f>
        <v>547603.8</v>
      </c>
      <c r="K10" s="39" t="n">
        <f aca="false">IF(('Inputs &amp; Assumptions'!$D$106+7)&lt;='Inputs &amp; Assumptions'!$C$13,INDEX('Inputs &amp; Assumptions'!$D$70:$D$98,'Inputs &amp; Assumptions'!$D$106+7+1),0)</f>
        <v>531175.686</v>
      </c>
      <c r="L10" s="39" t="n">
        <f aca="false">IF(('Inputs &amp; Assumptions'!$D$106+8)&lt;='Inputs &amp; Assumptions'!$C$13,INDEX('Inputs &amp; Assumptions'!$D$70:$D$98,'Inputs &amp; Assumptions'!$D$106+8+1),0)</f>
        <v>515240.41542</v>
      </c>
      <c r="M10" s="39" t="n">
        <f aca="false">IF(('Inputs &amp; Assumptions'!$D$106+9)&lt;='Inputs &amp; Assumptions'!$C$13,INDEX('Inputs &amp; Assumptions'!$D$70:$D$98,'Inputs &amp; Assumptions'!$D$106+9+1),0)</f>
        <v>499783.2029574</v>
      </c>
      <c r="N10" s="39" t="n">
        <f aca="false">IF(('Inputs &amp; Assumptions'!$D$106+10)&lt;='Inputs &amp; Assumptions'!$C$13,INDEX('Inputs &amp; Assumptions'!$D$70:$D$98,'Inputs &amp; Assumptions'!$D$106+10+1),0)</f>
        <v>484789.706868678</v>
      </c>
      <c r="O10" s="39" t="n">
        <f aca="false">IF(('Inputs &amp; Assumptions'!$D$106+11)&lt;='Inputs &amp; Assumptions'!$C$13,INDEX('Inputs &amp; Assumptions'!$D$70:$D$98,'Inputs &amp; Assumptions'!$D$106+11+1),0)</f>
        <v>470246.015662618</v>
      </c>
      <c r="P10" s="39" t="n">
        <f aca="false">IF(('Inputs &amp; Assumptions'!$D$106+12)&lt;='Inputs &amp; Assumptions'!$C$13,INDEX('Inputs &amp; Assumptions'!$D$70:$D$98,'Inputs &amp; Assumptions'!$D$106+12+1),0)</f>
        <v>456138.635192739</v>
      </c>
      <c r="Q10" s="39" t="n">
        <f aca="false">IF(('Inputs &amp; Assumptions'!$D$106+13)&lt;='Inputs &amp; Assumptions'!$C$13,INDEX('Inputs &amp; Assumptions'!$D$70:$D$98,'Inputs &amp; Assumptions'!$D$106+13+1),0)</f>
        <v>442454.476136957</v>
      </c>
      <c r="R10" s="39" t="n">
        <f aca="false">IF(('Inputs &amp; Assumptions'!$D$106+14)&lt;='Inputs &amp; Assumptions'!$C$13,INDEX('Inputs &amp; Assumptions'!$D$70:$D$98,'Inputs &amp; Assumptions'!$D$106+14+1),0)</f>
        <v>429180.841852848</v>
      </c>
      <c r="S10" s="39" t="n">
        <f aca="false">IF(('Inputs &amp; Assumptions'!$D$106+15)&lt;='Inputs &amp; Assumptions'!$C$13,INDEX('Inputs &amp; Assumptions'!$D$70:$D$98,'Inputs &amp; Assumptions'!$D$106+15+1),0)</f>
        <v>416305.416597263</v>
      </c>
      <c r="T10" s="39" t="n">
        <f aca="false">IF(('Inputs &amp; Assumptions'!$D$106+16)&lt;='Inputs &amp; Assumptions'!$C$13,INDEX('Inputs &amp; Assumptions'!$D$70:$D$98,'Inputs &amp; Assumptions'!$D$106+16+1),0)</f>
        <v>403816.254099345</v>
      </c>
      <c r="U10" s="39" t="n">
        <f aca="false">IF(('Inputs &amp; Assumptions'!$D$106+17)&lt;='Inputs &amp; Assumptions'!$C$13,INDEX('Inputs &amp; Assumptions'!$D$70:$D$98,'Inputs &amp; Assumptions'!$D$106+17+1),0)</f>
        <v>391701.766476365</v>
      </c>
      <c r="V10" s="39" t="n">
        <f aca="false">IF(('Inputs &amp; Assumptions'!$D$106+18)&lt;='Inputs &amp; Assumptions'!$C$13,INDEX('Inputs &amp; Assumptions'!$D$70:$D$98,'Inputs &amp; Assumptions'!$D$106+18+1),0)</f>
        <v>379950.713482074</v>
      </c>
      <c r="W10" s="39" t="n">
        <f aca="false">IF(('Inputs &amp; Assumptions'!$D$106+19)&lt;='Inputs &amp; Assumptions'!$C$13,INDEX('Inputs &amp; Assumptions'!$D$70:$D$98,'Inputs &amp; Assumptions'!$D$106+19+1),0)</f>
        <v>368552.192077611</v>
      </c>
      <c r="X10" s="39" t="n">
        <f aca="false">IF(('Inputs &amp; Assumptions'!$D$106+20)&lt;='Inputs &amp; Assumptions'!$C$13,INDEX('Inputs &amp; Assumptions'!$D$70:$D$98,'Inputs &amp; Assumptions'!$D$106+20+1),0)</f>
        <v>357495.626315283</v>
      </c>
      <c r="Y10" s="39" t="n">
        <f aca="false">IF(('Inputs &amp; Assumptions'!$D$106+21)&lt;='Inputs &amp; Assumptions'!$C$13,INDEX('Inputs &amp; Assumptions'!$D$70:$D$98,'Inputs &amp; Assumptions'!$D$106+21+1),0)</f>
        <v>346770.757525825</v>
      </c>
      <c r="Z10" s="39" t="n">
        <f aca="false">IF(('Inputs &amp; Assumptions'!$D$106+22)&lt;='Inputs &amp; Assumptions'!$C$13,INDEX('Inputs &amp; Assumptions'!$D$70:$D$98,'Inputs &amp; Assumptions'!$D$106+22+1),0)</f>
        <v>336367.63480005</v>
      </c>
      <c r="AA10" s="39" t="n">
        <f aca="false">IF(('Inputs &amp; Assumptions'!$D$106+23)&lt;='Inputs &amp; Assumptions'!$C$13,INDEX('Inputs &amp; Assumptions'!$D$70:$D$98,'Inputs &amp; Assumptions'!$D$106+23+1),0)</f>
        <v>326276.605756048</v>
      </c>
      <c r="AB10" s="39" t="n">
        <f aca="false">IF(('Inputs &amp; Assumptions'!$D$106+24)&lt;='Inputs &amp; Assumptions'!$C$13,INDEX('Inputs &amp; Assumptions'!$D$70:$D$98,'Inputs &amp; Assumptions'!$D$106+24+1),0)</f>
        <v>316488.307583367</v>
      </c>
      <c r="AC10" s="39" t="n">
        <f aca="false">IF(('Inputs &amp; Assumptions'!$D$106+25)&lt;='Inputs &amp; Assumptions'!$C$13,INDEX('Inputs &amp; Assumptions'!$D$70:$D$98,'Inputs &amp; Assumptions'!$D$106+25+1),0)</f>
        <v>306993.658355866</v>
      </c>
      <c r="AD10" s="39" t="n">
        <f aca="false">IF(('Inputs &amp; Assumptions'!$D$106+26)&lt;='Inputs &amp; Assumptions'!$C$13,INDEX('Inputs &amp; Assumptions'!$D$70:$D$98,'Inputs &amp; Assumptions'!$D$106+26+1),0)</f>
        <v>9926128.28683967</v>
      </c>
      <c r="AE10" s="39" t="n">
        <f aca="false">IF(('Inputs &amp; Assumptions'!$D$106+27)&lt;='Inputs &amp; Assumptions'!$C$13,INDEX('Inputs &amp; Assumptions'!$D$70:$D$98,'Inputs &amp; Assumptions'!$D$106+27+1),0)</f>
        <v>0</v>
      </c>
      <c r="AF10" s="39" t="n">
        <f aca="false">IF(('Inputs &amp; Assumptions'!$D$106+28)&lt;='Inputs &amp; Assumptions'!$C$13,INDEX('Inputs &amp; Assumptions'!$D$70:$D$98,'Inputs &amp; Assumptions'!$D$106+28+1),0)</f>
        <v>0</v>
      </c>
      <c r="AG10" s="39" t="n">
        <f aca="false">IF(('Inputs &amp; Assumptions'!$D$106+29)&lt;='Inputs &amp; Assumptions'!$C$13,INDEX('Inputs &amp; Assumptions'!$D$70:$D$98,'Inputs &amp; Assumptions'!$D$106+29+1),0)</f>
        <v>0</v>
      </c>
      <c r="AH10" s="39" t="n">
        <f aca="false">IF(('Inputs &amp; Assumptions'!$D$106+30)&lt;='Inputs &amp; Assumptions'!$C$13,INDEX('Inputs &amp; Assumptions'!$D$70:$D$98,'Inputs &amp; Assumptions'!$D$106+30+1),0)</f>
        <v>0</v>
      </c>
      <c r="AI10" s="39" t="n">
        <f aca="false">IF(('Inputs &amp; Assumptions'!$D$106+31)&lt;='Inputs &amp; Assumptions'!$C$13,INDEX('Inputs &amp; Assumptions'!$D$70:$D$98,'Inputs &amp; Assumptions'!$D$106+31+1),0)</f>
        <v>0</v>
      </c>
      <c r="AJ10" s="39" t="n">
        <f aca="false">IF(('Inputs &amp; Assumptions'!$D$106+32)&lt;='Inputs &amp; Assumptions'!$C$13,INDEX('Inputs &amp; Assumptions'!$D$70:$D$98,'Inputs &amp; Assumptions'!$D$106+32+1),0)</f>
        <v>0</v>
      </c>
      <c r="AK10" s="39" t="n">
        <f aca="false">IF(('Inputs &amp; Assumptions'!$D$106+33)&lt;='Inputs &amp; Assumptions'!$C$13,INDEX('Inputs &amp; Assumptions'!$D$70:$D$98,'Inputs &amp; Assumptions'!$D$106+33+1),0)</f>
        <v>0</v>
      </c>
      <c r="AL10" s="39" t="n">
        <f aca="false">IF(('Inputs &amp; Assumptions'!$D$106+34)&lt;='Inputs &amp; Assumptions'!$C$13,INDEX('Inputs &amp; Assumptions'!$D$70:$D$98,'Inputs &amp; Assumptions'!$D$106+34+1),0)</f>
        <v>0</v>
      </c>
      <c r="AM10" s="39" t="n">
        <f aca="false">IF(('Inputs &amp; Assumptions'!$D$106+35)&lt;='Inputs &amp; Assumptions'!$C$13,INDEX('Inputs &amp; Assumptions'!$D$70:$D$98,'Inputs &amp; Assumptions'!$D$106+35+1),0)</f>
        <v>0</v>
      </c>
      <c r="AN10" s="39" t="n">
        <f aca="false">IF(('Inputs &amp; Assumptions'!$D$106+36)&lt;='Inputs &amp; Assumptions'!$C$13,INDEX('Inputs &amp; Assumptions'!$D$70:$D$98,'Inputs &amp; Assumptions'!$D$106+36+1),0)</f>
        <v>0</v>
      </c>
    </row>
    <row r="11" customFormat="false" ht="15" hidden="false" customHeight="false" outlineLevel="0" collapsed="false">
      <c r="B11" s="38" t="n">
        <f aca="false">'Inputs &amp; Assumptions'!$B$107</f>
        <v>6</v>
      </c>
      <c r="E11" s="39" t="n">
        <f aca="false">IF(('Inputs &amp; Assumptions'!$D$107+1)&lt;='Inputs &amp; Assumptions'!$C$13,INDEX('Inputs &amp; Assumptions'!$D$70:$D$98,'Inputs &amp; Assumptions'!$D$107+1+1),0)</f>
        <v>0</v>
      </c>
      <c r="F11" s="39" t="n">
        <f aca="false">IF(('Inputs &amp; Assumptions'!$D$107+2)&lt;='Inputs &amp; Assumptions'!$C$13,INDEX('Inputs &amp; Assumptions'!$D$70:$D$98,'Inputs &amp; Assumptions'!$D$107+2+1),0)</f>
        <v>0</v>
      </c>
      <c r="G11" s="39" t="n">
        <f aca="false">IF(('Inputs &amp; Assumptions'!$D$107+3)&lt;='Inputs &amp; Assumptions'!$C$13,INDEX('Inputs &amp; Assumptions'!$D$70:$D$98,'Inputs &amp; Assumptions'!$D$107+3+1),0)</f>
        <v>600000</v>
      </c>
      <c r="H11" s="39" t="n">
        <f aca="false">IF(('Inputs &amp; Assumptions'!$D$107+4)&lt;='Inputs &amp; Assumptions'!$C$13,INDEX('Inputs &amp; Assumptions'!$D$70:$D$98,'Inputs &amp; Assumptions'!$D$107+4+1),0)</f>
        <v>582000</v>
      </c>
      <c r="I11" s="39" t="n">
        <f aca="false">IF(('Inputs &amp; Assumptions'!$D$107+5)&lt;='Inputs &amp; Assumptions'!$C$13,INDEX('Inputs &amp; Assumptions'!$D$70:$D$98,'Inputs &amp; Assumptions'!$D$107+5+1),0)</f>
        <v>564540</v>
      </c>
      <c r="J11" s="39" t="n">
        <f aca="false">IF(('Inputs &amp; Assumptions'!$D$107+6)&lt;='Inputs &amp; Assumptions'!$C$13,INDEX('Inputs &amp; Assumptions'!$D$70:$D$98,'Inputs &amp; Assumptions'!$D$107+6+1),0)</f>
        <v>547603.8</v>
      </c>
      <c r="K11" s="39" t="n">
        <f aca="false">IF(('Inputs &amp; Assumptions'!$D$107+7)&lt;='Inputs &amp; Assumptions'!$C$13,INDEX('Inputs &amp; Assumptions'!$D$70:$D$98,'Inputs &amp; Assumptions'!$D$107+7+1),0)</f>
        <v>531175.686</v>
      </c>
      <c r="L11" s="39" t="n">
        <f aca="false">IF(('Inputs &amp; Assumptions'!$D$107+8)&lt;='Inputs &amp; Assumptions'!$C$13,INDEX('Inputs &amp; Assumptions'!$D$70:$D$98,'Inputs &amp; Assumptions'!$D$107+8+1),0)</f>
        <v>515240.41542</v>
      </c>
      <c r="M11" s="39" t="n">
        <f aca="false">IF(('Inputs &amp; Assumptions'!$D$107+9)&lt;='Inputs &amp; Assumptions'!$C$13,INDEX('Inputs &amp; Assumptions'!$D$70:$D$98,'Inputs &amp; Assumptions'!$D$107+9+1),0)</f>
        <v>499783.2029574</v>
      </c>
      <c r="N11" s="39" t="n">
        <f aca="false">IF(('Inputs &amp; Assumptions'!$D$107+10)&lt;='Inputs &amp; Assumptions'!$C$13,INDEX('Inputs &amp; Assumptions'!$D$70:$D$98,'Inputs &amp; Assumptions'!$D$107+10+1),0)</f>
        <v>484789.706868678</v>
      </c>
      <c r="O11" s="39" t="n">
        <f aca="false">IF(('Inputs &amp; Assumptions'!$D$107+11)&lt;='Inputs &amp; Assumptions'!$C$13,INDEX('Inputs &amp; Assumptions'!$D$70:$D$98,'Inputs &amp; Assumptions'!$D$107+11+1),0)</f>
        <v>470246.015662618</v>
      </c>
      <c r="P11" s="39" t="n">
        <f aca="false">IF(('Inputs &amp; Assumptions'!$D$107+12)&lt;='Inputs &amp; Assumptions'!$C$13,INDEX('Inputs &amp; Assumptions'!$D$70:$D$98,'Inputs &amp; Assumptions'!$D$107+12+1),0)</f>
        <v>456138.635192739</v>
      </c>
      <c r="Q11" s="39" t="n">
        <f aca="false">IF(('Inputs &amp; Assumptions'!$D$107+13)&lt;='Inputs &amp; Assumptions'!$C$13,INDEX('Inputs &amp; Assumptions'!$D$70:$D$98,'Inputs &amp; Assumptions'!$D$107+13+1),0)</f>
        <v>442454.476136957</v>
      </c>
      <c r="R11" s="39" t="n">
        <f aca="false">IF(('Inputs &amp; Assumptions'!$D$107+14)&lt;='Inputs &amp; Assumptions'!$C$13,INDEX('Inputs &amp; Assumptions'!$D$70:$D$98,'Inputs &amp; Assumptions'!$D$107+14+1),0)</f>
        <v>429180.841852848</v>
      </c>
      <c r="S11" s="39" t="n">
        <f aca="false">IF(('Inputs &amp; Assumptions'!$D$107+15)&lt;='Inputs &amp; Assumptions'!$C$13,INDEX('Inputs &amp; Assumptions'!$D$70:$D$98,'Inputs &amp; Assumptions'!$D$107+15+1),0)</f>
        <v>416305.416597263</v>
      </c>
      <c r="T11" s="39" t="n">
        <f aca="false">IF(('Inputs &amp; Assumptions'!$D$107+16)&lt;='Inputs &amp; Assumptions'!$C$13,INDEX('Inputs &amp; Assumptions'!$D$70:$D$98,'Inputs &amp; Assumptions'!$D$107+16+1),0)</f>
        <v>403816.254099345</v>
      </c>
      <c r="U11" s="39" t="n">
        <f aca="false">IF(('Inputs &amp; Assumptions'!$D$107+17)&lt;='Inputs &amp; Assumptions'!$C$13,INDEX('Inputs &amp; Assumptions'!$D$70:$D$98,'Inputs &amp; Assumptions'!$D$107+17+1),0)</f>
        <v>391701.766476365</v>
      </c>
      <c r="V11" s="39" t="n">
        <f aca="false">IF(('Inputs &amp; Assumptions'!$D$107+18)&lt;='Inputs &amp; Assumptions'!$C$13,INDEX('Inputs &amp; Assumptions'!$D$70:$D$98,'Inputs &amp; Assumptions'!$D$107+18+1),0)</f>
        <v>379950.713482074</v>
      </c>
      <c r="W11" s="39" t="n">
        <f aca="false">IF(('Inputs &amp; Assumptions'!$D$107+19)&lt;='Inputs &amp; Assumptions'!$C$13,INDEX('Inputs &amp; Assumptions'!$D$70:$D$98,'Inputs &amp; Assumptions'!$D$107+19+1),0)</f>
        <v>368552.192077611</v>
      </c>
      <c r="X11" s="39" t="n">
        <f aca="false">IF(('Inputs &amp; Assumptions'!$D$107+20)&lt;='Inputs &amp; Assumptions'!$C$13,INDEX('Inputs &amp; Assumptions'!$D$70:$D$98,'Inputs &amp; Assumptions'!$D$107+20+1),0)</f>
        <v>357495.626315283</v>
      </c>
      <c r="Y11" s="39" t="n">
        <f aca="false">IF(('Inputs &amp; Assumptions'!$D$107+21)&lt;='Inputs &amp; Assumptions'!$C$13,INDEX('Inputs &amp; Assumptions'!$D$70:$D$98,'Inputs &amp; Assumptions'!$D$107+21+1),0)</f>
        <v>346770.757525825</v>
      </c>
      <c r="Z11" s="39" t="n">
        <f aca="false">IF(('Inputs &amp; Assumptions'!$D$107+22)&lt;='Inputs &amp; Assumptions'!$C$13,INDEX('Inputs &amp; Assumptions'!$D$70:$D$98,'Inputs &amp; Assumptions'!$D$107+22+1),0)</f>
        <v>336367.63480005</v>
      </c>
      <c r="AA11" s="39" t="n">
        <f aca="false">IF(('Inputs &amp; Assumptions'!$D$107+23)&lt;='Inputs &amp; Assumptions'!$C$13,INDEX('Inputs &amp; Assumptions'!$D$70:$D$98,'Inputs &amp; Assumptions'!$D$107+23+1),0)</f>
        <v>326276.605756048</v>
      </c>
      <c r="AB11" s="39" t="n">
        <f aca="false">IF(('Inputs &amp; Assumptions'!$D$107+24)&lt;='Inputs &amp; Assumptions'!$C$13,INDEX('Inputs &amp; Assumptions'!$D$70:$D$98,'Inputs &amp; Assumptions'!$D$107+24+1),0)</f>
        <v>316488.307583367</v>
      </c>
      <c r="AC11" s="39" t="n">
        <f aca="false">IF(('Inputs &amp; Assumptions'!$D$107+25)&lt;='Inputs &amp; Assumptions'!$C$13,INDEX('Inputs &amp; Assumptions'!$D$70:$D$98,'Inputs &amp; Assumptions'!$D$107+25+1),0)</f>
        <v>306993.658355866</v>
      </c>
      <c r="AD11" s="39" t="n">
        <f aca="false">IF(('Inputs &amp; Assumptions'!$D$107+26)&lt;='Inputs &amp; Assumptions'!$C$13,INDEX('Inputs &amp; Assumptions'!$D$70:$D$98,'Inputs &amp; Assumptions'!$D$107+26+1),0)</f>
        <v>9926128.28683967</v>
      </c>
      <c r="AE11" s="39" t="n">
        <f aca="false">IF(('Inputs &amp; Assumptions'!$D$107+27)&lt;='Inputs &amp; Assumptions'!$C$13,INDEX('Inputs &amp; Assumptions'!$D$70:$D$98,'Inputs &amp; Assumptions'!$D$107+27+1),0)</f>
        <v>0</v>
      </c>
      <c r="AF11" s="39" t="n">
        <f aca="false">IF(('Inputs &amp; Assumptions'!$D$107+28)&lt;='Inputs &amp; Assumptions'!$C$13,INDEX('Inputs &amp; Assumptions'!$D$70:$D$98,'Inputs &amp; Assumptions'!$D$107+28+1),0)</f>
        <v>0</v>
      </c>
      <c r="AG11" s="39" t="n">
        <f aca="false">IF(('Inputs &amp; Assumptions'!$D$107+29)&lt;='Inputs &amp; Assumptions'!$C$13,INDEX('Inputs &amp; Assumptions'!$D$70:$D$98,'Inputs &amp; Assumptions'!$D$107+29+1),0)</f>
        <v>0</v>
      </c>
      <c r="AH11" s="39" t="n">
        <f aca="false">IF(('Inputs &amp; Assumptions'!$D$107+30)&lt;='Inputs &amp; Assumptions'!$C$13,INDEX('Inputs &amp; Assumptions'!$D$70:$D$98,'Inputs &amp; Assumptions'!$D$107+30+1),0)</f>
        <v>0</v>
      </c>
      <c r="AI11" s="39" t="n">
        <f aca="false">IF(('Inputs &amp; Assumptions'!$D$107+31)&lt;='Inputs &amp; Assumptions'!$C$13,INDEX('Inputs &amp; Assumptions'!$D$70:$D$98,'Inputs &amp; Assumptions'!$D$107+31+1),0)</f>
        <v>0</v>
      </c>
      <c r="AJ11" s="39" t="n">
        <f aca="false">IF(('Inputs &amp; Assumptions'!$D$107+32)&lt;='Inputs &amp; Assumptions'!$C$13,INDEX('Inputs &amp; Assumptions'!$D$70:$D$98,'Inputs &amp; Assumptions'!$D$107+32+1),0)</f>
        <v>0</v>
      </c>
      <c r="AK11" s="39" t="n">
        <f aca="false">IF(('Inputs &amp; Assumptions'!$D$107+33)&lt;='Inputs &amp; Assumptions'!$C$13,INDEX('Inputs &amp; Assumptions'!$D$70:$D$98,'Inputs &amp; Assumptions'!$D$107+33+1),0)</f>
        <v>0</v>
      </c>
      <c r="AL11" s="39" t="n">
        <f aca="false">IF(('Inputs &amp; Assumptions'!$D$107+34)&lt;='Inputs &amp; Assumptions'!$C$13,INDEX('Inputs &amp; Assumptions'!$D$70:$D$98,'Inputs &amp; Assumptions'!$D$107+34+1),0)</f>
        <v>0</v>
      </c>
      <c r="AM11" s="39" t="n">
        <f aca="false">IF(('Inputs &amp; Assumptions'!$D$107+35)&lt;='Inputs &amp; Assumptions'!$C$13,INDEX('Inputs &amp; Assumptions'!$D$70:$D$98,'Inputs &amp; Assumptions'!$D$107+35+1),0)</f>
        <v>0</v>
      </c>
      <c r="AN11" s="39" t="n">
        <f aca="false">IF(('Inputs &amp; Assumptions'!$D$107+36)&lt;='Inputs &amp; Assumptions'!$C$13,INDEX('Inputs &amp; Assumptions'!$D$70:$D$98,'Inputs &amp; Assumptions'!$D$107+36+1),0)</f>
        <v>0</v>
      </c>
    </row>
    <row r="12" customFormat="false" ht="15" hidden="false" customHeight="false" outlineLevel="0" collapsed="false">
      <c r="B12" s="38" t="n">
        <f aca="false">'Inputs &amp; Assumptions'!$B$108</f>
        <v>7</v>
      </c>
      <c r="E12" s="39" t="n">
        <f aca="false">IF(('Inputs &amp; Assumptions'!$D$108+1)&lt;='Inputs &amp; Assumptions'!$C$13,INDEX('Inputs &amp; Assumptions'!$D$70:$D$98,'Inputs &amp; Assumptions'!$D$108+1+1),0)</f>
        <v>0</v>
      </c>
      <c r="F12" s="39" t="n">
        <f aca="false">IF(('Inputs &amp; Assumptions'!$D$108+2)&lt;='Inputs &amp; Assumptions'!$C$13,INDEX('Inputs &amp; Assumptions'!$D$70:$D$98,'Inputs &amp; Assumptions'!$D$108+2+1),0)</f>
        <v>0</v>
      </c>
      <c r="G12" s="39" t="n">
        <f aca="false">IF(('Inputs &amp; Assumptions'!$D$108+3)&lt;='Inputs &amp; Assumptions'!$C$13,INDEX('Inputs &amp; Assumptions'!$D$70:$D$98,'Inputs &amp; Assumptions'!$D$108+3+1),0)</f>
        <v>600000</v>
      </c>
      <c r="H12" s="39" t="n">
        <f aca="false">IF(('Inputs &amp; Assumptions'!$D$108+4)&lt;='Inputs &amp; Assumptions'!$C$13,INDEX('Inputs &amp; Assumptions'!$D$70:$D$98,'Inputs &amp; Assumptions'!$D$108+4+1),0)</f>
        <v>582000</v>
      </c>
      <c r="I12" s="39" t="n">
        <f aca="false">IF(('Inputs &amp; Assumptions'!$D$108+5)&lt;='Inputs &amp; Assumptions'!$C$13,INDEX('Inputs &amp; Assumptions'!$D$70:$D$98,'Inputs &amp; Assumptions'!$D$108+5+1),0)</f>
        <v>564540</v>
      </c>
      <c r="J12" s="39" t="n">
        <f aca="false">IF(('Inputs &amp; Assumptions'!$D$108+6)&lt;='Inputs &amp; Assumptions'!$C$13,INDEX('Inputs &amp; Assumptions'!$D$70:$D$98,'Inputs &amp; Assumptions'!$D$108+6+1),0)</f>
        <v>547603.8</v>
      </c>
      <c r="K12" s="39" t="n">
        <f aca="false">IF(('Inputs &amp; Assumptions'!$D$108+7)&lt;='Inputs &amp; Assumptions'!$C$13,INDEX('Inputs &amp; Assumptions'!$D$70:$D$98,'Inputs &amp; Assumptions'!$D$108+7+1),0)</f>
        <v>531175.686</v>
      </c>
      <c r="L12" s="39" t="n">
        <f aca="false">IF(('Inputs &amp; Assumptions'!$D$108+8)&lt;='Inputs &amp; Assumptions'!$C$13,INDEX('Inputs &amp; Assumptions'!$D$70:$D$98,'Inputs &amp; Assumptions'!$D$108+8+1),0)</f>
        <v>515240.41542</v>
      </c>
      <c r="M12" s="39" t="n">
        <f aca="false">IF(('Inputs &amp; Assumptions'!$D$108+9)&lt;='Inputs &amp; Assumptions'!$C$13,INDEX('Inputs &amp; Assumptions'!$D$70:$D$98,'Inputs &amp; Assumptions'!$D$108+9+1),0)</f>
        <v>499783.2029574</v>
      </c>
      <c r="N12" s="39" t="n">
        <f aca="false">IF(('Inputs &amp; Assumptions'!$D$108+10)&lt;='Inputs &amp; Assumptions'!$C$13,INDEX('Inputs &amp; Assumptions'!$D$70:$D$98,'Inputs &amp; Assumptions'!$D$108+10+1),0)</f>
        <v>484789.706868678</v>
      </c>
      <c r="O12" s="39" t="n">
        <f aca="false">IF(('Inputs &amp; Assumptions'!$D$108+11)&lt;='Inputs &amp; Assumptions'!$C$13,INDEX('Inputs &amp; Assumptions'!$D$70:$D$98,'Inputs &amp; Assumptions'!$D$108+11+1),0)</f>
        <v>470246.015662618</v>
      </c>
      <c r="P12" s="39" t="n">
        <f aca="false">IF(('Inputs &amp; Assumptions'!$D$108+12)&lt;='Inputs &amp; Assumptions'!$C$13,INDEX('Inputs &amp; Assumptions'!$D$70:$D$98,'Inputs &amp; Assumptions'!$D$108+12+1),0)</f>
        <v>456138.635192739</v>
      </c>
      <c r="Q12" s="39" t="n">
        <f aca="false">IF(('Inputs &amp; Assumptions'!$D$108+13)&lt;='Inputs &amp; Assumptions'!$C$13,INDEX('Inputs &amp; Assumptions'!$D$70:$D$98,'Inputs &amp; Assumptions'!$D$108+13+1),0)</f>
        <v>442454.476136957</v>
      </c>
      <c r="R12" s="39" t="n">
        <f aca="false">IF(('Inputs &amp; Assumptions'!$D$108+14)&lt;='Inputs &amp; Assumptions'!$C$13,INDEX('Inputs &amp; Assumptions'!$D$70:$D$98,'Inputs &amp; Assumptions'!$D$108+14+1),0)</f>
        <v>429180.841852848</v>
      </c>
      <c r="S12" s="39" t="n">
        <f aca="false">IF(('Inputs &amp; Assumptions'!$D$108+15)&lt;='Inputs &amp; Assumptions'!$C$13,INDEX('Inputs &amp; Assumptions'!$D$70:$D$98,'Inputs &amp; Assumptions'!$D$108+15+1),0)</f>
        <v>416305.416597263</v>
      </c>
      <c r="T12" s="39" t="n">
        <f aca="false">IF(('Inputs &amp; Assumptions'!$D$108+16)&lt;='Inputs &amp; Assumptions'!$C$13,INDEX('Inputs &amp; Assumptions'!$D$70:$D$98,'Inputs &amp; Assumptions'!$D$108+16+1),0)</f>
        <v>403816.254099345</v>
      </c>
      <c r="U12" s="39" t="n">
        <f aca="false">IF(('Inputs &amp; Assumptions'!$D$108+17)&lt;='Inputs &amp; Assumptions'!$C$13,INDEX('Inputs &amp; Assumptions'!$D$70:$D$98,'Inputs &amp; Assumptions'!$D$108+17+1),0)</f>
        <v>391701.766476365</v>
      </c>
      <c r="V12" s="39" t="n">
        <f aca="false">IF(('Inputs &amp; Assumptions'!$D$108+18)&lt;='Inputs &amp; Assumptions'!$C$13,INDEX('Inputs &amp; Assumptions'!$D$70:$D$98,'Inputs &amp; Assumptions'!$D$108+18+1),0)</f>
        <v>379950.713482074</v>
      </c>
      <c r="W12" s="39" t="n">
        <f aca="false">IF(('Inputs &amp; Assumptions'!$D$108+19)&lt;='Inputs &amp; Assumptions'!$C$13,INDEX('Inputs &amp; Assumptions'!$D$70:$D$98,'Inputs &amp; Assumptions'!$D$108+19+1),0)</f>
        <v>368552.192077611</v>
      </c>
      <c r="X12" s="39" t="n">
        <f aca="false">IF(('Inputs &amp; Assumptions'!$D$108+20)&lt;='Inputs &amp; Assumptions'!$C$13,INDEX('Inputs &amp; Assumptions'!$D$70:$D$98,'Inputs &amp; Assumptions'!$D$108+20+1),0)</f>
        <v>357495.626315283</v>
      </c>
      <c r="Y12" s="39" t="n">
        <f aca="false">IF(('Inputs &amp; Assumptions'!$D$108+21)&lt;='Inputs &amp; Assumptions'!$C$13,INDEX('Inputs &amp; Assumptions'!$D$70:$D$98,'Inputs &amp; Assumptions'!$D$108+21+1),0)</f>
        <v>346770.757525825</v>
      </c>
      <c r="Z12" s="39" t="n">
        <f aca="false">IF(('Inputs &amp; Assumptions'!$D$108+22)&lt;='Inputs &amp; Assumptions'!$C$13,INDEX('Inputs &amp; Assumptions'!$D$70:$D$98,'Inputs &amp; Assumptions'!$D$108+22+1),0)</f>
        <v>336367.63480005</v>
      </c>
      <c r="AA12" s="39" t="n">
        <f aca="false">IF(('Inputs &amp; Assumptions'!$D$108+23)&lt;='Inputs &amp; Assumptions'!$C$13,INDEX('Inputs &amp; Assumptions'!$D$70:$D$98,'Inputs &amp; Assumptions'!$D$108+23+1),0)</f>
        <v>326276.605756048</v>
      </c>
      <c r="AB12" s="39" t="n">
        <f aca="false">IF(('Inputs &amp; Assumptions'!$D$108+24)&lt;='Inputs &amp; Assumptions'!$C$13,INDEX('Inputs &amp; Assumptions'!$D$70:$D$98,'Inputs &amp; Assumptions'!$D$108+24+1),0)</f>
        <v>316488.307583367</v>
      </c>
      <c r="AC12" s="39" t="n">
        <f aca="false">IF(('Inputs &amp; Assumptions'!$D$108+25)&lt;='Inputs &amp; Assumptions'!$C$13,INDEX('Inputs &amp; Assumptions'!$D$70:$D$98,'Inputs &amp; Assumptions'!$D$108+25+1),0)</f>
        <v>306993.658355866</v>
      </c>
      <c r="AD12" s="39" t="n">
        <f aca="false">IF(('Inputs &amp; Assumptions'!$D$108+26)&lt;='Inputs &amp; Assumptions'!$C$13,INDEX('Inputs &amp; Assumptions'!$D$70:$D$98,'Inputs &amp; Assumptions'!$D$108+26+1),0)</f>
        <v>9926128.28683967</v>
      </c>
      <c r="AE12" s="39" t="n">
        <f aca="false">IF(('Inputs &amp; Assumptions'!$D$108+27)&lt;='Inputs &amp; Assumptions'!$C$13,INDEX('Inputs &amp; Assumptions'!$D$70:$D$98,'Inputs &amp; Assumptions'!$D$108+27+1),0)</f>
        <v>0</v>
      </c>
      <c r="AF12" s="39" t="n">
        <f aca="false">IF(('Inputs &amp; Assumptions'!$D$108+28)&lt;='Inputs &amp; Assumptions'!$C$13,INDEX('Inputs &amp; Assumptions'!$D$70:$D$98,'Inputs &amp; Assumptions'!$D$108+28+1),0)</f>
        <v>0</v>
      </c>
      <c r="AG12" s="39" t="n">
        <f aca="false">IF(('Inputs &amp; Assumptions'!$D$108+29)&lt;='Inputs &amp; Assumptions'!$C$13,INDEX('Inputs &amp; Assumptions'!$D$70:$D$98,'Inputs &amp; Assumptions'!$D$108+29+1),0)</f>
        <v>0</v>
      </c>
      <c r="AH12" s="39" t="n">
        <f aca="false">IF(('Inputs &amp; Assumptions'!$D$108+30)&lt;='Inputs &amp; Assumptions'!$C$13,INDEX('Inputs &amp; Assumptions'!$D$70:$D$98,'Inputs &amp; Assumptions'!$D$108+30+1),0)</f>
        <v>0</v>
      </c>
      <c r="AI12" s="39" t="n">
        <f aca="false">IF(('Inputs &amp; Assumptions'!$D$108+31)&lt;='Inputs &amp; Assumptions'!$C$13,INDEX('Inputs &amp; Assumptions'!$D$70:$D$98,'Inputs &amp; Assumptions'!$D$108+31+1),0)</f>
        <v>0</v>
      </c>
      <c r="AJ12" s="39" t="n">
        <f aca="false">IF(('Inputs &amp; Assumptions'!$D$108+32)&lt;='Inputs &amp; Assumptions'!$C$13,INDEX('Inputs &amp; Assumptions'!$D$70:$D$98,'Inputs &amp; Assumptions'!$D$108+32+1),0)</f>
        <v>0</v>
      </c>
      <c r="AK12" s="39" t="n">
        <f aca="false">IF(('Inputs &amp; Assumptions'!$D$108+33)&lt;='Inputs &amp; Assumptions'!$C$13,INDEX('Inputs &amp; Assumptions'!$D$70:$D$98,'Inputs &amp; Assumptions'!$D$108+33+1),0)</f>
        <v>0</v>
      </c>
      <c r="AL12" s="39" t="n">
        <f aca="false">IF(('Inputs &amp; Assumptions'!$D$108+34)&lt;='Inputs &amp; Assumptions'!$C$13,INDEX('Inputs &amp; Assumptions'!$D$70:$D$98,'Inputs &amp; Assumptions'!$D$108+34+1),0)</f>
        <v>0</v>
      </c>
      <c r="AM12" s="39" t="n">
        <f aca="false">IF(('Inputs &amp; Assumptions'!$D$108+35)&lt;='Inputs &amp; Assumptions'!$C$13,INDEX('Inputs &amp; Assumptions'!$D$70:$D$98,'Inputs &amp; Assumptions'!$D$108+35+1),0)</f>
        <v>0</v>
      </c>
      <c r="AN12" s="39" t="n">
        <f aca="false">IF(('Inputs &amp; Assumptions'!$D$108+36)&lt;='Inputs &amp; Assumptions'!$C$13,INDEX('Inputs &amp; Assumptions'!$D$70:$D$98,'Inputs &amp; Assumptions'!$D$108+36+1),0)</f>
        <v>0</v>
      </c>
    </row>
    <row r="13" customFormat="false" ht="15" hidden="false" customHeight="false" outlineLevel="0" collapsed="false">
      <c r="B13" s="38" t="n">
        <f aca="false">'Inputs &amp; Assumptions'!$B$109</f>
        <v>8</v>
      </c>
      <c r="E13" s="39" t="n">
        <f aca="false">IF(('Inputs &amp; Assumptions'!$D$109+1)&lt;='Inputs &amp; Assumptions'!$C$13,INDEX('Inputs &amp; Assumptions'!$D$70:$D$98,'Inputs &amp; Assumptions'!$D$109+1+1),0)</f>
        <v>0</v>
      </c>
      <c r="F13" s="39" t="n">
        <f aca="false">IF(('Inputs &amp; Assumptions'!$D$109+2)&lt;='Inputs &amp; Assumptions'!$C$13,INDEX('Inputs &amp; Assumptions'!$D$70:$D$98,'Inputs &amp; Assumptions'!$D$109+2+1),0)</f>
        <v>600000</v>
      </c>
      <c r="G13" s="39" t="n">
        <f aca="false">IF(('Inputs &amp; Assumptions'!$D$109+3)&lt;='Inputs &amp; Assumptions'!$C$13,INDEX('Inputs &amp; Assumptions'!$D$70:$D$98,'Inputs &amp; Assumptions'!$D$109+3+1),0)</f>
        <v>582000</v>
      </c>
      <c r="H13" s="39" t="n">
        <f aca="false">IF(('Inputs &amp; Assumptions'!$D$109+4)&lt;='Inputs &amp; Assumptions'!$C$13,INDEX('Inputs &amp; Assumptions'!$D$70:$D$98,'Inputs &amp; Assumptions'!$D$109+4+1),0)</f>
        <v>564540</v>
      </c>
      <c r="I13" s="39" t="n">
        <f aca="false">IF(('Inputs &amp; Assumptions'!$D$109+5)&lt;='Inputs &amp; Assumptions'!$C$13,INDEX('Inputs &amp; Assumptions'!$D$70:$D$98,'Inputs &amp; Assumptions'!$D$109+5+1),0)</f>
        <v>547603.8</v>
      </c>
      <c r="J13" s="39" t="n">
        <f aca="false">IF(('Inputs &amp; Assumptions'!$D$109+6)&lt;='Inputs &amp; Assumptions'!$C$13,INDEX('Inputs &amp; Assumptions'!$D$70:$D$98,'Inputs &amp; Assumptions'!$D$109+6+1),0)</f>
        <v>531175.686</v>
      </c>
      <c r="K13" s="39" t="n">
        <f aca="false">IF(('Inputs &amp; Assumptions'!$D$109+7)&lt;='Inputs &amp; Assumptions'!$C$13,INDEX('Inputs &amp; Assumptions'!$D$70:$D$98,'Inputs &amp; Assumptions'!$D$109+7+1),0)</f>
        <v>515240.41542</v>
      </c>
      <c r="L13" s="39" t="n">
        <f aca="false">IF(('Inputs &amp; Assumptions'!$D$109+8)&lt;='Inputs &amp; Assumptions'!$C$13,INDEX('Inputs &amp; Assumptions'!$D$70:$D$98,'Inputs &amp; Assumptions'!$D$109+8+1),0)</f>
        <v>499783.2029574</v>
      </c>
      <c r="M13" s="39" t="n">
        <f aca="false">IF(('Inputs &amp; Assumptions'!$D$109+9)&lt;='Inputs &amp; Assumptions'!$C$13,INDEX('Inputs &amp; Assumptions'!$D$70:$D$98,'Inputs &amp; Assumptions'!$D$109+9+1),0)</f>
        <v>484789.706868678</v>
      </c>
      <c r="N13" s="39" t="n">
        <f aca="false">IF(('Inputs &amp; Assumptions'!$D$109+10)&lt;='Inputs &amp; Assumptions'!$C$13,INDEX('Inputs &amp; Assumptions'!$D$70:$D$98,'Inputs &amp; Assumptions'!$D$109+10+1),0)</f>
        <v>470246.015662618</v>
      </c>
      <c r="O13" s="39" t="n">
        <f aca="false">IF(('Inputs &amp; Assumptions'!$D$109+11)&lt;='Inputs &amp; Assumptions'!$C$13,INDEX('Inputs &amp; Assumptions'!$D$70:$D$98,'Inputs &amp; Assumptions'!$D$109+11+1),0)</f>
        <v>456138.635192739</v>
      </c>
      <c r="P13" s="39" t="n">
        <f aca="false">IF(('Inputs &amp; Assumptions'!$D$109+12)&lt;='Inputs &amp; Assumptions'!$C$13,INDEX('Inputs &amp; Assumptions'!$D$70:$D$98,'Inputs &amp; Assumptions'!$D$109+12+1),0)</f>
        <v>442454.476136957</v>
      </c>
      <c r="Q13" s="39" t="n">
        <f aca="false">IF(('Inputs &amp; Assumptions'!$D$109+13)&lt;='Inputs &amp; Assumptions'!$C$13,INDEX('Inputs &amp; Assumptions'!$D$70:$D$98,'Inputs &amp; Assumptions'!$D$109+13+1),0)</f>
        <v>429180.841852848</v>
      </c>
      <c r="R13" s="39" t="n">
        <f aca="false">IF(('Inputs &amp; Assumptions'!$D$109+14)&lt;='Inputs &amp; Assumptions'!$C$13,INDEX('Inputs &amp; Assumptions'!$D$70:$D$98,'Inputs &amp; Assumptions'!$D$109+14+1),0)</f>
        <v>416305.416597263</v>
      </c>
      <c r="S13" s="39" t="n">
        <f aca="false">IF(('Inputs &amp; Assumptions'!$D$109+15)&lt;='Inputs &amp; Assumptions'!$C$13,INDEX('Inputs &amp; Assumptions'!$D$70:$D$98,'Inputs &amp; Assumptions'!$D$109+15+1),0)</f>
        <v>403816.254099345</v>
      </c>
      <c r="T13" s="39" t="n">
        <f aca="false">IF(('Inputs &amp; Assumptions'!$D$109+16)&lt;='Inputs &amp; Assumptions'!$C$13,INDEX('Inputs &amp; Assumptions'!$D$70:$D$98,'Inputs &amp; Assumptions'!$D$109+16+1),0)</f>
        <v>391701.766476365</v>
      </c>
      <c r="U13" s="39" t="n">
        <f aca="false">IF(('Inputs &amp; Assumptions'!$D$109+17)&lt;='Inputs &amp; Assumptions'!$C$13,INDEX('Inputs &amp; Assumptions'!$D$70:$D$98,'Inputs &amp; Assumptions'!$D$109+17+1),0)</f>
        <v>379950.713482074</v>
      </c>
      <c r="V13" s="39" t="n">
        <f aca="false">IF(('Inputs &amp; Assumptions'!$D$109+18)&lt;='Inputs &amp; Assumptions'!$C$13,INDEX('Inputs &amp; Assumptions'!$D$70:$D$98,'Inputs &amp; Assumptions'!$D$109+18+1),0)</f>
        <v>368552.192077611</v>
      </c>
      <c r="W13" s="39" t="n">
        <f aca="false">IF(('Inputs &amp; Assumptions'!$D$109+19)&lt;='Inputs &amp; Assumptions'!$C$13,INDEX('Inputs &amp; Assumptions'!$D$70:$D$98,'Inputs &amp; Assumptions'!$D$109+19+1),0)</f>
        <v>357495.626315283</v>
      </c>
      <c r="X13" s="39" t="n">
        <f aca="false">IF(('Inputs &amp; Assumptions'!$D$109+20)&lt;='Inputs &amp; Assumptions'!$C$13,INDEX('Inputs &amp; Assumptions'!$D$70:$D$98,'Inputs &amp; Assumptions'!$D$109+20+1),0)</f>
        <v>346770.757525825</v>
      </c>
      <c r="Y13" s="39" t="n">
        <f aca="false">IF(('Inputs &amp; Assumptions'!$D$109+21)&lt;='Inputs &amp; Assumptions'!$C$13,INDEX('Inputs &amp; Assumptions'!$D$70:$D$98,'Inputs &amp; Assumptions'!$D$109+21+1),0)</f>
        <v>336367.63480005</v>
      </c>
      <c r="Z13" s="39" t="n">
        <f aca="false">IF(('Inputs &amp; Assumptions'!$D$109+22)&lt;='Inputs &amp; Assumptions'!$C$13,INDEX('Inputs &amp; Assumptions'!$D$70:$D$98,'Inputs &amp; Assumptions'!$D$109+22+1),0)</f>
        <v>326276.605756048</v>
      </c>
      <c r="AA13" s="39" t="n">
        <f aca="false">IF(('Inputs &amp; Assumptions'!$D$109+23)&lt;='Inputs &amp; Assumptions'!$C$13,INDEX('Inputs &amp; Assumptions'!$D$70:$D$98,'Inputs &amp; Assumptions'!$D$109+23+1),0)</f>
        <v>316488.307583367</v>
      </c>
      <c r="AB13" s="39" t="n">
        <f aca="false">IF(('Inputs &amp; Assumptions'!$D$109+24)&lt;='Inputs &amp; Assumptions'!$C$13,INDEX('Inputs &amp; Assumptions'!$D$70:$D$98,'Inputs &amp; Assumptions'!$D$109+24+1),0)</f>
        <v>306993.658355866</v>
      </c>
      <c r="AC13" s="39" t="n">
        <f aca="false">IF(('Inputs &amp; Assumptions'!$D$109+25)&lt;='Inputs &amp; Assumptions'!$C$13,INDEX('Inputs &amp; Assumptions'!$D$70:$D$98,'Inputs &amp; Assumptions'!$D$109+25+1),0)</f>
        <v>9926128.28683967</v>
      </c>
      <c r="AD13" s="39" t="n">
        <f aca="false">IF(('Inputs &amp; Assumptions'!$D$109+26)&lt;='Inputs &amp; Assumptions'!$C$13,INDEX('Inputs &amp; Assumptions'!$D$70:$D$98,'Inputs &amp; Assumptions'!$D$109+26+1),0)</f>
        <v>0</v>
      </c>
      <c r="AE13" s="39" t="n">
        <f aca="false">IF(('Inputs &amp; Assumptions'!$D$109+27)&lt;='Inputs &amp; Assumptions'!$C$13,INDEX('Inputs &amp; Assumptions'!$D$70:$D$98,'Inputs &amp; Assumptions'!$D$109+27+1),0)</f>
        <v>0</v>
      </c>
      <c r="AF13" s="39" t="n">
        <f aca="false">IF(('Inputs &amp; Assumptions'!$D$109+28)&lt;='Inputs &amp; Assumptions'!$C$13,INDEX('Inputs &amp; Assumptions'!$D$70:$D$98,'Inputs &amp; Assumptions'!$D$109+28+1),0)</f>
        <v>0</v>
      </c>
      <c r="AG13" s="39" t="n">
        <f aca="false">IF(('Inputs &amp; Assumptions'!$D$109+29)&lt;='Inputs &amp; Assumptions'!$C$13,INDEX('Inputs &amp; Assumptions'!$D$70:$D$98,'Inputs &amp; Assumptions'!$D$109+29+1),0)</f>
        <v>0</v>
      </c>
      <c r="AH13" s="39" t="n">
        <f aca="false">IF(('Inputs &amp; Assumptions'!$D$109+30)&lt;='Inputs &amp; Assumptions'!$C$13,INDEX('Inputs &amp; Assumptions'!$D$70:$D$98,'Inputs &amp; Assumptions'!$D$109+30+1),0)</f>
        <v>0</v>
      </c>
      <c r="AI13" s="39" t="n">
        <f aca="false">IF(('Inputs &amp; Assumptions'!$D$109+31)&lt;='Inputs &amp; Assumptions'!$C$13,INDEX('Inputs &amp; Assumptions'!$D$70:$D$98,'Inputs &amp; Assumptions'!$D$109+31+1),0)</f>
        <v>0</v>
      </c>
      <c r="AJ13" s="39" t="n">
        <f aca="false">IF(('Inputs &amp; Assumptions'!$D$109+32)&lt;='Inputs &amp; Assumptions'!$C$13,INDEX('Inputs &amp; Assumptions'!$D$70:$D$98,'Inputs &amp; Assumptions'!$D$109+32+1),0)</f>
        <v>0</v>
      </c>
      <c r="AK13" s="39" t="n">
        <f aca="false">IF(('Inputs &amp; Assumptions'!$D$109+33)&lt;='Inputs &amp; Assumptions'!$C$13,INDEX('Inputs &amp; Assumptions'!$D$70:$D$98,'Inputs &amp; Assumptions'!$D$109+33+1),0)</f>
        <v>0</v>
      </c>
      <c r="AL13" s="39" t="n">
        <f aca="false">IF(('Inputs &amp; Assumptions'!$D$109+34)&lt;='Inputs &amp; Assumptions'!$C$13,INDEX('Inputs &amp; Assumptions'!$D$70:$D$98,'Inputs &amp; Assumptions'!$D$109+34+1),0)</f>
        <v>0</v>
      </c>
      <c r="AM13" s="39" t="n">
        <f aca="false">IF(('Inputs &amp; Assumptions'!$D$109+35)&lt;='Inputs &amp; Assumptions'!$C$13,INDEX('Inputs &amp; Assumptions'!$D$70:$D$98,'Inputs &amp; Assumptions'!$D$109+35+1),0)</f>
        <v>0</v>
      </c>
      <c r="AN13" s="39" t="n">
        <f aca="false">IF(('Inputs &amp; Assumptions'!$D$109+36)&lt;='Inputs &amp; Assumptions'!$C$13,INDEX('Inputs &amp; Assumptions'!$D$70:$D$98,'Inputs &amp; Assumptions'!$D$109+36+1),0)</f>
        <v>0</v>
      </c>
    </row>
    <row r="14" customFormat="false" ht="15" hidden="false" customHeight="false" outlineLevel="0" collapsed="false">
      <c r="B14" s="38" t="n">
        <f aca="false">'Inputs &amp; Assumptions'!$B$110</f>
        <v>9</v>
      </c>
      <c r="E14" s="39" t="n">
        <f aca="false">IF(('Inputs &amp; Assumptions'!$D$110+1)&lt;='Inputs &amp; Assumptions'!$C$13,INDEX('Inputs &amp; Assumptions'!$D$70:$D$98,'Inputs &amp; Assumptions'!$D$110+1+1),0)</f>
        <v>0</v>
      </c>
      <c r="F14" s="39" t="n">
        <f aca="false">IF(('Inputs &amp; Assumptions'!$D$110+2)&lt;='Inputs &amp; Assumptions'!$C$13,INDEX('Inputs &amp; Assumptions'!$D$70:$D$98,'Inputs &amp; Assumptions'!$D$110+2+1),0)</f>
        <v>600000</v>
      </c>
      <c r="G14" s="39" t="n">
        <f aca="false">IF(('Inputs &amp; Assumptions'!$D$110+3)&lt;='Inputs &amp; Assumptions'!$C$13,INDEX('Inputs &amp; Assumptions'!$D$70:$D$98,'Inputs &amp; Assumptions'!$D$110+3+1),0)</f>
        <v>582000</v>
      </c>
      <c r="H14" s="39" t="n">
        <f aca="false">IF(('Inputs &amp; Assumptions'!$D$110+4)&lt;='Inputs &amp; Assumptions'!$C$13,INDEX('Inputs &amp; Assumptions'!$D$70:$D$98,'Inputs &amp; Assumptions'!$D$110+4+1),0)</f>
        <v>564540</v>
      </c>
      <c r="I14" s="39" t="n">
        <f aca="false">IF(('Inputs &amp; Assumptions'!$D$110+5)&lt;='Inputs &amp; Assumptions'!$C$13,INDEX('Inputs &amp; Assumptions'!$D$70:$D$98,'Inputs &amp; Assumptions'!$D$110+5+1),0)</f>
        <v>547603.8</v>
      </c>
      <c r="J14" s="39" t="n">
        <f aca="false">IF(('Inputs &amp; Assumptions'!$D$110+6)&lt;='Inputs &amp; Assumptions'!$C$13,INDEX('Inputs &amp; Assumptions'!$D$70:$D$98,'Inputs &amp; Assumptions'!$D$110+6+1),0)</f>
        <v>531175.686</v>
      </c>
      <c r="K14" s="39" t="n">
        <f aca="false">IF(('Inputs &amp; Assumptions'!$D$110+7)&lt;='Inputs &amp; Assumptions'!$C$13,INDEX('Inputs &amp; Assumptions'!$D$70:$D$98,'Inputs &amp; Assumptions'!$D$110+7+1),0)</f>
        <v>515240.41542</v>
      </c>
      <c r="L14" s="39" t="n">
        <f aca="false">IF(('Inputs &amp; Assumptions'!$D$110+8)&lt;='Inputs &amp; Assumptions'!$C$13,INDEX('Inputs &amp; Assumptions'!$D$70:$D$98,'Inputs &amp; Assumptions'!$D$110+8+1),0)</f>
        <v>499783.2029574</v>
      </c>
      <c r="M14" s="39" t="n">
        <f aca="false">IF(('Inputs &amp; Assumptions'!$D$110+9)&lt;='Inputs &amp; Assumptions'!$C$13,INDEX('Inputs &amp; Assumptions'!$D$70:$D$98,'Inputs &amp; Assumptions'!$D$110+9+1),0)</f>
        <v>484789.706868678</v>
      </c>
      <c r="N14" s="39" t="n">
        <f aca="false">IF(('Inputs &amp; Assumptions'!$D$110+10)&lt;='Inputs &amp; Assumptions'!$C$13,INDEX('Inputs &amp; Assumptions'!$D$70:$D$98,'Inputs &amp; Assumptions'!$D$110+10+1),0)</f>
        <v>470246.015662618</v>
      </c>
      <c r="O14" s="39" t="n">
        <f aca="false">IF(('Inputs &amp; Assumptions'!$D$110+11)&lt;='Inputs &amp; Assumptions'!$C$13,INDEX('Inputs &amp; Assumptions'!$D$70:$D$98,'Inputs &amp; Assumptions'!$D$110+11+1),0)</f>
        <v>456138.635192739</v>
      </c>
      <c r="P14" s="39" t="n">
        <f aca="false">IF(('Inputs &amp; Assumptions'!$D$110+12)&lt;='Inputs &amp; Assumptions'!$C$13,INDEX('Inputs &amp; Assumptions'!$D$70:$D$98,'Inputs &amp; Assumptions'!$D$110+12+1),0)</f>
        <v>442454.476136957</v>
      </c>
      <c r="Q14" s="39" t="n">
        <f aca="false">IF(('Inputs &amp; Assumptions'!$D$110+13)&lt;='Inputs &amp; Assumptions'!$C$13,INDEX('Inputs &amp; Assumptions'!$D$70:$D$98,'Inputs &amp; Assumptions'!$D$110+13+1),0)</f>
        <v>429180.841852848</v>
      </c>
      <c r="R14" s="39" t="n">
        <f aca="false">IF(('Inputs &amp; Assumptions'!$D$110+14)&lt;='Inputs &amp; Assumptions'!$C$13,INDEX('Inputs &amp; Assumptions'!$D$70:$D$98,'Inputs &amp; Assumptions'!$D$110+14+1),0)</f>
        <v>416305.416597263</v>
      </c>
      <c r="S14" s="39" t="n">
        <f aca="false">IF(('Inputs &amp; Assumptions'!$D$110+15)&lt;='Inputs &amp; Assumptions'!$C$13,INDEX('Inputs &amp; Assumptions'!$D$70:$D$98,'Inputs &amp; Assumptions'!$D$110+15+1),0)</f>
        <v>403816.254099345</v>
      </c>
      <c r="T14" s="39" t="n">
        <f aca="false">IF(('Inputs &amp; Assumptions'!$D$110+16)&lt;='Inputs &amp; Assumptions'!$C$13,INDEX('Inputs &amp; Assumptions'!$D$70:$D$98,'Inputs &amp; Assumptions'!$D$110+16+1),0)</f>
        <v>391701.766476365</v>
      </c>
      <c r="U14" s="39" t="n">
        <f aca="false">IF(('Inputs &amp; Assumptions'!$D$110+17)&lt;='Inputs &amp; Assumptions'!$C$13,INDEX('Inputs &amp; Assumptions'!$D$70:$D$98,'Inputs &amp; Assumptions'!$D$110+17+1),0)</f>
        <v>379950.713482074</v>
      </c>
      <c r="V14" s="39" t="n">
        <f aca="false">IF(('Inputs &amp; Assumptions'!$D$110+18)&lt;='Inputs &amp; Assumptions'!$C$13,INDEX('Inputs &amp; Assumptions'!$D$70:$D$98,'Inputs &amp; Assumptions'!$D$110+18+1),0)</f>
        <v>368552.192077611</v>
      </c>
      <c r="W14" s="39" t="n">
        <f aca="false">IF(('Inputs &amp; Assumptions'!$D$110+19)&lt;='Inputs &amp; Assumptions'!$C$13,INDEX('Inputs &amp; Assumptions'!$D$70:$D$98,'Inputs &amp; Assumptions'!$D$110+19+1),0)</f>
        <v>357495.626315283</v>
      </c>
      <c r="X14" s="39" t="n">
        <f aca="false">IF(('Inputs &amp; Assumptions'!$D$110+20)&lt;='Inputs &amp; Assumptions'!$C$13,INDEX('Inputs &amp; Assumptions'!$D$70:$D$98,'Inputs &amp; Assumptions'!$D$110+20+1),0)</f>
        <v>346770.757525825</v>
      </c>
      <c r="Y14" s="39" t="n">
        <f aca="false">IF(('Inputs &amp; Assumptions'!$D$110+21)&lt;='Inputs &amp; Assumptions'!$C$13,INDEX('Inputs &amp; Assumptions'!$D$70:$D$98,'Inputs &amp; Assumptions'!$D$110+21+1),0)</f>
        <v>336367.63480005</v>
      </c>
      <c r="Z14" s="39" t="n">
        <f aca="false">IF(('Inputs &amp; Assumptions'!$D$110+22)&lt;='Inputs &amp; Assumptions'!$C$13,INDEX('Inputs &amp; Assumptions'!$D$70:$D$98,'Inputs &amp; Assumptions'!$D$110+22+1),0)</f>
        <v>326276.605756048</v>
      </c>
      <c r="AA14" s="39" t="n">
        <f aca="false">IF(('Inputs &amp; Assumptions'!$D$110+23)&lt;='Inputs &amp; Assumptions'!$C$13,INDEX('Inputs &amp; Assumptions'!$D$70:$D$98,'Inputs &amp; Assumptions'!$D$110+23+1),0)</f>
        <v>316488.307583367</v>
      </c>
      <c r="AB14" s="39" t="n">
        <f aca="false">IF(('Inputs &amp; Assumptions'!$D$110+24)&lt;='Inputs &amp; Assumptions'!$C$13,INDEX('Inputs &amp; Assumptions'!$D$70:$D$98,'Inputs &amp; Assumptions'!$D$110+24+1),0)</f>
        <v>306993.658355866</v>
      </c>
      <c r="AC14" s="39" t="n">
        <f aca="false">IF(('Inputs &amp; Assumptions'!$D$110+25)&lt;='Inputs &amp; Assumptions'!$C$13,INDEX('Inputs &amp; Assumptions'!$D$70:$D$98,'Inputs &amp; Assumptions'!$D$110+25+1),0)</f>
        <v>9926128.28683967</v>
      </c>
      <c r="AD14" s="39" t="n">
        <f aca="false">IF(('Inputs &amp; Assumptions'!$D$110+26)&lt;='Inputs &amp; Assumptions'!$C$13,INDEX('Inputs &amp; Assumptions'!$D$70:$D$98,'Inputs &amp; Assumptions'!$D$110+26+1),0)</f>
        <v>0</v>
      </c>
      <c r="AE14" s="39" t="n">
        <f aca="false">IF(('Inputs &amp; Assumptions'!$D$110+27)&lt;='Inputs &amp; Assumptions'!$C$13,INDEX('Inputs &amp; Assumptions'!$D$70:$D$98,'Inputs &amp; Assumptions'!$D$110+27+1),0)</f>
        <v>0</v>
      </c>
      <c r="AF14" s="39" t="n">
        <f aca="false">IF(('Inputs &amp; Assumptions'!$D$110+28)&lt;='Inputs &amp; Assumptions'!$C$13,INDEX('Inputs &amp; Assumptions'!$D$70:$D$98,'Inputs &amp; Assumptions'!$D$110+28+1),0)</f>
        <v>0</v>
      </c>
      <c r="AG14" s="39" t="n">
        <f aca="false">IF(('Inputs &amp; Assumptions'!$D$110+29)&lt;='Inputs &amp; Assumptions'!$C$13,INDEX('Inputs &amp; Assumptions'!$D$70:$D$98,'Inputs &amp; Assumptions'!$D$110+29+1),0)</f>
        <v>0</v>
      </c>
      <c r="AH14" s="39" t="n">
        <f aca="false">IF(('Inputs &amp; Assumptions'!$D$110+30)&lt;='Inputs &amp; Assumptions'!$C$13,INDEX('Inputs &amp; Assumptions'!$D$70:$D$98,'Inputs &amp; Assumptions'!$D$110+30+1),0)</f>
        <v>0</v>
      </c>
      <c r="AI14" s="39" t="n">
        <f aca="false">IF(('Inputs &amp; Assumptions'!$D$110+31)&lt;='Inputs &amp; Assumptions'!$C$13,INDEX('Inputs &amp; Assumptions'!$D$70:$D$98,'Inputs &amp; Assumptions'!$D$110+31+1),0)</f>
        <v>0</v>
      </c>
      <c r="AJ14" s="39" t="n">
        <f aca="false">IF(('Inputs &amp; Assumptions'!$D$110+32)&lt;='Inputs &amp; Assumptions'!$C$13,INDEX('Inputs &amp; Assumptions'!$D$70:$D$98,'Inputs &amp; Assumptions'!$D$110+32+1),0)</f>
        <v>0</v>
      </c>
      <c r="AK14" s="39" t="n">
        <f aca="false">IF(('Inputs &amp; Assumptions'!$D$110+33)&lt;='Inputs &amp; Assumptions'!$C$13,INDEX('Inputs &amp; Assumptions'!$D$70:$D$98,'Inputs &amp; Assumptions'!$D$110+33+1),0)</f>
        <v>0</v>
      </c>
      <c r="AL14" s="39" t="n">
        <f aca="false">IF(('Inputs &amp; Assumptions'!$D$110+34)&lt;='Inputs &amp; Assumptions'!$C$13,INDEX('Inputs &amp; Assumptions'!$D$70:$D$98,'Inputs &amp; Assumptions'!$D$110+34+1),0)</f>
        <v>0</v>
      </c>
      <c r="AM14" s="39" t="n">
        <f aca="false">IF(('Inputs &amp; Assumptions'!$D$110+35)&lt;='Inputs &amp; Assumptions'!$C$13,INDEX('Inputs &amp; Assumptions'!$D$70:$D$98,'Inputs &amp; Assumptions'!$D$110+35+1),0)</f>
        <v>0</v>
      </c>
      <c r="AN14" s="39" t="n">
        <f aca="false">IF(('Inputs &amp; Assumptions'!$D$110+36)&lt;='Inputs &amp; Assumptions'!$C$13,INDEX('Inputs &amp; Assumptions'!$D$70:$D$98,'Inputs &amp; Assumptions'!$D$110+36+1),0)</f>
        <v>0</v>
      </c>
    </row>
    <row r="15" customFormat="false" ht="15" hidden="false" customHeight="false" outlineLevel="0" collapsed="false">
      <c r="B15" s="38" t="n">
        <f aca="false">'Inputs &amp; Assumptions'!$B$111</f>
        <v>10</v>
      </c>
      <c r="E15" s="39" t="n">
        <f aca="false">IF(('Inputs &amp; Assumptions'!$D$111+1)&lt;='Inputs &amp; Assumptions'!$C$13,INDEX('Inputs &amp; Assumptions'!$D$70:$D$98,'Inputs &amp; Assumptions'!$D$111+1+1),0)</f>
        <v>0</v>
      </c>
      <c r="F15" s="39" t="n">
        <f aca="false">IF(('Inputs &amp; Assumptions'!$D$111+2)&lt;='Inputs &amp; Assumptions'!$C$13,INDEX('Inputs &amp; Assumptions'!$D$70:$D$98,'Inputs &amp; Assumptions'!$D$111+2+1),0)</f>
        <v>600000</v>
      </c>
      <c r="G15" s="39" t="n">
        <f aca="false">IF(('Inputs &amp; Assumptions'!$D$111+3)&lt;='Inputs &amp; Assumptions'!$C$13,INDEX('Inputs &amp; Assumptions'!$D$70:$D$98,'Inputs &amp; Assumptions'!$D$111+3+1),0)</f>
        <v>582000</v>
      </c>
      <c r="H15" s="39" t="n">
        <f aca="false">IF(('Inputs &amp; Assumptions'!$D$111+4)&lt;='Inputs &amp; Assumptions'!$C$13,INDEX('Inputs &amp; Assumptions'!$D$70:$D$98,'Inputs &amp; Assumptions'!$D$111+4+1),0)</f>
        <v>564540</v>
      </c>
      <c r="I15" s="39" t="n">
        <f aca="false">IF(('Inputs &amp; Assumptions'!$D$111+5)&lt;='Inputs &amp; Assumptions'!$C$13,INDEX('Inputs &amp; Assumptions'!$D$70:$D$98,'Inputs &amp; Assumptions'!$D$111+5+1),0)</f>
        <v>547603.8</v>
      </c>
      <c r="J15" s="39" t="n">
        <f aca="false">IF(('Inputs &amp; Assumptions'!$D$111+6)&lt;='Inputs &amp; Assumptions'!$C$13,INDEX('Inputs &amp; Assumptions'!$D$70:$D$98,'Inputs &amp; Assumptions'!$D$111+6+1),0)</f>
        <v>531175.686</v>
      </c>
      <c r="K15" s="39" t="n">
        <f aca="false">IF(('Inputs &amp; Assumptions'!$D$111+7)&lt;='Inputs &amp; Assumptions'!$C$13,INDEX('Inputs &amp; Assumptions'!$D$70:$D$98,'Inputs &amp; Assumptions'!$D$111+7+1),0)</f>
        <v>515240.41542</v>
      </c>
      <c r="L15" s="39" t="n">
        <f aca="false">IF(('Inputs &amp; Assumptions'!$D$111+8)&lt;='Inputs &amp; Assumptions'!$C$13,INDEX('Inputs &amp; Assumptions'!$D$70:$D$98,'Inputs &amp; Assumptions'!$D$111+8+1),0)</f>
        <v>499783.2029574</v>
      </c>
      <c r="M15" s="39" t="n">
        <f aca="false">IF(('Inputs &amp; Assumptions'!$D$111+9)&lt;='Inputs &amp; Assumptions'!$C$13,INDEX('Inputs &amp; Assumptions'!$D$70:$D$98,'Inputs &amp; Assumptions'!$D$111+9+1),0)</f>
        <v>484789.706868678</v>
      </c>
      <c r="N15" s="39" t="n">
        <f aca="false">IF(('Inputs &amp; Assumptions'!$D$111+10)&lt;='Inputs &amp; Assumptions'!$C$13,INDEX('Inputs &amp; Assumptions'!$D$70:$D$98,'Inputs &amp; Assumptions'!$D$111+10+1),0)</f>
        <v>470246.015662618</v>
      </c>
      <c r="O15" s="39" t="n">
        <f aca="false">IF(('Inputs &amp; Assumptions'!$D$111+11)&lt;='Inputs &amp; Assumptions'!$C$13,INDEX('Inputs &amp; Assumptions'!$D$70:$D$98,'Inputs &amp; Assumptions'!$D$111+11+1),0)</f>
        <v>456138.635192739</v>
      </c>
      <c r="P15" s="39" t="n">
        <f aca="false">IF(('Inputs &amp; Assumptions'!$D$111+12)&lt;='Inputs &amp; Assumptions'!$C$13,INDEX('Inputs &amp; Assumptions'!$D$70:$D$98,'Inputs &amp; Assumptions'!$D$111+12+1),0)</f>
        <v>442454.476136957</v>
      </c>
      <c r="Q15" s="39" t="n">
        <f aca="false">IF(('Inputs &amp; Assumptions'!$D$111+13)&lt;='Inputs &amp; Assumptions'!$C$13,INDEX('Inputs &amp; Assumptions'!$D$70:$D$98,'Inputs &amp; Assumptions'!$D$111+13+1),0)</f>
        <v>429180.841852848</v>
      </c>
      <c r="R15" s="39" t="n">
        <f aca="false">IF(('Inputs &amp; Assumptions'!$D$111+14)&lt;='Inputs &amp; Assumptions'!$C$13,INDEX('Inputs &amp; Assumptions'!$D$70:$D$98,'Inputs &amp; Assumptions'!$D$111+14+1),0)</f>
        <v>416305.416597263</v>
      </c>
      <c r="S15" s="39" t="n">
        <f aca="false">IF(('Inputs &amp; Assumptions'!$D$111+15)&lt;='Inputs &amp; Assumptions'!$C$13,INDEX('Inputs &amp; Assumptions'!$D$70:$D$98,'Inputs &amp; Assumptions'!$D$111+15+1),0)</f>
        <v>403816.254099345</v>
      </c>
      <c r="T15" s="39" t="n">
        <f aca="false">IF(('Inputs &amp; Assumptions'!$D$111+16)&lt;='Inputs &amp; Assumptions'!$C$13,INDEX('Inputs &amp; Assumptions'!$D$70:$D$98,'Inputs &amp; Assumptions'!$D$111+16+1),0)</f>
        <v>391701.766476365</v>
      </c>
      <c r="U15" s="39" t="n">
        <f aca="false">IF(('Inputs &amp; Assumptions'!$D$111+17)&lt;='Inputs &amp; Assumptions'!$C$13,INDEX('Inputs &amp; Assumptions'!$D$70:$D$98,'Inputs &amp; Assumptions'!$D$111+17+1),0)</f>
        <v>379950.713482074</v>
      </c>
      <c r="V15" s="39" t="n">
        <f aca="false">IF(('Inputs &amp; Assumptions'!$D$111+18)&lt;='Inputs &amp; Assumptions'!$C$13,INDEX('Inputs &amp; Assumptions'!$D$70:$D$98,'Inputs &amp; Assumptions'!$D$111+18+1),0)</f>
        <v>368552.192077611</v>
      </c>
      <c r="W15" s="39" t="n">
        <f aca="false">IF(('Inputs &amp; Assumptions'!$D$111+19)&lt;='Inputs &amp; Assumptions'!$C$13,INDEX('Inputs &amp; Assumptions'!$D$70:$D$98,'Inputs &amp; Assumptions'!$D$111+19+1),0)</f>
        <v>357495.626315283</v>
      </c>
      <c r="X15" s="39" t="n">
        <f aca="false">IF(('Inputs &amp; Assumptions'!$D$111+20)&lt;='Inputs &amp; Assumptions'!$C$13,INDEX('Inputs &amp; Assumptions'!$D$70:$D$98,'Inputs &amp; Assumptions'!$D$111+20+1),0)</f>
        <v>346770.757525825</v>
      </c>
      <c r="Y15" s="39" t="n">
        <f aca="false">IF(('Inputs &amp; Assumptions'!$D$111+21)&lt;='Inputs &amp; Assumptions'!$C$13,INDEX('Inputs &amp; Assumptions'!$D$70:$D$98,'Inputs &amp; Assumptions'!$D$111+21+1),0)</f>
        <v>336367.63480005</v>
      </c>
      <c r="Z15" s="39" t="n">
        <f aca="false">IF(('Inputs &amp; Assumptions'!$D$111+22)&lt;='Inputs &amp; Assumptions'!$C$13,INDEX('Inputs &amp; Assumptions'!$D$70:$D$98,'Inputs &amp; Assumptions'!$D$111+22+1),0)</f>
        <v>326276.605756048</v>
      </c>
      <c r="AA15" s="39" t="n">
        <f aca="false">IF(('Inputs &amp; Assumptions'!$D$111+23)&lt;='Inputs &amp; Assumptions'!$C$13,INDEX('Inputs &amp; Assumptions'!$D$70:$D$98,'Inputs &amp; Assumptions'!$D$111+23+1),0)</f>
        <v>316488.307583367</v>
      </c>
      <c r="AB15" s="39" t="n">
        <f aca="false">IF(('Inputs &amp; Assumptions'!$D$111+24)&lt;='Inputs &amp; Assumptions'!$C$13,INDEX('Inputs &amp; Assumptions'!$D$70:$D$98,'Inputs &amp; Assumptions'!$D$111+24+1),0)</f>
        <v>306993.658355866</v>
      </c>
      <c r="AC15" s="39" t="n">
        <f aca="false">IF(('Inputs &amp; Assumptions'!$D$111+25)&lt;='Inputs &amp; Assumptions'!$C$13,INDEX('Inputs &amp; Assumptions'!$D$70:$D$98,'Inputs &amp; Assumptions'!$D$111+25+1),0)</f>
        <v>9926128.28683967</v>
      </c>
      <c r="AD15" s="39" t="n">
        <f aca="false">IF(('Inputs &amp; Assumptions'!$D$111+26)&lt;='Inputs &amp; Assumptions'!$C$13,INDEX('Inputs &amp; Assumptions'!$D$70:$D$98,'Inputs &amp; Assumptions'!$D$111+26+1),0)</f>
        <v>0</v>
      </c>
      <c r="AE15" s="39" t="n">
        <f aca="false">IF(('Inputs &amp; Assumptions'!$D$111+27)&lt;='Inputs &amp; Assumptions'!$C$13,INDEX('Inputs &amp; Assumptions'!$D$70:$D$98,'Inputs &amp; Assumptions'!$D$111+27+1),0)</f>
        <v>0</v>
      </c>
      <c r="AF15" s="39" t="n">
        <f aca="false">IF(('Inputs &amp; Assumptions'!$D$111+28)&lt;='Inputs &amp; Assumptions'!$C$13,INDEX('Inputs &amp; Assumptions'!$D$70:$D$98,'Inputs &amp; Assumptions'!$D$111+28+1),0)</f>
        <v>0</v>
      </c>
      <c r="AG15" s="39" t="n">
        <f aca="false">IF(('Inputs &amp; Assumptions'!$D$111+29)&lt;='Inputs &amp; Assumptions'!$C$13,INDEX('Inputs &amp; Assumptions'!$D$70:$D$98,'Inputs &amp; Assumptions'!$D$111+29+1),0)</f>
        <v>0</v>
      </c>
      <c r="AH15" s="39" t="n">
        <f aca="false">IF(('Inputs &amp; Assumptions'!$D$111+30)&lt;='Inputs &amp; Assumptions'!$C$13,INDEX('Inputs &amp; Assumptions'!$D$70:$D$98,'Inputs &amp; Assumptions'!$D$111+30+1),0)</f>
        <v>0</v>
      </c>
      <c r="AI15" s="39" t="n">
        <f aca="false">IF(('Inputs &amp; Assumptions'!$D$111+31)&lt;='Inputs &amp; Assumptions'!$C$13,INDEX('Inputs &amp; Assumptions'!$D$70:$D$98,'Inputs &amp; Assumptions'!$D$111+31+1),0)</f>
        <v>0</v>
      </c>
      <c r="AJ15" s="39" t="n">
        <f aca="false">IF(('Inputs &amp; Assumptions'!$D$111+32)&lt;='Inputs &amp; Assumptions'!$C$13,INDEX('Inputs &amp; Assumptions'!$D$70:$D$98,'Inputs &amp; Assumptions'!$D$111+32+1),0)</f>
        <v>0</v>
      </c>
      <c r="AK15" s="39" t="n">
        <f aca="false">IF(('Inputs &amp; Assumptions'!$D$111+33)&lt;='Inputs &amp; Assumptions'!$C$13,INDEX('Inputs &amp; Assumptions'!$D$70:$D$98,'Inputs &amp; Assumptions'!$D$111+33+1),0)</f>
        <v>0</v>
      </c>
      <c r="AL15" s="39" t="n">
        <f aca="false">IF(('Inputs &amp; Assumptions'!$D$111+34)&lt;='Inputs &amp; Assumptions'!$C$13,INDEX('Inputs &amp; Assumptions'!$D$70:$D$98,'Inputs &amp; Assumptions'!$D$111+34+1),0)</f>
        <v>0</v>
      </c>
      <c r="AM15" s="39" t="n">
        <f aca="false">IF(('Inputs &amp; Assumptions'!$D$111+35)&lt;='Inputs &amp; Assumptions'!$C$13,INDEX('Inputs &amp; Assumptions'!$D$70:$D$98,'Inputs &amp; Assumptions'!$D$111+35+1),0)</f>
        <v>0</v>
      </c>
      <c r="AN15" s="39" t="n">
        <f aca="false">IF(('Inputs &amp; Assumptions'!$D$111+36)&lt;='Inputs &amp; Assumptions'!$C$13,INDEX('Inputs &amp; Assumptions'!$D$70:$D$98,'Inputs &amp; Assumptions'!$D$111+36+1),0)</f>
        <v>0</v>
      </c>
    </row>
    <row r="16" customFormat="false" ht="15" hidden="false" customHeight="false" outlineLevel="0" collapsed="false">
      <c r="B16" s="38" t="n">
        <f aca="false">'Inputs &amp; Assumptions'!$B$112</f>
        <v>11</v>
      </c>
      <c r="E16" s="39" t="n">
        <f aca="false">IF(('Inputs &amp; Assumptions'!$D$112+1)&lt;='Inputs &amp; Assumptions'!$C$13,INDEX('Inputs &amp; Assumptions'!$D$70:$D$98,'Inputs &amp; Assumptions'!$D$112+1+1),0)</f>
        <v>600000</v>
      </c>
      <c r="F16" s="39" t="n">
        <f aca="false">IF(('Inputs &amp; Assumptions'!$D$112+2)&lt;='Inputs &amp; Assumptions'!$C$13,INDEX('Inputs &amp; Assumptions'!$D$70:$D$98,'Inputs &amp; Assumptions'!$D$112+2+1),0)</f>
        <v>582000</v>
      </c>
      <c r="G16" s="39" t="n">
        <f aca="false">IF(('Inputs &amp; Assumptions'!$D$112+3)&lt;='Inputs &amp; Assumptions'!$C$13,INDEX('Inputs &amp; Assumptions'!$D$70:$D$98,'Inputs &amp; Assumptions'!$D$112+3+1),0)</f>
        <v>564540</v>
      </c>
      <c r="H16" s="39" t="n">
        <f aca="false">IF(('Inputs &amp; Assumptions'!$D$112+4)&lt;='Inputs &amp; Assumptions'!$C$13,INDEX('Inputs &amp; Assumptions'!$D$70:$D$98,'Inputs &amp; Assumptions'!$D$112+4+1),0)</f>
        <v>547603.8</v>
      </c>
      <c r="I16" s="39" t="n">
        <f aca="false">IF(('Inputs &amp; Assumptions'!$D$112+5)&lt;='Inputs &amp; Assumptions'!$C$13,INDEX('Inputs &amp; Assumptions'!$D$70:$D$98,'Inputs &amp; Assumptions'!$D$112+5+1),0)</f>
        <v>531175.686</v>
      </c>
      <c r="J16" s="39" t="n">
        <f aca="false">IF(('Inputs &amp; Assumptions'!$D$112+6)&lt;='Inputs &amp; Assumptions'!$C$13,INDEX('Inputs &amp; Assumptions'!$D$70:$D$98,'Inputs &amp; Assumptions'!$D$112+6+1),0)</f>
        <v>515240.41542</v>
      </c>
      <c r="K16" s="39" t="n">
        <f aca="false">IF(('Inputs &amp; Assumptions'!$D$112+7)&lt;='Inputs &amp; Assumptions'!$C$13,INDEX('Inputs &amp; Assumptions'!$D$70:$D$98,'Inputs &amp; Assumptions'!$D$112+7+1),0)</f>
        <v>499783.2029574</v>
      </c>
      <c r="L16" s="39" t="n">
        <f aca="false">IF(('Inputs &amp; Assumptions'!$D$112+8)&lt;='Inputs &amp; Assumptions'!$C$13,INDEX('Inputs &amp; Assumptions'!$D$70:$D$98,'Inputs &amp; Assumptions'!$D$112+8+1),0)</f>
        <v>484789.706868678</v>
      </c>
      <c r="M16" s="39" t="n">
        <f aca="false">IF(('Inputs &amp; Assumptions'!$D$112+9)&lt;='Inputs &amp; Assumptions'!$C$13,INDEX('Inputs &amp; Assumptions'!$D$70:$D$98,'Inputs &amp; Assumptions'!$D$112+9+1),0)</f>
        <v>470246.015662618</v>
      </c>
      <c r="N16" s="39" t="n">
        <f aca="false">IF(('Inputs &amp; Assumptions'!$D$112+10)&lt;='Inputs &amp; Assumptions'!$C$13,INDEX('Inputs &amp; Assumptions'!$D$70:$D$98,'Inputs &amp; Assumptions'!$D$112+10+1),0)</f>
        <v>456138.635192739</v>
      </c>
      <c r="O16" s="39" t="n">
        <f aca="false">IF(('Inputs &amp; Assumptions'!$D$112+11)&lt;='Inputs &amp; Assumptions'!$C$13,INDEX('Inputs &amp; Assumptions'!$D$70:$D$98,'Inputs &amp; Assumptions'!$D$112+11+1),0)</f>
        <v>442454.476136957</v>
      </c>
      <c r="P16" s="39" t="n">
        <f aca="false">IF(('Inputs &amp; Assumptions'!$D$112+12)&lt;='Inputs &amp; Assumptions'!$C$13,INDEX('Inputs &amp; Assumptions'!$D$70:$D$98,'Inputs &amp; Assumptions'!$D$112+12+1),0)</f>
        <v>429180.841852848</v>
      </c>
      <c r="Q16" s="39" t="n">
        <f aca="false">IF(('Inputs &amp; Assumptions'!$D$112+13)&lt;='Inputs &amp; Assumptions'!$C$13,INDEX('Inputs &amp; Assumptions'!$D$70:$D$98,'Inputs &amp; Assumptions'!$D$112+13+1),0)</f>
        <v>416305.416597263</v>
      </c>
      <c r="R16" s="39" t="n">
        <f aca="false">IF(('Inputs &amp; Assumptions'!$D$112+14)&lt;='Inputs &amp; Assumptions'!$C$13,INDEX('Inputs &amp; Assumptions'!$D$70:$D$98,'Inputs &amp; Assumptions'!$D$112+14+1),0)</f>
        <v>403816.254099345</v>
      </c>
      <c r="S16" s="39" t="n">
        <f aca="false">IF(('Inputs &amp; Assumptions'!$D$112+15)&lt;='Inputs &amp; Assumptions'!$C$13,INDEX('Inputs &amp; Assumptions'!$D$70:$D$98,'Inputs &amp; Assumptions'!$D$112+15+1),0)</f>
        <v>391701.766476365</v>
      </c>
      <c r="T16" s="39" t="n">
        <f aca="false">IF(('Inputs &amp; Assumptions'!$D$112+16)&lt;='Inputs &amp; Assumptions'!$C$13,INDEX('Inputs &amp; Assumptions'!$D$70:$D$98,'Inputs &amp; Assumptions'!$D$112+16+1),0)</f>
        <v>379950.713482074</v>
      </c>
      <c r="U16" s="39" t="n">
        <f aca="false">IF(('Inputs &amp; Assumptions'!$D$112+17)&lt;='Inputs &amp; Assumptions'!$C$13,INDEX('Inputs &amp; Assumptions'!$D$70:$D$98,'Inputs &amp; Assumptions'!$D$112+17+1),0)</f>
        <v>368552.192077611</v>
      </c>
      <c r="V16" s="39" t="n">
        <f aca="false">IF(('Inputs &amp; Assumptions'!$D$112+18)&lt;='Inputs &amp; Assumptions'!$C$13,INDEX('Inputs &amp; Assumptions'!$D$70:$D$98,'Inputs &amp; Assumptions'!$D$112+18+1),0)</f>
        <v>357495.626315283</v>
      </c>
      <c r="W16" s="39" t="n">
        <f aca="false">IF(('Inputs &amp; Assumptions'!$D$112+19)&lt;='Inputs &amp; Assumptions'!$C$13,INDEX('Inputs &amp; Assumptions'!$D$70:$D$98,'Inputs &amp; Assumptions'!$D$112+19+1),0)</f>
        <v>346770.757525825</v>
      </c>
      <c r="X16" s="39" t="n">
        <f aca="false">IF(('Inputs &amp; Assumptions'!$D$112+20)&lt;='Inputs &amp; Assumptions'!$C$13,INDEX('Inputs &amp; Assumptions'!$D$70:$D$98,'Inputs &amp; Assumptions'!$D$112+20+1),0)</f>
        <v>336367.63480005</v>
      </c>
      <c r="Y16" s="39" t="n">
        <f aca="false">IF(('Inputs &amp; Assumptions'!$D$112+21)&lt;='Inputs &amp; Assumptions'!$C$13,INDEX('Inputs &amp; Assumptions'!$D$70:$D$98,'Inputs &amp; Assumptions'!$D$112+21+1),0)</f>
        <v>326276.605756048</v>
      </c>
      <c r="Z16" s="39" t="n">
        <f aca="false">IF(('Inputs &amp; Assumptions'!$D$112+22)&lt;='Inputs &amp; Assumptions'!$C$13,INDEX('Inputs &amp; Assumptions'!$D$70:$D$98,'Inputs &amp; Assumptions'!$D$112+22+1),0)</f>
        <v>316488.307583367</v>
      </c>
      <c r="AA16" s="39" t="n">
        <f aca="false">IF(('Inputs &amp; Assumptions'!$D$112+23)&lt;='Inputs &amp; Assumptions'!$C$13,INDEX('Inputs &amp; Assumptions'!$D$70:$D$98,'Inputs &amp; Assumptions'!$D$112+23+1),0)</f>
        <v>306993.658355866</v>
      </c>
      <c r="AB16" s="39" t="n">
        <f aca="false">IF(('Inputs &amp; Assumptions'!$D$112+24)&lt;='Inputs &amp; Assumptions'!$C$13,INDEX('Inputs &amp; Assumptions'!$D$70:$D$98,'Inputs &amp; Assumptions'!$D$112+24+1),0)</f>
        <v>9926128.28683967</v>
      </c>
      <c r="AC16" s="39" t="n">
        <f aca="false">IF(('Inputs &amp; Assumptions'!$D$112+25)&lt;='Inputs &amp; Assumptions'!$C$13,INDEX('Inputs &amp; Assumptions'!$D$70:$D$98,'Inputs &amp; Assumptions'!$D$112+25+1),0)</f>
        <v>0</v>
      </c>
      <c r="AD16" s="39" t="n">
        <f aca="false">IF(('Inputs &amp; Assumptions'!$D$112+26)&lt;='Inputs &amp; Assumptions'!$C$13,INDEX('Inputs &amp; Assumptions'!$D$70:$D$98,'Inputs &amp; Assumptions'!$D$112+26+1),0)</f>
        <v>0</v>
      </c>
      <c r="AE16" s="39" t="n">
        <f aca="false">IF(('Inputs &amp; Assumptions'!$D$112+27)&lt;='Inputs &amp; Assumptions'!$C$13,INDEX('Inputs &amp; Assumptions'!$D$70:$D$98,'Inputs &amp; Assumptions'!$D$112+27+1),0)</f>
        <v>0</v>
      </c>
      <c r="AF16" s="39" t="n">
        <f aca="false">IF(('Inputs &amp; Assumptions'!$D$112+28)&lt;='Inputs &amp; Assumptions'!$C$13,INDEX('Inputs &amp; Assumptions'!$D$70:$D$98,'Inputs &amp; Assumptions'!$D$112+28+1),0)</f>
        <v>0</v>
      </c>
      <c r="AG16" s="39" t="n">
        <f aca="false">IF(('Inputs &amp; Assumptions'!$D$112+29)&lt;='Inputs &amp; Assumptions'!$C$13,INDEX('Inputs &amp; Assumptions'!$D$70:$D$98,'Inputs &amp; Assumptions'!$D$112+29+1),0)</f>
        <v>0</v>
      </c>
      <c r="AH16" s="39" t="n">
        <f aca="false">IF(('Inputs &amp; Assumptions'!$D$112+30)&lt;='Inputs &amp; Assumptions'!$C$13,INDEX('Inputs &amp; Assumptions'!$D$70:$D$98,'Inputs &amp; Assumptions'!$D$112+30+1),0)</f>
        <v>0</v>
      </c>
      <c r="AI16" s="39" t="n">
        <f aca="false">IF(('Inputs &amp; Assumptions'!$D$112+31)&lt;='Inputs &amp; Assumptions'!$C$13,INDEX('Inputs &amp; Assumptions'!$D$70:$D$98,'Inputs &amp; Assumptions'!$D$112+31+1),0)</f>
        <v>0</v>
      </c>
      <c r="AJ16" s="39" t="n">
        <f aca="false">IF(('Inputs &amp; Assumptions'!$D$112+32)&lt;='Inputs &amp; Assumptions'!$C$13,INDEX('Inputs &amp; Assumptions'!$D$70:$D$98,'Inputs &amp; Assumptions'!$D$112+32+1),0)</f>
        <v>0</v>
      </c>
      <c r="AK16" s="39" t="n">
        <f aca="false">IF(('Inputs &amp; Assumptions'!$D$112+33)&lt;='Inputs &amp; Assumptions'!$C$13,INDEX('Inputs &amp; Assumptions'!$D$70:$D$98,'Inputs &amp; Assumptions'!$D$112+33+1),0)</f>
        <v>0</v>
      </c>
      <c r="AL16" s="39" t="n">
        <f aca="false">IF(('Inputs &amp; Assumptions'!$D$112+34)&lt;='Inputs &amp; Assumptions'!$C$13,INDEX('Inputs &amp; Assumptions'!$D$70:$D$98,'Inputs &amp; Assumptions'!$D$112+34+1),0)</f>
        <v>0</v>
      </c>
      <c r="AM16" s="39" t="n">
        <f aca="false">IF(('Inputs &amp; Assumptions'!$D$112+35)&lt;='Inputs &amp; Assumptions'!$C$13,INDEX('Inputs &amp; Assumptions'!$D$70:$D$98,'Inputs &amp; Assumptions'!$D$112+35+1),0)</f>
        <v>0</v>
      </c>
      <c r="AN16" s="39" t="n">
        <f aca="false">IF(('Inputs &amp; Assumptions'!$D$112+36)&lt;='Inputs &amp; Assumptions'!$C$13,INDEX('Inputs &amp; Assumptions'!$D$70:$D$98,'Inputs &amp; Assumptions'!$D$112+36+1),0)</f>
        <v>0</v>
      </c>
    </row>
    <row r="17" customFormat="false" ht="15" hidden="false" customHeight="false" outlineLevel="0" collapsed="false">
      <c r="B17" s="38" t="n">
        <f aca="false">'Inputs &amp; Assumptions'!$B$113</f>
        <v>12</v>
      </c>
      <c r="E17" s="39" t="n">
        <f aca="false">IF(('Inputs &amp; Assumptions'!$D$113+1)&lt;='Inputs &amp; Assumptions'!$C$13,INDEX('Inputs &amp; Assumptions'!$D$70:$D$98,'Inputs &amp; Assumptions'!$D$113+1+1),0)</f>
        <v>600000</v>
      </c>
      <c r="F17" s="39" t="n">
        <f aca="false">IF(('Inputs &amp; Assumptions'!$D$113+2)&lt;='Inputs &amp; Assumptions'!$C$13,INDEX('Inputs &amp; Assumptions'!$D$70:$D$98,'Inputs &amp; Assumptions'!$D$113+2+1),0)</f>
        <v>582000</v>
      </c>
      <c r="G17" s="39" t="n">
        <f aca="false">IF(('Inputs &amp; Assumptions'!$D$113+3)&lt;='Inputs &amp; Assumptions'!$C$13,INDEX('Inputs &amp; Assumptions'!$D$70:$D$98,'Inputs &amp; Assumptions'!$D$113+3+1),0)</f>
        <v>564540</v>
      </c>
      <c r="H17" s="39" t="n">
        <f aca="false">IF(('Inputs &amp; Assumptions'!$D$113+4)&lt;='Inputs &amp; Assumptions'!$C$13,INDEX('Inputs &amp; Assumptions'!$D$70:$D$98,'Inputs &amp; Assumptions'!$D$113+4+1),0)</f>
        <v>547603.8</v>
      </c>
      <c r="I17" s="39" t="n">
        <f aca="false">IF(('Inputs &amp; Assumptions'!$D$113+5)&lt;='Inputs &amp; Assumptions'!$C$13,INDEX('Inputs &amp; Assumptions'!$D$70:$D$98,'Inputs &amp; Assumptions'!$D$113+5+1),0)</f>
        <v>531175.686</v>
      </c>
      <c r="J17" s="39" t="n">
        <f aca="false">IF(('Inputs &amp; Assumptions'!$D$113+6)&lt;='Inputs &amp; Assumptions'!$C$13,INDEX('Inputs &amp; Assumptions'!$D$70:$D$98,'Inputs &amp; Assumptions'!$D$113+6+1),0)</f>
        <v>515240.41542</v>
      </c>
      <c r="K17" s="39" t="n">
        <f aca="false">IF(('Inputs &amp; Assumptions'!$D$113+7)&lt;='Inputs &amp; Assumptions'!$C$13,INDEX('Inputs &amp; Assumptions'!$D$70:$D$98,'Inputs &amp; Assumptions'!$D$113+7+1),0)</f>
        <v>499783.2029574</v>
      </c>
      <c r="L17" s="39" t="n">
        <f aca="false">IF(('Inputs &amp; Assumptions'!$D$113+8)&lt;='Inputs &amp; Assumptions'!$C$13,INDEX('Inputs &amp; Assumptions'!$D$70:$D$98,'Inputs &amp; Assumptions'!$D$113+8+1),0)</f>
        <v>484789.706868678</v>
      </c>
      <c r="M17" s="39" t="n">
        <f aca="false">IF(('Inputs &amp; Assumptions'!$D$113+9)&lt;='Inputs &amp; Assumptions'!$C$13,INDEX('Inputs &amp; Assumptions'!$D$70:$D$98,'Inputs &amp; Assumptions'!$D$113+9+1),0)</f>
        <v>470246.015662618</v>
      </c>
      <c r="N17" s="39" t="n">
        <f aca="false">IF(('Inputs &amp; Assumptions'!$D$113+10)&lt;='Inputs &amp; Assumptions'!$C$13,INDEX('Inputs &amp; Assumptions'!$D$70:$D$98,'Inputs &amp; Assumptions'!$D$113+10+1),0)</f>
        <v>456138.635192739</v>
      </c>
      <c r="O17" s="39" t="n">
        <f aca="false">IF(('Inputs &amp; Assumptions'!$D$113+11)&lt;='Inputs &amp; Assumptions'!$C$13,INDEX('Inputs &amp; Assumptions'!$D$70:$D$98,'Inputs &amp; Assumptions'!$D$113+11+1),0)</f>
        <v>442454.476136957</v>
      </c>
      <c r="P17" s="39" t="n">
        <f aca="false">IF(('Inputs &amp; Assumptions'!$D$113+12)&lt;='Inputs &amp; Assumptions'!$C$13,INDEX('Inputs &amp; Assumptions'!$D$70:$D$98,'Inputs &amp; Assumptions'!$D$113+12+1),0)</f>
        <v>429180.841852848</v>
      </c>
      <c r="Q17" s="39" t="n">
        <f aca="false">IF(('Inputs &amp; Assumptions'!$D$113+13)&lt;='Inputs &amp; Assumptions'!$C$13,INDEX('Inputs &amp; Assumptions'!$D$70:$D$98,'Inputs &amp; Assumptions'!$D$113+13+1),0)</f>
        <v>416305.416597263</v>
      </c>
      <c r="R17" s="39" t="n">
        <f aca="false">IF(('Inputs &amp; Assumptions'!$D$113+14)&lt;='Inputs &amp; Assumptions'!$C$13,INDEX('Inputs &amp; Assumptions'!$D$70:$D$98,'Inputs &amp; Assumptions'!$D$113+14+1),0)</f>
        <v>403816.254099345</v>
      </c>
      <c r="S17" s="39" t="n">
        <f aca="false">IF(('Inputs &amp; Assumptions'!$D$113+15)&lt;='Inputs &amp; Assumptions'!$C$13,INDEX('Inputs &amp; Assumptions'!$D$70:$D$98,'Inputs &amp; Assumptions'!$D$113+15+1),0)</f>
        <v>391701.766476365</v>
      </c>
      <c r="T17" s="39" t="n">
        <f aca="false">IF(('Inputs &amp; Assumptions'!$D$113+16)&lt;='Inputs &amp; Assumptions'!$C$13,INDEX('Inputs &amp; Assumptions'!$D$70:$D$98,'Inputs &amp; Assumptions'!$D$113+16+1),0)</f>
        <v>379950.713482074</v>
      </c>
      <c r="U17" s="39" t="n">
        <f aca="false">IF(('Inputs &amp; Assumptions'!$D$113+17)&lt;='Inputs &amp; Assumptions'!$C$13,INDEX('Inputs &amp; Assumptions'!$D$70:$D$98,'Inputs &amp; Assumptions'!$D$113+17+1),0)</f>
        <v>368552.192077611</v>
      </c>
      <c r="V17" s="39" t="n">
        <f aca="false">IF(('Inputs &amp; Assumptions'!$D$113+18)&lt;='Inputs &amp; Assumptions'!$C$13,INDEX('Inputs &amp; Assumptions'!$D$70:$D$98,'Inputs &amp; Assumptions'!$D$113+18+1),0)</f>
        <v>357495.626315283</v>
      </c>
      <c r="W17" s="39" t="n">
        <f aca="false">IF(('Inputs &amp; Assumptions'!$D$113+19)&lt;='Inputs &amp; Assumptions'!$C$13,INDEX('Inputs &amp; Assumptions'!$D$70:$D$98,'Inputs &amp; Assumptions'!$D$113+19+1),0)</f>
        <v>346770.757525825</v>
      </c>
      <c r="X17" s="39" t="n">
        <f aca="false">IF(('Inputs &amp; Assumptions'!$D$113+20)&lt;='Inputs &amp; Assumptions'!$C$13,INDEX('Inputs &amp; Assumptions'!$D$70:$D$98,'Inputs &amp; Assumptions'!$D$113+20+1),0)</f>
        <v>336367.63480005</v>
      </c>
      <c r="Y17" s="39" t="n">
        <f aca="false">IF(('Inputs &amp; Assumptions'!$D$113+21)&lt;='Inputs &amp; Assumptions'!$C$13,INDEX('Inputs &amp; Assumptions'!$D$70:$D$98,'Inputs &amp; Assumptions'!$D$113+21+1),0)</f>
        <v>326276.605756048</v>
      </c>
      <c r="Z17" s="39" t="n">
        <f aca="false">IF(('Inputs &amp; Assumptions'!$D$113+22)&lt;='Inputs &amp; Assumptions'!$C$13,INDEX('Inputs &amp; Assumptions'!$D$70:$D$98,'Inputs &amp; Assumptions'!$D$113+22+1),0)</f>
        <v>316488.307583367</v>
      </c>
      <c r="AA17" s="39" t="n">
        <f aca="false">IF(('Inputs &amp; Assumptions'!$D$113+23)&lt;='Inputs &amp; Assumptions'!$C$13,INDEX('Inputs &amp; Assumptions'!$D$70:$D$98,'Inputs &amp; Assumptions'!$D$113+23+1),0)</f>
        <v>306993.658355866</v>
      </c>
      <c r="AB17" s="39" t="n">
        <f aca="false">IF(('Inputs &amp; Assumptions'!$D$113+24)&lt;='Inputs &amp; Assumptions'!$C$13,INDEX('Inputs &amp; Assumptions'!$D$70:$D$98,'Inputs &amp; Assumptions'!$D$113+24+1),0)</f>
        <v>9926128.28683967</v>
      </c>
      <c r="AC17" s="39" t="n">
        <f aca="false">IF(('Inputs &amp; Assumptions'!$D$113+25)&lt;='Inputs &amp; Assumptions'!$C$13,INDEX('Inputs &amp; Assumptions'!$D$70:$D$98,'Inputs &amp; Assumptions'!$D$113+25+1),0)</f>
        <v>0</v>
      </c>
      <c r="AD17" s="39" t="n">
        <f aca="false">IF(('Inputs &amp; Assumptions'!$D$113+26)&lt;='Inputs &amp; Assumptions'!$C$13,INDEX('Inputs &amp; Assumptions'!$D$70:$D$98,'Inputs &amp; Assumptions'!$D$113+26+1),0)</f>
        <v>0</v>
      </c>
      <c r="AE17" s="39" t="n">
        <f aca="false">IF(('Inputs &amp; Assumptions'!$D$113+27)&lt;='Inputs &amp; Assumptions'!$C$13,INDEX('Inputs &amp; Assumptions'!$D$70:$D$98,'Inputs &amp; Assumptions'!$D$113+27+1),0)</f>
        <v>0</v>
      </c>
      <c r="AF17" s="39" t="n">
        <f aca="false">IF(('Inputs &amp; Assumptions'!$D$113+28)&lt;='Inputs &amp; Assumptions'!$C$13,INDEX('Inputs &amp; Assumptions'!$D$70:$D$98,'Inputs &amp; Assumptions'!$D$113+28+1),0)</f>
        <v>0</v>
      </c>
      <c r="AG17" s="39" t="n">
        <f aca="false">IF(('Inputs &amp; Assumptions'!$D$113+29)&lt;='Inputs &amp; Assumptions'!$C$13,INDEX('Inputs &amp; Assumptions'!$D$70:$D$98,'Inputs &amp; Assumptions'!$D$113+29+1),0)</f>
        <v>0</v>
      </c>
      <c r="AH17" s="39" t="n">
        <f aca="false">IF(('Inputs &amp; Assumptions'!$D$113+30)&lt;='Inputs &amp; Assumptions'!$C$13,INDEX('Inputs &amp; Assumptions'!$D$70:$D$98,'Inputs &amp; Assumptions'!$D$113+30+1),0)</f>
        <v>0</v>
      </c>
      <c r="AI17" s="39" t="n">
        <f aca="false">IF(('Inputs &amp; Assumptions'!$D$113+31)&lt;='Inputs &amp; Assumptions'!$C$13,INDEX('Inputs &amp; Assumptions'!$D$70:$D$98,'Inputs &amp; Assumptions'!$D$113+31+1),0)</f>
        <v>0</v>
      </c>
      <c r="AJ17" s="39" t="n">
        <f aca="false">IF(('Inputs &amp; Assumptions'!$D$113+32)&lt;='Inputs &amp; Assumptions'!$C$13,INDEX('Inputs &amp; Assumptions'!$D$70:$D$98,'Inputs &amp; Assumptions'!$D$113+32+1),0)</f>
        <v>0</v>
      </c>
      <c r="AK17" s="39" t="n">
        <f aca="false">IF(('Inputs &amp; Assumptions'!$D$113+33)&lt;='Inputs &amp; Assumptions'!$C$13,INDEX('Inputs &amp; Assumptions'!$D$70:$D$98,'Inputs &amp; Assumptions'!$D$113+33+1),0)</f>
        <v>0</v>
      </c>
      <c r="AL17" s="39" t="n">
        <f aca="false">IF(('Inputs &amp; Assumptions'!$D$113+34)&lt;='Inputs &amp; Assumptions'!$C$13,INDEX('Inputs &amp; Assumptions'!$D$70:$D$98,'Inputs &amp; Assumptions'!$D$113+34+1),0)</f>
        <v>0</v>
      </c>
      <c r="AM17" s="39" t="n">
        <f aca="false">IF(('Inputs &amp; Assumptions'!$D$113+35)&lt;='Inputs &amp; Assumptions'!$C$13,INDEX('Inputs &amp; Assumptions'!$D$70:$D$98,'Inputs &amp; Assumptions'!$D$113+35+1),0)</f>
        <v>0</v>
      </c>
      <c r="AN17" s="39" t="n">
        <f aca="false">IF(('Inputs &amp; Assumptions'!$D$113+36)&lt;='Inputs &amp; Assumptions'!$C$13,INDEX('Inputs &amp; Assumptions'!$D$70:$D$98,'Inputs &amp; Assumptions'!$D$113+36+1),0)</f>
        <v>0</v>
      </c>
    </row>
    <row r="18" customFormat="false" ht="15" hidden="false" customHeight="false" outlineLevel="0" collapsed="false">
      <c r="B18" s="38" t="n">
        <f aca="false">'Inputs &amp; Assumptions'!$B$114</f>
        <v>13</v>
      </c>
      <c r="E18" s="39" t="n">
        <f aca="false">IF(('Inputs &amp; Assumptions'!$D$114+1)&lt;='Inputs &amp; Assumptions'!$C$13,INDEX('Inputs &amp; Assumptions'!$D$70:$D$98,'Inputs &amp; Assumptions'!$D$114+1+1),0)</f>
        <v>600000</v>
      </c>
      <c r="F18" s="39" t="n">
        <f aca="false">IF(('Inputs &amp; Assumptions'!$D$114+2)&lt;='Inputs &amp; Assumptions'!$C$13,INDEX('Inputs &amp; Assumptions'!$D$70:$D$98,'Inputs &amp; Assumptions'!$D$114+2+1),0)</f>
        <v>582000</v>
      </c>
      <c r="G18" s="39" t="n">
        <f aca="false">IF(('Inputs &amp; Assumptions'!$D$114+3)&lt;='Inputs &amp; Assumptions'!$C$13,INDEX('Inputs &amp; Assumptions'!$D$70:$D$98,'Inputs &amp; Assumptions'!$D$114+3+1),0)</f>
        <v>564540</v>
      </c>
      <c r="H18" s="39" t="n">
        <f aca="false">IF(('Inputs &amp; Assumptions'!$D$114+4)&lt;='Inputs &amp; Assumptions'!$C$13,INDEX('Inputs &amp; Assumptions'!$D$70:$D$98,'Inputs &amp; Assumptions'!$D$114+4+1),0)</f>
        <v>547603.8</v>
      </c>
      <c r="I18" s="39" t="n">
        <f aca="false">IF(('Inputs &amp; Assumptions'!$D$114+5)&lt;='Inputs &amp; Assumptions'!$C$13,INDEX('Inputs &amp; Assumptions'!$D$70:$D$98,'Inputs &amp; Assumptions'!$D$114+5+1),0)</f>
        <v>531175.686</v>
      </c>
      <c r="J18" s="39" t="n">
        <f aca="false">IF(('Inputs &amp; Assumptions'!$D$114+6)&lt;='Inputs &amp; Assumptions'!$C$13,INDEX('Inputs &amp; Assumptions'!$D$70:$D$98,'Inputs &amp; Assumptions'!$D$114+6+1),0)</f>
        <v>515240.41542</v>
      </c>
      <c r="K18" s="39" t="n">
        <f aca="false">IF(('Inputs &amp; Assumptions'!$D$114+7)&lt;='Inputs &amp; Assumptions'!$C$13,INDEX('Inputs &amp; Assumptions'!$D$70:$D$98,'Inputs &amp; Assumptions'!$D$114+7+1),0)</f>
        <v>499783.2029574</v>
      </c>
      <c r="L18" s="39" t="n">
        <f aca="false">IF(('Inputs &amp; Assumptions'!$D$114+8)&lt;='Inputs &amp; Assumptions'!$C$13,INDEX('Inputs &amp; Assumptions'!$D$70:$D$98,'Inputs &amp; Assumptions'!$D$114+8+1),0)</f>
        <v>484789.706868678</v>
      </c>
      <c r="M18" s="39" t="n">
        <f aca="false">IF(('Inputs &amp; Assumptions'!$D$114+9)&lt;='Inputs &amp; Assumptions'!$C$13,INDEX('Inputs &amp; Assumptions'!$D$70:$D$98,'Inputs &amp; Assumptions'!$D$114+9+1),0)</f>
        <v>470246.015662618</v>
      </c>
      <c r="N18" s="39" t="n">
        <f aca="false">IF(('Inputs &amp; Assumptions'!$D$114+10)&lt;='Inputs &amp; Assumptions'!$C$13,INDEX('Inputs &amp; Assumptions'!$D$70:$D$98,'Inputs &amp; Assumptions'!$D$114+10+1),0)</f>
        <v>456138.635192739</v>
      </c>
      <c r="O18" s="39" t="n">
        <f aca="false">IF(('Inputs &amp; Assumptions'!$D$114+11)&lt;='Inputs &amp; Assumptions'!$C$13,INDEX('Inputs &amp; Assumptions'!$D$70:$D$98,'Inputs &amp; Assumptions'!$D$114+11+1),0)</f>
        <v>442454.476136957</v>
      </c>
      <c r="P18" s="39" t="n">
        <f aca="false">IF(('Inputs &amp; Assumptions'!$D$114+12)&lt;='Inputs &amp; Assumptions'!$C$13,INDEX('Inputs &amp; Assumptions'!$D$70:$D$98,'Inputs &amp; Assumptions'!$D$114+12+1),0)</f>
        <v>429180.841852848</v>
      </c>
      <c r="Q18" s="39" t="n">
        <f aca="false">IF(('Inputs &amp; Assumptions'!$D$114+13)&lt;='Inputs &amp; Assumptions'!$C$13,INDEX('Inputs &amp; Assumptions'!$D$70:$D$98,'Inputs &amp; Assumptions'!$D$114+13+1),0)</f>
        <v>416305.416597263</v>
      </c>
      <c r="R18" s="39" t="n">
        <f aca="false">IF(('Inputs &amp; Assumptions'!$D$114+14)&lt;='Inputs &amp; Assumptions'!$C$13,INDEX('Inputs &amp; Assumptions'!$D$70:$D$98,'Inputs &amp; Assumptions'!$D$114+14+1),0)</f>
        <v>403816.254099345</v>
      </c>
      <c r="S18" s="39" t="n">
        <f aca="false">IF(('Inputs &amp; Assumptions'!$D$114+15)&lt;='Inputs &amp; Assumptions'!$C$13,INDEX('Inputs &amp; Assumptions'!$D$70:$D$98,'Inputs &amp; Assumptions'!$D$114+15+1),0)</f>
        <v>391701.766476365</v>
      </c>
      <c r="T18" s="39" t="n">
        <f aca="false">IF(('Inputs &amp; Assumptions'!$D$114+16)&lt;='Inputs &amp; Assumptions'!$C$13,INDEX('Inputs &amp; Assumptions'!$D$70:$D$98,'Inputs &amp; Assumptions'!$D$114+16+1),0)</f>
        <v>379950.713482074</v>
      </c>
      <c r="U18" s="39" t="n">
        <f aca="false">IF(('Inputs &amp; Assumptions'!$D$114+17)&lt;='Inputs &amp; Assumptions'!$C$13,INDEX('Inputs &amp; Assumptions'!$D$70:$D$98,'Inputs &amp; Assumptions'!$D$114+17+1),0)</f>
        <v>368552.192077611</v>
      </c>
      <c r="V18" s="39" t="n">
        <f aca="false">IF(('Inputs &amp; Assumptions'!$D$114+18)&lt;='Inputs &amp; Assumptions'!$C$13,INDEX('Inputs &amp; Assumptions'!$D$70:$D$98,'Inputs &amp; Assumptions'!$D$114+18+1),0)</f>
        <v>357495.626315283</v>
      </c>
      <c r="W18" s="39" t="n">
        <f aca="false">IF(('Inputs &amp; Assumptions'!$D$114+19)&lt;='Inputs &amp; Assumptions'!$C$13,INDEX('Inputs &amp; Assumptions'!$D$70:$D$98,'Inputs &amp; Assumptions'!$D$114+19+1),0)</f>
        <v>346770.757525825</v>
      </c>
      <c r="X18" s="39" t="n">
        <f aca="false">IF(('Inputs &amp; Assumptions'!$D$114+20)&lt;='Inputs &amp; Assumptions'!$C$13,INDEX('Inputs &amp; Assumptions'!$D$70:$D$98,'Inputs &amp; Assumptions'!$D$114+20+1),0)</f>
        <v>336367.63480005</v>
      </c>
      <c r="Y18" s="39" t="n">
        <f aca="false">IF(('Inputs &amp; Assumptions'!$D$114+21)&lt;='Inputs &amp; Assumptions'!$C$13,INDEX('Inputs &amp; Assumptions'!$D$70:$D$98,'Inputs &amp; Assumptions'!$D$114+21+1),0)</f>
        <v>326276.605756048</v>
      </c>
      <c r="Z18" s="39" t="n">
        <f aca="false">IF(('Inputs &amp; Assumptions'!$D$114+22)&lt;='Inputs &amp; Assumptions'!$C$13,INDEX('Inputs &amp; Assumptions'!$D$70:$D$98,'Inputs &amp; Assumptions'!$D$114+22+1),0)</f>
        <v>316488.307583367</v>
      </c>
      <c r="AA18" s="39" t="n">
        <f aca="false">IF(('Inputs &amp; Assumptions'!$D$114+23)&lt;='Inputs &amp; Assumptions'!$C$13,INDEX('Inputs &amp; Assumptions'!$D$70:$D$98,'Inputs &amp; Assumptions'!$D$114+23+1),0)</f>
        <v>306993.658355866</v>
      </c>
      <c r="AB18" s="39" t="n">
        <f aca="false">IF(('Inputs &amp; Assumptions'!$D$114+24)&lt;='Inputs &amp; Assumptions'!$C$13,INDEX('Inputs &amp; Assumptions'!$D$70:$D$98,'Inputs &amp; Assumptions'!$D$114+24+1),0)</f>
        <v>9926128.28683967</v>
      </c>
      <c r="AC18" s="39" t="n">
        <f aca="false">IF(('Inputs &amp; Assumptions'!$D$114+25)&lt;='Inputs &amp; Assumptions'!$C$13,INDEX('Inputs &amp; Assumptions'!$D$70:$D$98,'Inputs &amp; Assumptions'!$D$114+25+1),0)</f>
        <v>0</v>
      </c>
      <c r="AD18" s="39" t="n">
        <f aca="false">IF(('Inputs &amp; Assumptions'!$D$114+26)&lt;='Inputs &amp; Assumptions'!$C$13,INDEX('Inputs &amp; Assumptions'!$D$70:$D$98,'Inputs &amp; Assumptions'!$D$114+26+1),0)</f>
        <v>0</v>
      </c>
      <c r="AE18" s="39" t="n">
        <f aca="false">IF(('Inputs &amp; Assumptions'!$D$114+27)&lt;='Inputs &amp; Assumptions'!$C$13,INDEX('Inputs &amp; Assumptions'!$D$70:$D$98,'Inputs &amp; Assumptions'!$D$114+27+1),0)</f>
        <v>0</v>
      </c>
      <c r="AF18" s="39" t="n">
        <f aca="false">IF(('Inputs &amp; Assumptions'!$D$114+28)&lt;='Inputs &amp; Assumptions'!$C$13,INDEX('Inputs &amp; Assumptions'!$D$70:$D$98,'Inputs &amp; Assumptions'!$D$114+28+1),0)</f>
        <v>0</v>
      </c>
      <c r="AG18" s="39" t="n">
        <f aca="false">IF(('Inputs &amp; Assumptions'!$D$114+29)&lt;='Inputs &amp; Assumptions'!$C$13,INDEX('Inputs &amp; Assumptions'!$D$70:$D$98,'Inputs &amp; Assumptions'!$D$114+29+1),0)</f>
        <v>0</v>
      </c>
      <c r="AH18" s="39" t="n">
        <f aca="false">IF(('Inputs &amp; Assumptions'!$D$114+30)&lt;='Inputs &amp; Assumptions'!$C$13,INDEX('Inputs &amp; Assumptions'!$D$70:$D$98,'Inputs &amp; Assumptions'!$D$114+30+1),0)</f>
        <v>0</v>
      </c>
      <c r="AI18" s="39" t="n">
        <f aca="false">IF(('Inputs &amp; Assumptions'!$D$114+31)&lt;='Inputs &amp; Assumptions'!$C$13,INDEX('Inputs &amp; Assumptions'!$D$70:$D$98,'Inputs &amp; Assumptions'!$D$114+31+1),0)</f>
        <v>0</v>
      </c>
      <c r="AJ18" s="39" t="n">
        <f aca="false">IF(('Inputs &amp; Assumptions'!$D$114+32)&lt;='Inputs &amp; Assumptions'!$C$13,INDEX('Inputs &amp; Assumptions'!$D$70:$D$98,'Inputs &amp; Assumptions'!$D$114+32+1),0)</f>
        <v>0</v>
      </c>
      <c r="AK18" s="39" t="n">
        <f aca="false">IF(('Inputs &amp; Assumptions'!$D$114+33)&lt;='Inputs &amp; Assumptions'!$C$13,INDEX('Inputs &amp; Assumptions'!$D$70:$D$98,'Inputs &amp; Assumptions'!$D$114+33+1),0)</f>
        <v>0</v>
      </c>
      <c r="AL18" s="39" t="n">
        <f aca="false">IF(('Inputs &amp; Assumptions'!$D$114+34)&lt;='Inputs &amp; Assumptions'!$C$13,INDEX('Inputs &amp; Assumptions'!$D$70:$D$98,'Inputs &amp; Assumptions'!$D$114+34+1),0)</f>
        <v>0</v>
      </c>
      <c r="AM18" s="39" t="n">
        <f aca="false">IF(('Inputs &amp; Assumptions'!$D$114+35)&lt;='Inputs &amp; Assumptions'!$C$13,INDEX('Inputs &amp; Assumptions'!$D$70:$D$98,'Inputs &amp; Assumptions'!$D$114+35+1),0)</f>
        <v>0</v>
      </c>
      <c r="AN18" s="39" t="n">
        <f aca="false">IF(('Inputs &amp; Assumptions'!$D$114+36)&lt;='Inputs &amp; Assumptions'!$C$13,INDEX('Inputs &amp; Assumptions'!$D$70:$D$98,'Inputs &amp; Assumptions'!$D$114+36+1),0)</f>
        <v>0</v>
      </c>
    </row>
    <row r="19" customFormat="false" ht="15" hidden="false" customHeight="false" outlineLevel="0" collapsed="false">
      <c r="B19" s="38" t="n">
        <f aca="false">'Inputs &amp; Assumptions'!$B$115</f>
        <v>14</v>
      </c>
      <c r="E19" s="39" t="n">
        <f aca="false">IF(('Inputs &amp; Assumptions'!$D$115+1)&lt;='Inputs &amp; Assumptions'!$C$13,INDEX('Inputs &amp; Assumptions'!$D$70:$D$98,'Inputs &amp; Assumptions'!$D$115+1+1),0)</f>
        <v>582000</v>
      </c>
      <c r="F19" s="39" t="n">
        <f aca="false">IF(('Inputs &amp; Assumptions'!$D$115+2)&lt;='Inputs &amp; Assumptions'!$C$13,INDEX('Inputs &amp; Assumptions'!$D$70:$D$98,'Inputs &amp; Assumptions'!$D$115+2+1),0)</f>
        <v>564540</v>
      </c>
      <c r="G19" s="39" t="n">
        <f aca="false">IF(('Inputs &amp; Assumptions'!$D$115+3)&lt;='Inputs &amp; Assumptions'!$C$13,INDEX('Inputs &amp; Assumptions'!$D$70:$D$98,'Inputs &amp; Assumptions'!$D$115+3+1),0)</f>
        <v>547603.8</v>
      </c>
      <c r="H19" s="39" t="n">
        <f aca="false">IF(('Inputs &amp; Assumptions'!$D$115+4)&lt;='Inputs &amp; Assumptions'!$C$13,INDEX('Inputs &amp; Assumptions'!$D$70:$D$98,'Inputs &amp; Assumptions'!$D$115+4+1),0)</f>
        <v>531175.686</v>
      </c>
      <c r="I19" s="39" t="n">
        <f aca="false">IF(('Inputs &amp; Assumptions'!$D$115+5)&lt;='Inputs &amp; Assumptions'!$C$13,INDEX('Inputs &amp; Assumptions'!$D$70:$D$98,'Inputs &amp; Assumptions'!$D$115+5+1),0)</f>
        <v>515240.41542</v>
      </c>
      <c r="J19" s="39" t="n">
        <f aca="false">IF(('Inputs &amp; Assumptions'!$D$115+6)&lt;='Inputs &amp; Assumptions'!$C$13,INDEX('Inputs &amp; Assumptions'!$D$70:$D$98,'Inputs &amp; Assumptions'!$D$115+6+1),0)</f>
        <v>499783.2029574</v>
      </c>
      <c r="K19" s="39" t="n">
        <f aca="false">IF(('Inputs &amp; Assumptions'!$D$115+7)&lt;='Inputs &amp; Assumptions'!$C$13,INDEX('Inputs &amp; Assumptions'!$D$70:$D$98,'Inputs &amp; Assumptions'!$D$115+7+1),0)</f>
        <v>484789.706868678</v>
      </c>
      <c r="L19" s="39" t="n">
        <f aca="false">IF(('Inputs &amp; Assumptions'!$D$115+8)&lt;='Inputs &amp; Assumptions'!$C$13,INDEX('Inputs &amp; Assumptions'!$D$70:$D$98,'Inputs &amp; Assumptions'!$D$115+8+1),0)</f>
        <v>470246.015662618</v>
      </c>
      <c r="M19" s="39" t="n">
        <f aca="false">IF(('Inputs &amp; Assumptions'!$D$115+9)&lt;='Inputs &amp; Assumptions'!$C$13,INDEX('Inputs &amp; Assumptions'!$D$70:$D$98,'Inputs &amp; Assumptions'!$D$115+9+1),0)</f>
        <v>456138.635192739</v>
      </c>
      <c r="N19" s="39" t="n">
        <f aca="false">IF(('Inputs &amp; Assumptions'!$D$115+10)&lt;='Inputs &amp; Assumptions'!$C$13,INDEX('Inputs &amp; Assumptions'!$D$70:$D$98,'Inputs &amp; Assumptions'!$D$115+10+1),0)</f>
        <v>442454.476136957</v>
      </c>
      <c r="O19" s="39" t="n">
        <f aca="false">IF(('Inputs &amp; Assumptions'!$D$115+11)&lt;='Inputs &amp; Assumptions'!$C$13,INDEX('Inputs &amp; Assumptions'!$D$70:$D$98,'Inputs &amp; Assumptions'!$D$115+11+1),0)</f>
        <v>429180.841852848</v>
      </c>
      <c r="P19" s="39" t="n">
        <f aca="false">IF(('Inputs &amp; Assumptions'!$D$115+12)&lt;='Inputs &amp; Assumptions'!$C$13,INDEX('Inputs &amp; Assumptions'!$D$70:$D$98,'Inputs &amp; Assumptions'!$D$115+12+1),0)</f>
        <v>416305.416597263</v>
      </c>
      <c r="Q19" s="39" t="n">
        <f aca="false">IF(('Inputs &amp; Assumptions'!$D$115+13)&lt;='Inputs &amp; Assumptions'!$C$13,INDEX('Inputs &amp; Assumptions'!$D$70:$D$98,'Inputs &amp; Assumptions'!$D$115+13+1),0)</f>
        <v>403816.254099345</v>
      </c>
      <c r="R19" s="39" t="n">
        <f aca="false">IF(('Inputs &amp; Assumptions'!$D$115+14)&lt;='Inputs &amp; Assumptions'!$C$13,INDEX('Inputs &amp; Assumptions'!$D$70:$D$98,'Inputs &amp; Assumptions'!$D$115+14+1),0)</f>
        <v>391701.766476365</v>
      </c>
      <c r="S19" s="39" t="n">
        <f aca="false">IF(('Inputs &amp; Assumptions'!$D$115+15)&lt;='Inputs &amp; Assumptions'!$C$13,INDEX('Inputs &amp; Assumptions'!$D$70:$D$98,'Inputs &amp; Assumptions'!$D$115+15+1),0)</f>
        <v>379950.713482074</v>
      </c>
      <c r="T19" s="39" t="n">
        <f aca="false">IF(('Inputs &amp; Assumptions'!$D$115+16)&lt;='Inputs &amp; Assumptions'!$C$13,INDEX('Inputs &amp; Assumptions'!$D$70:$D$98,'Inputs &amp; Assumptions'!$D$115+16+1),0)</f>
        <v>368552.192077611</v>
      </c>
      <c r="U19" s="39" t="n">
        <f aca="false">IF(('Inputs &amp; Assumptions'!$D$115+17)&lt;='Inputs &amp; Assumptions'!$C$13,INDEX('Inputs &amp; Assumptions'!$D$70:$D$98,'Inputs &amp; Assumptions'!$D$115+17+1),0)</f>
        <v>357495.626315283</v>
      </c>
      <c r="V19" s="39" t="n">
        <f aca="false">IF(('Inputs &amp; Assumptions'!$D$115+18)&lt;='Inputs &amp; Assumptions'!$C$13,INDEX('Inputs &amp; Assumptions'!$D$70:$D$98,'Inputs &amp; Assumptions'!$D$115+18+1),0)</f>
        <v>346770.757525825</v>
      </c>
      <c r="W19" s="39" t="n">
        <f aca="false">IF(('Inputs &amp; Assumptions'!$D$115+19)&lt;='Inputs &amp; Assumptions'!$C$13,INDEX('Inputs &amp; Assumptions'!$D$70:$D$98,'Inputs &amp; Assumptions'!$D$115+19+1),0)</f>
        <v>336367.63480005</v>
      </c>
      <c r="X19" s="39" t="n">
        <f aca="false">IF(('Inputs &amp; Assumptions'!$D$115+20)&lt;='Inputs &amp; Assumptions'!$C$13,INDEX('Inputs &amp; Assumptions'!$D$70:$D$98,'Inputs &amp; Assumptions'!$D$115+20+1),0)</f>
        <v>326276.605756048</v>
      </c>
      <c r="Y19" s="39" t="n">
        <f aca="false">IF(('Inputs &amp; Assumptions'!$D$115+21)&lt;='Inputs &amp; Assumptions'!$C$13,INDEX('Inputs &amp; Assumptions'!$D$70:$D$98,'Inputs &amp; Assumptions'!$D$115+21+1),0)</f>
        <v>316488.307583367</v>
      </c>
      <c r="Z19" s="39" t="n">
        <f aca="false">IF(('Inputs &amp; Assumptions'!$D$115+22)&lt;='Inputs &amp; Assumptions'!$C$13,INDEX('Inputs &amp; Assumptions'!$D$70:$D$98,'Inputs &amp; Assumptions'!$D$115+22+1),0)</f>
        <v>306993.658355866</v>
      </c>
      <c r="AA19" s="39" t="n">
        <f aca="false">IF(('Inputs &amp; Assumptions'!$D$115+23)&lt;='Inputs &amp; Assumptions'!$C$13,INDEX('Inputs &amp; Assumptions'!$D$70:$D$98,'Inputs &amp; Assumptions'!$D$115+23+1),0)</f>
        <v>9926128.28683967</v>
      </c>
      <c r="AB19" s="39" t="n">
        <f aca="false">IF(('Inputs &amp; Assumptions'!$D$115+24)&lt;='Inputs &amp; Assumptions'!$C$13,INDEX('Inputs &amp; Assumptions'!$D$70:$D$98,'Inputs &amp; Assumptions'!$D$115+24+1),0)</f>
        <v>0</v>
      </c>
      <c r="AC19" s="39" t="n">
        <f aca="false">IF(('Inputs &amp; Assumptions'!$D$115+25)&lt;='Inputs &amp; Assumptions'!$C$13,INDEX('Inputs &amp; Assumptions'!$D$70:$D$98,'Inputs &amp; Assumptions'!$D$115+25+1),0)</f>
        <v>0</v>
      </c>
      <c r="AD19" s="39" t="n">
        <f aca="false">IF(('Inputs &amp; Assumptions'!$D$115+26)&lt;='Inputs &amp; Assumptions'!$C$13,INDEX('Inputs &amp; Assumptions'!$D$70:$D$98,'Inputs &amp; Assumptions'!$D$115+26+1),0)</f>
        <v>0</v>
      </c>
      <c r="AE19" s="39" t="n">
        <f aca="false">IF(('Inputs &amp; Assumptions'!$D$115+27)&lt;='Inputs &amp; Assumptions'!$C$13,INDEX('Inputs &amp; Assumptions'!$D$70:$D$98,'Inputs &amp; Assumptions'!$D$115+27+1),0)</f>
        <v>0</v>
      </c>
      <c r="AF19" s="39" t="n">
        <f aca="false">IF(('Inputs &amp; Assumptions'!$D$115+28)&lt;='Inputs &amp; Assumptions'!$C$13,INDEX('Inputs &amp; Assumptions'!$D$70:$D$98,'Inputs &amp; Assumptions'!$D$115+28+1),0)</f>
        <v>0</v>
      </c>
      <c r="AG19" s="39" t="n">
        <f aca="false">IF(('Inputs &amp; Assumptions'!$D$115+29)&lt;='Inputs &amp; Assumptions'!$C$13,INDEX('Inputs &amp; Assumptions'!$D$70:$D$98,'Inputs &amp; Assumptions'!$D$115+29+1),0)</f>
        <v>0</v>
      </c>
      <c r="AH19" s="39" t="n">
        <f aca="false">IF(('Inputs &amp; Assumptions'!$D$115+30)&lt;='Inputs &amp; Assumptions'!$C$13,INDEX('Inputs &amp; Assumptions'!$D$70:$D$98,'Inputs &amp; Assumptions'!$D$115+30+1),0)</f>
        <v>0</v>
      </c>
      <c r="AI19" s="39" t="n">
        <f aca="false">IF(('Inputs &amp; Assumptions'!$D$115+31)&lt;='Inputs &amp; Assumptions'!$C$13,INDEX('Inputs &amp; Assumptions'!$D$70:$D$98,'Inputs &amp; Assumptions'!$D$115+31+1),0)</f>
        <v>0</v>
      </c>
      <c r="AJ19" s="39" t="n">
        <f aca="false">IF(('Inputs &amp; Assumptions'!$D$115+32)&lt;='Inputs &amp; Assumptions'!$C$13,INDEX('Inputs &amp; Assumptions'!$D$70:$D$98,'Inputs &amp; Assumptions'!$D$115+32+1),0)</f>
        <v>0</v>
      </c>
      <c r="AK19" s="39" t="n">
        <f aca="false">IF(('Inputs &amp; Assumptions'!$D$115+33)&lt;='Inputs &amp; Assumptions'!$C$13,INDEX('Inputs &amp; Assumptions'!$D$70:$D$98,'Inputs &amp; Assumptions'!$D$115+33+1),0)</f>
        <v>0</v>
      </c>
      <c r="AL19" s="39" t="n">
        <f aca="false">IF(('Inputs &amp; Assumptions'!$D$115+34)&lt;='Inputs &amp; Assumptions'!$C$13,INDEX('Inputs &amp; Assumptions'!$D$70:$D$98,'Inputs &amp; Assumptions'!$D$115+34+1),0)</f>
        <v>0</v>
      </c>
      <c r="AM19" s="39" t="n">
        <f aca="false">IF(('Inputs &amp; Assumptions'!$D$115+35)&lt;='Inputs &amp; Assumptions'!$C$13,INDEX('Inputs &amp; Assumptions'!$D$70:$D$98,'Inputs &amp; Assumptions'!$D$115+35+1),0)</f>
        <v>0</v>
      </c>
      <c r="AN19" s="39" t="n">
        <f aca="false">IF(('Inputs &amp; Assumptions'!$D$115+36)&lt;='Inputs &amp; Assumptions'!$C$13,INDEX('Inputs &amp; Assumptions'!$D$70:$D$98,'Inputs &amp; Assumptions'!$D$115+36+1),0)</f>
        <v>0</v>
      </c>
    </row>
    <row r="20" customFormat="false" ht="15" hidden="false" customHeight="false" outlineLevel="0" collapsed="false">
      <c r="B20" s="38" t="n">
        <f aca="false">'Inputs &amp; Assumptions'!$B$116</f>
        <v>15</v>
      </c>
      <c r="E20" s="39" t="n">
        <f aca="false">IF(('Inputs &amp; Assumptions'!$D$116+1)&lt;='Inputs &amp; Assumptions'!$C$13,INDEX('Inputs &amp; Assumptions'!$D$70:$D$98,'Inputs &amp; Assumptions'!$D$116+1+1),0)</f>
        <v>582000</v>
      </c>
      <c r="F20" s="39" t="n">
        <f aca="false">IF(('Inputs &amp; Assumptions'!$D$116+2)&lt;='Inputs &amp; Assumptions'!$C$13,INDEX('Inputs &amp; Assumptions'!$D$70:$D$98,'Inputs &amp; Assumptions'!$D$116+2+1),0)</f>
        <v>564540</v>
      </c>
      <c r="G20" s="39" t="n">
        <f aca="false">IF(('Inputs &amp; Assumptions'!$D$116+3)&lt;='Inputs &amp; Assumptions'!$C$13,INDEX('Inputs &amp; Assumptions'!$D$70:$D$98,'Inputs &amp; Assumptions'!$D$116+3+1),0)</f>
        <v>547603.8</v>
      </c>
      <c r="H20" s="39" t="n">
        <f aca="false">IF(('Inputs &amp; Assumptions'!$D$116+4)&lt;='Inputs &amp; Assumptions'!$C$13,INDEX('Inputs &amp; Assumptions'!$D$70:$D$98,'Inputs &amp; Assumptions'!$D$116+4+1),0)</f>
        <v>531175.686</v>
      </c>
      <c r="I20" s="39" t="n">
        <f aca="false">IF(('Inputs &amp; Assumptions'!$D$116+5)&lt;='Inputs &amp; Assumptions'!$C$13,INDEX('Inputs &amp; Assumptions'!$D$70:$D$98,'Inputs &amp; Assumptions'!$D$116+5+1),0)</f>
        <v>515240.41542</v>
      </c>
      <c r="J20" s="39" t="n">
        <f aca="false">IF(('Inputs &amp; Assumptions'!$D$116+6)&lt;='Inputs &amp; Assumptions'!$C$13,INDEX('Inputs &amp; Assumptions'!$D$70:$D$98,'Inputs &amp; Assumptions'!$D$116+6+1),0)</f>
        <v>499783.2029574</v>
      </c>
      <c r="K20" s="39" t="n">
        <f aca="false">IF(('Inputs &amp; Assumptions'!$D$116+7)&lt;='Inputs &amp; Assumptions'!$C$13,INDEX('Inputs &amp; Assumptions'!$D$70:$D$98,'Inputs &amp; Assumptions'!$D$116+7+1),0)</f>
        <v>484789.706868678</v>
      </c>
      <c r="L20" s="39" t="n">
        <f aca="false">IF(('Inputs &amp; Assumptions'!$D$116+8)&lt;='Inputs &amp; Assumptions'!$C$13,INDEX('Inputs &amp; Assumptions'!$D$70:$D$98,'Inputs &amp; Assumptions'!$D$116+8+1),0)</f>
        <v>470246.015662618</v>
      </c>
      <c r="M20" s="39" t="n">
        <f aca="false">IF(('Inputs &amp; Assumptions'!$D$116+9)&lt;='Inputs &amp; Assumptions'!$C$13,INDEX('Inputs &amp; Assumptions'!$D$70:$D$98,'Inputs &amp; Assumptions'!$D$116+9+1),0)</f>
        <v>456138.635192739</v>
      </c>
      <c r="N20" s="39" t="n">
        <f aca="false">IF(('Inputs &amp; Assumptions'!$D$116+10)&lt;='Inputs &amp; Assumptions'!$C$13,INDEX('Inputs &amp; Assumptions'!$D$70:$D$98,'Inputs &amp; Assumptions'!$D$116+10+1),0)</f>
        <v>442454.476136957</v>
      </c>
      <c r="O20" s="39" t="n">
        <f aca="false">IF(('Inputs &amp; Assumptions'!$D$116+11)&lt;='Inputs &amp; Assumptions'!$C$13,INDEX('Inputs &amp; Assumptions'!$D$70:$D$98,'Inputs &amp; Assumptions'!$D$116+11+1),0)</f>
        <v>429180.841852848</v>
      </c>
      <c r="P20" s="39" t="n">
        <f aca="false">IF(('Inputs &amp; Assumptions'!$D$116+12)&lt;='Inputs &amp; Assumptions'!$C$13,INDEX('Inputs &amp; Assumptions'!$D$70:$D$98,'Inputs &amp; Assumptions'!$D$116+12+1),0)</f>
        <v>416305.416597263</v>
      </c>
      <c r="Q20" s="39" t="n">
        <f aca="false">IF(('Inputs &amp; Assumptions'!$D$116+13)&lt;='Inputs &amp; Assumptions'!$C$13,INDEX('Inputs &amp; Assumptions'!$D$70:$D$98,'Inputs &amp; Assumptions'!$D$116+13+1),0)</f>
        <v>403816.254099345</v>
      </c>
      <c r="R20" s="39" t="n">
        <f aca="false">IF(('Inputs &amp; Assumptions'!$D$116+14)&lt;='Inputs &amp; Assumptions'!$C$13,INDEX('Inputs &amp; Assumptions'!$D$70:$D$98,'Inputs &amp; Assumptions'!$D$116+14+1),0)</f>
        <v>391701.766476365</v>
      </c>
      <c r="S20" s="39" t="n">
        <f aca="false">IF(('Inputs &amp; Assumptions'!$D$116+15)&lt;='Inputs &amp; Assumptions'!$C$13,INDEX('Inputs &amp; Assumptions'!$D$70:$D$98,'Inputs &amp; Assumptions'!$D$116+15+1),0)</f>
        <v>379950.713482074</v>
      </c>
      <c r="T20" s="39" t="n">
        <f aca="false">IF(('Inputs &amp; Assumptions'!$D$116+16)&lt;='Inputs &amp; Assumptions'!$C$13,INDEX('Inputs &amp; Assumptions'!$D$70:$D$98,'Inputs &amp; Assumptions'!$D$116+16+1),0)</f>
        <v>368552.192077611</v>
      </c>
      <c r="U20" s="39" t="n">
        <f aca="false">IF(('Inputs &amp; Assumptions'!$D$116+17)&lt;='Inputs &amp; Assumptions'!$C$13,INDEX('Inputs &amp; Assumptions'!$D$70:$D$98,'Inputs &amp; Assumptions'!$D$116+17+1),0)</f>
        <v>357495.626315283</v>
      </c>
      <c r="V20" s="39" t="n">
        <f aca="false">IF(('Inputs &amp; Assumptions'!$D$116+18)&lt;='Inputs &amp; Assumptions'!$C$13,INDEX('Inputs &amp; Assumptions'!$D$70:$D$98,'Inputs &amp; Assumptions'!$D$116+18+1),0)</f>
        <v>346770.757525825</v>
      </c>
      <c r="W20" s="39" t="n">
        <f aca="false">IF(('Inputs &amp; Assumptions'!$D$116+19)&lt;='Inputs &amp; Assumptions'!$C$13,INDEX('Inputs &amp; Assumptions'!$D$70:$D$98,'Inputs &amp; Assumptions'!$D$116+19+1),0)</f>
        <v>336367.63480005</v>
      </c>
      <c r="X20" s="39" t="n">
        <f aca="false">IF(('Inputs &amp; Assumptions'!$D$116+20)&lt;='Inputs &amp; Assumptions'!$C$13,INDEX('Inputs &amp; Assumptions'!$D$70:$D$98,'Inputs &amp; Assumptions'!$D$116+20+1),0)</f>
        <v>326276.605756048</v>
      </c>
      <c r="Y20" s="39" t="n">
        <f aca="false">IF(('Inputs &amp; Assumptions'!$D$116+21)&lt;='Inputs &amp; Assumptions'!$C$13,INDEX('Inputs &amp; Assumptions'!$D$70:$D$98,'Inputs &amp; Assumptions'!$D$116+21+1),0)</f>
        <v>316488.307583367</v>
      </c>
      <c r="Z20" s="39" t="n">
        <f aca="false">IF(('Inputs &amp; Assumptions'!$D$116+22)&lt;='Inputs &amp; Assumptions'!$C$13,INDEX('Inputs &amp; Assumptions'!$D$70:$D$98,'Inputs &amp; Assumptions'!$D$116+22+1),0)</f>
        <v>306993.658355866</v>
      </c>
      <c r="AA20" s="39" t="n">
        <f aca="false">IF(('Inputs &amp; Assumptions'!$D$116+23)&lt;='Inputs &amp; Assumptions'!$C$13,INDEX('Inputs &amp; Assumptions'!$D$70:$D$98,'Inputs &amp; Assumptions'!$D$116+23+1),0)</f>
        <v>9926128.28683967</v>
      </c>
      <c r="AB20" s="39" t="n">
        <f aca="false">IF(('Inputs &amp; Assumptions'!$D$116+24)&lt;='Inputs &amp; Assumptions'!$C$13,INDEX('Inputs &amp; Assumptions'!$D$70:$D$98,'Inputs &amp; Assumptions'!$D$116+24+1),0)</f>
        <v>0</v>
      </c>
      <c r="AC20" s="39" t="n">
        <f aca="false">IF(('Inputs &amp; Assumptions'!$D$116+25)&lt;='Inputs &amp; Assumptions'!$C$13,INDEX('Inputs &amp; Assumptions'!$D$70:$D$98,'Inputs &amp; Assumptions'!$D$116+25+1),0)</f>
        <v>0</v>
      </c>
      <c r="AD20" s="39" t="n">
        <f aca="false">IF(('Inputs &amp; Assumptions'!$D$116+26)&lt;='Inputs &amp; Assumptions'!$C$13,INDEX('Inputs &amp; Assumptions'!$D$70:$D$98,'Inputs &amp; Assumptions'!$D$116+26+1),0)</f>
        <v>0</v>
      </c>
      <c r="AE20" s="39" t="n">
        <f aca="false">IF(('Inputs &amp; Assumptions'!$D$116+27)&lt;='Inputs &amp; Assumptions'!$C$13,INDEX('Inputs &amp; Assumptions'!$D$70:$D$98,'Inputs &amp; Assumptions'!$D$116+27+1),0)</f>
        <v>0</v>
      </c>
      <c r="AF20" s="39" t="n">
        <f aca="false">IF(('Inputs &amp; Assumptions'!$D$116+28)&lt;='Inputs &amp; Assumptions'!$C$13,INDEX('Inputs &amp; Assumptions'!$D$70:$D$98,'Inputs &amp; Assumptions'!$D$116+28+1),0)</f>
        <v>0</v>
      </c>
      <c r="AG20" s="39" t="n">
        <f aca="false">IF(('Inputs &amp; Assumptions'!$D$116+29)&lt;='Inputs &amp; Assumptions'!$C$13,INDEX('Inputs &amp; Assumptions'!$D$70:$D$98,'Inputs &amp; Assumptions'!$D$116+29+1),0)</f>
        <v>0</v>
      </c>
      <c r="AH20" s="39" t="n">
        <f aca="false">IF(('Inputs &amp; Assumptions'!$D$116+30)&lt;='Inputs &amp; Assumptions'!$C$13,INDEX('Inputs &amp; Assumptions'!$D$70:$D$98,'Inputs &amp; Assumptions'!$D$116+30+1),0)</f>
        <v>0</v>
      </c>
      <c r="AI20" s="39" t="n">
        <f aca="false">IF(('Inputs &amp; Assumptions'!$D$116+31)&lt;='Inputs &amp; Assumptions'!$C$13,INDEX('Inputs &amp; Assumptions'!$D$70:$D$98,'Inputs &amp; Assumptions'!$D$116+31+1),0)</f>
        <v>0</v>
      </c>
      <c r="AJ20" s="39" t="n">
        <f aca="false">IF(('Inputs &amp; Assumptions'!$D$116+32)&lt;='Inputs &amp; Assumptions'!$C$13,INDEX('Inputs &amp; Assumptions'!$D$70:$D$98,'Inputs &amp; Assumptions'!$D$116+32+1),0)</f>
        <v>0</v>
      </c>
      <c r="AK20" s="39" t="n">
        <f aca="false">IF(('Inputs &amp; Assumptions'!$D$116+33)&lt;='Inputs &amp; Assumptions'!$C$13,INDEX('Inputs &amp; Assumptions'!$D$70:$D$98,'Inputs &amp; Assumptions'!$D$116+33+1),0)</f>
        <v>0</v>
      </c>
      <c r="AL20" s="39" t="n">
        <f aca="false">IF(('Inputs &amp; Assumptions'!$D$116+34)&lt;='Inputs &amp; Assumptions'!$C$13,INDEX('Inputs &amp; Assumptions'!$D$70:$D$98,'Inputs &amp; Assumptions'!$D$116+34+1),0)</f>
        <v>0</v>
      </c>
      <c r="AM20" s="39" t="n">
        <f aca="false">IF(('Inputs &amp; Assumptions'!$D$116+35)&lt;='Inputs &amp; Assumptions'!$C$13,INDEX('Inputs &amp; Assumptions'!$D$70:$D$98,'Inputs &amp; Assumptions'!$D$116+35+1),0)</f>
        <v>0</v>
      </c>
      <c r="AN20" s="39" t="n">
        <f aca="false">IF(('Inputs &amp; Assumptions'!$D$116+36)&lt;='Inputs &amp; Assumptions'!$C$13,INDEX('Inputs &amp; Assumptions'!$D$70:$D$98,'Inputs &amp; Assumptions'!$D$116+36+1),0)</f>
        <v>0</v>
      </c>
    </row>
    <row r="21" customFormat="false" ht="15" hidden="false" customHeight="false" outlineLevel="0" collapsed="false">
      <c r="B21" s="38" t="n">
        <f aca="false">'Inputs &amp; Assumptions'!$B$117</f>
        <v>16</v>
      </c>
      <c r="E21" s="39" t="n">
        <f aca="false">IF(('Inputs &amp; Assumptions'!$D$117+1)&lt;='Inputs &amp; Assumptions'!$C$13,INDEX('Inputs &amp; Assumptions'!$D$70:$D$98,'Inputs &amp; Assumptions'!$D$117+1+1),0)</f>
        <v>582000</v>
      </c>
      <c r="F21" s="39" t="n">
        <f aca="false">IF(('Inputs &amp; Assumptions'!$D$117+2)&lt;='Inputs &amp; Assumptions'!$C$13,INDEX('Inputs &amp; Assumptions'!$D$70:$D$98,'Inputs &amp; Assumptions'!$D$117+2+1),0)</f>
        <v>564540</v>
      </c>
      <c r="G21" s="39" t="n">
        <f aca="false">IF(('Inputs &amp; Assumptions'!$D$117+3)&lt;='Inputs &amp; Assumptions'!$C$13,INDEX('Inputs &amp; Assumptions'!$D$70:$D$98,'Inputs &amp; Assumptions'!$D$117+3+1),0)</f>
        <v>547603.8</v>
      </c>
      <c r="H21" s="39" t="n">
        <f aca="false">IF(('Inputs &amp; Assumptions'!$D$117+4)&lt;='Inputs &amp; Assumptions'!$C$13,INDEX('Inputs &amp; Assumptions'!$D$70:$D$98,'Inputs &amp; Assumptions'!$D$117+4+1),0)</f>
        <v>531175.686</v>
      </c>
      <c r="I21" s="39" t="n">
        <f aca="false">IF(('Inputs &amp; Assumptions'!$D$117+5)&lt;='Inputs &amp; Assumptions'!$C$13,INDEX('Inputs &amp; Assumptions'!$D$70:$D$98,'Inputs &amp; Assumptions'!$D$117+5+1),0)</f>
        <v>515240.41542</v>
      </c>
      <c r="J21" s="39" t="n">
        <f aca="false">IF(('Inputs &amp; Assumptions'!$D$117+6)&lt;='Inputs &amp; Assumptions'!$C$13,INDEX('Inputs &amp; Assumptions'!$D$70:$D$98,'Inputs &amp; Assumptions'!$D$117+6+1),0)</f>
        <v>499783.2029574</v>
      </c>
      <c r="K21" s="39" t="n">
        <f aca="false">IF(('Inputs &amp; Assumptions'!$D$117+7)&lt;='Inputs &amp; Assumptions'!$C$13,INDEX('Inputs &amp; Assumptions'!$D$70:$D$98,'Inputs &amp; Assumptions'!$D$117+7+1),0)</f>
        <v>484789.706868678</v>
      </c>
      <c r="L21" s="39" t="n">
        <f aca="false">IF(('Inputs &amp; Assumptions'!$D$117+8)&lt;='Inputs &amp; Assumptions'!$C$13,INDEX('Inputs &amp; Assumptions'!$D$70:$D$98,'Inputs &amp; Assumptions'!$D$117+8+1),0)</f>
        <v>470246.015662618</v>
      </c>
      <c r="M21" s="39" t="n">
        <f aca="false">IF(('Inputs &amp; Assumptions'!$D$117+9)&lt;='Inputs &amp; Assumptions'!$C$13,INDEX('Inputs &amp; Assumptions'!$D$70:$D$98,'Inputs &amp; Assumptions'!$D$117+9+1),0)</f>
        <v>456138.635192739</v>
      </c>
      <c r="N21" s="39" t="n">
        <f aca="false">IF(('Inputs &amp; Assumptions'!$D$117+10)&lt;='Inputs &amp; Assumptions'!$C$13,INDEX('Inputs &amp; Assumptions'!$D$70:$D$98,'Inputs &amp; Assumptions'!$D$117+10+1),0)</f>
        <v>442454.476136957</v>
      </c>
      <c r="O21" s="39" t="n">
        <f aca="false">IF(('Inputs &amp; Assumptions'!$D$117+11)&lt;='Inputs &amp; Assumptions'!$C$13,INDEX('Inputs &amp; Assumptions'!$D$70:$D$98,'Inputs &amp; Assumptions'!$D$117+11+1),0)</f>
        <v>429180.841852848</v>
      </c>
      <c r="P21" s="39" t="n">
        <f aca="false">IF(('Inputs &amp; Assumptions'!$D$117+12)&lt;='Inputs &amp; Assumptions'!$C$13,INDEX('Inputs &amp; Assumptions'!$D$70:$D$98,'Inputs &amp; Assumptions'!$D$117+12+1),0)</f>
        <v>416305.416597263</v>
      </c>
      <c r="Q21" s="39" t="n">
        <f aca="false">IF(('Inputs &amp; Assumptions'!$D$117+13)&lt;='Inputs &amp; Assumptions'!$C$13,INDEX('Inputs &amp; Assumptions'!$D$70:$D$98,'Inputs &amp; Assumptions'!$D$117+13+1),0)</f>
        <v>403816.254099345</v>
      </c>
      <c r="R21" s="39" t="n">
        <f aca="false">IF(('Inputs &amp; Assumptions'!$D$117+14)&lt;='Inputs &amp; Assumptions'!$C$13,INDEX('Inputs &amp; Assumptions'!$D$70:$D$98,'Inputs &amp; Assumptions'!$D$117+14+1),0)</f>
        <v>391701.766476365</v>
      </c>
      <c r="S21" s="39" t="n">
        <f aca="false">IF(('Inputs &amp; Assumptions'!$D$117+15)&lt;='Inputs &amp; Assumptions'!$C$13,INDEX('Inputs &amp; Assumptions'!$D$70:$D$98,'Inputs &amp; Assumptions'!$D$117+15+1),0)</f>
        <v>379950.713482074</v>
      </c>
      <c r="T21" s="39" t="n">
        <f aca="false">IF(('Inputs &amp; Assumptions'!$D$117+16)&lt;='Inputs &amp; Assumptions'!$C$13,INDEX('Inputs &amp; Assumptions'!$D$70:$D$98,'Inputs &amp; Assumptions'!$D$117+16+1),0)</f>
        <v>368552.192077611</v>
      </c>
      <c r="U21" s="39" t="n">
        <f aca="false">IF(('Inputs &amp; Assumptions'!$D$117+17)&lt;='Inputs &amp; Assumptions'!$C$13,INDEX('Inputs &amp; Assumptions'!$D$70:$D$98,'Inputs &amp; Assumptions'!$D$117+17+1),0)</f>
        <v>357495.626315283</v>
      </c>
      <c r="V21" s="39" t="n">
        <f aca="false">IF(('Inputs &amp; Assumptions'!$D$117+18)&lt;='Inputs &amp; Assumptions'!$C$13,INDEX('Inputs &amp; Assumptions'!$D$70:$D$98,'Inputs &amp; Assumptions'!$D$117+18+1),0)</f>
        <v>346770.757525825</v>
      </c>
      <c r="W21" s="39" t="n">
        <f aca="false">IF(('Inputs &amp; Assumptions'!$D$117+19)&lt;='Inputs &amp; Assumptions'!$C$13,INDEX('Inputs &amp; Assumptions'!$D$70:$D$98,'Inputs &amp; Assumptions'!$D$117+19+1),0)</f>
        <v>336367.63480005</v>
      </c>
      <c r="X21" s="39" t="n">
        <f aca="false">IF(('Inputs &amp; Assumptions'!$D$117+20)&lt;='Inputs &amp; Assumptions'!$C$13,INDEX('Inputs &amp; Assumptions'!$D$70:$D$98,'Inputs &amp; Assumptions'!$D$117+20+1),0)</f>
        <v>326276.605756048</v>
      </c>
      <c r="Y21" s="39" t="n">
        <f aca="false">IF(('Inputs &amp; Assumptions'!$D$117+21)&lt;='Inputs &amp; Assumptions'!$C$13,INDEX('Inputs &amp; Assumptions'!$D$70:$D$98,'Inputs &amp; Assumptions'!$D$117+21+1),0)</f>
        <v>316488.307583367</v>
      </c>
      <c r="Z21" s="39" t="n">
        <f aca="false">IF(('Inputs &amp; Assumptions'!$D$117+22)&lt;='Inputs &amp; Assumptions'!$C$13,INDEX('Inputs &amp; Assumptions'!$D$70:$D$98,'Inputs &amp; Assumptions'!$D$117+22+1),0)</f>
        <v>306993.658355866</v>
      </c>
      <c r="AA21" s="39" t="n">
        <f aca="false">IF(('Inputs &amp; Assumptions'!$D$117+23)&lt;='Inputs &amp; Assumptions'!$C$13,INDEX('Inputs &amp; Assumptions'!$D$70:$D$98,'Inputs &amp; Assumptions'!$D$117+23+1),0)</f>
        <v>9926128.28683967</v>
      </c>
      <c r="AB21" s="39" t="n">
        <f aca="false">IF(('Inputs &amp; Assumptions'!$D$117+24)&lt;='Inputs &amp; Assumptions'!$C$13,INDEX('Inputs &amp; Assumptions'!$D$70:$D$98,'Inputs &amp; Assumptions'!$D$117+24+1),0)</f>
        <v>0</v>
      </c>
      <c r="AC21" s="39" t="n">
        <f aca="false">IF(('Inputs &amp; Assumptions'!$D$117+25)&lt;='Inputs &amp; Assumptions'!$C$13,INDEX('Inputs &amp; Assumptions'!$D$70:$D$98,'Inputs &amp; Assumptions'!$D$117+25+1),0)</f>
        <v>0</v>
      </c>
      <c r="AD21" s="39" t="n">
        <f aca="false">IF(('Inputs &amp; Assumptions'!$D$117+26)&lt;='Inputs &amp; Assumptions'!$C$13,INDEX('Inputs &amp; Assumptions'!$D$70:$D$98,'Inputs &amp; Assumptions'!$D$117+26+1),0)</f>
        <v>0</v>
      </c>
      <c r="AE21" s="39" t="n">
        <f aca="false">IF(('Inputs &amp; Assumptions'!$D$117+27)&lt;='Inputs &amp; Assumptions'!$C$13,INDEX('Inputs &amp; Assumptions'!$D$70:$D$98,'Inputs &amp; Assumptions'!$D$117+27+1),0)</f>
        <v>0</v>
      </c>
      <c r="AF21" s="39" t="n">
        <f aca="false">IF(('Inputs &amp; Assumptions'!$D$117+28)&lt;='Inputs &amp; Assumptions'!$C$13,INDEX('Inputs &amp; Assumptions'!$D$70:$D$98,'Inputs &amp; Assumptions'!$D$117+28+1),0)</f>
        <v>0</v>
      </c>
      <c r="AG21" s="39" t="n">
        <f aca="false">IF(('Inputs &amp; Assumptions'!$D$117+29)&lt;='Inputs &amp; Assumptions'!$C$13,INDEX('Inputs &amp; Assumptions'!$D$70:$D$98,'Inputs &amp; Assumptions'!$D$117+29+1),0)</f>
        <v>0</v>
      </c>
      <c r="AH21" s="39" t="n">
        <f aca="false">IF(('Inputs &amp; Assumptions'!$D$117+30)&lt;='Inputs &amp; Assumptions'!$C$13,INDEX('Inputs &amp; Assumptions'!$D$70:$D$98,'Inputs &amp; Assumptions'!$D$117+30+1),0)</f>
        <v>0</v>
      </c>
      <c r="AI21" s="39" t="n">
        <f aca="false">IF(('Inputs &amp; Assumptions'!$D$117+31)&lt;='Inputs &amp; Assumptions'!$C$13,INDEX('Inputs &amp; Assumptions'!$D$70:$D$98,'Inputs &amp; Assumptions'!$D$117+31+1),0)</f>
        <v>0</v>
      </c>
      <c r="AJ21" s="39" t="n">
        <f aca="false">IF(('Inputs &amp; Assumptions'!$D$117+32)&lt;='Inputs &amp; Assumptions'!$C$13,INDEX('Inputs &amp; Assumptions'!$D$70:$D$98,'Inputs &amp; Assumptions'!$D$117+32+1),0)</f>
        <v>0</v>
      </c>
      <c r="AK21" s="39" t="n">
        <f aca="false">IF(('Inputs &amp; Assumptions'!$D$117+33)&lt;='Inputs &amp; Assumptions'!$C$13,INDEX('Inputs &amp; Assumptions'!$D$70:$D$98,'Inputs &amp; Assumptions'!$D$117+33+1),0)</f>
        <v>0</v>
      </c>
      <c r="AL21" s="39" t="n">
        <f aca="false">IF(('Inputs &amp; Assumptions'!$D$117+34)&lt;='Inputs &amp; Assumptions'!$C$13,INDEX('Inputs &amp; Assumptions'!$D$70:$D$98,'Inputs &amp; Assumptions'!$D$117+34+1),0)</f>
        <v>0</v>
      </c>
      <c r="AM21" s="39" t="n">
        <f aca="false">IF(('Inputs &amp; Assumptions'!$D$117+35)&lt;='Inputs &amp; Assumptions'!$C$13,INDEX('Inputs &amp; Assumptions'!$D$70:$D$98,'Inputs &amp; Assumptions'!$D$117+35+1),0)</f>
        <v>0</v>
      </c>
      <c r="AN21" s="39" t="n">
        <f aca="false">IF(('Inputs &amp; Assumptions'!$D$117+36)&lt;='Inputs &amp; Assumptions'!$C$13,INDEX('Inputs &amp; Assumptions'!$D$70:$D$98,'Inputs &amp; Assumptions'!$D$117+36+1),0)</f>
        <v>0</v>
      </c>
    </row>
    <row r="22" customFormat="false" ht="15" hidden="false" customHeight="false" outlineLevel="0" collapsed="false">
      <c r="B22" s="38" t="n">
        <f aca="false">'Inputs &amp; Assumptions'!$B$118</f>
        <v>17</v>
      </c>
      <c r="E22" s="39" t="n">
        <f aca="false">IF(('Inputs &amp; Assumptions'!$D$118+1)&lt;='Inputs &amp; Assumptions'!$C$13,INDEX('Inputs &amp; Assumptions'!$D$70:$D$98,'Inputs &amp; Assumptions'!$D$118+1+1),0)</f>
        <v>564540</v>
      </c>
      <c r="F22" s="39" t="n">
        <f aca="false">IF(('Inputs &amp; Assumptions'!$D$118+2)&lt;='Inputs &amp; Assumptions'!$C$13,INDEX('Inputs &amp; Assumptions'!$D$70:$D$98,'Inputs &amp; Assumptions'!$D$118+2+1),0)</f>
        <v>547603.8</v>
      </c>
      <c r="G22" s="39" t="n">
        <f aca="false">IF(('Inputs &amp; Assumptions'!$D$118+3)&lt;='Inputs &amp; Assumptions'!$C$13,INDEX('Inputs &amp; Assumptions'!$D$70:$D$98,'Inputs &amp; Assumptions'!$D$118+3+1),0)</f>
        <v>531175.686</v>
      </c>
      <c r="H22" s="39" t="n">
        <f aca="false">IF(('Inputs &amp; Assumptions'!$D$118+4)&lt;='Inputs &amp; Assumptions'!$C$13,INDEX('Inputs &amp; Assumptions'!$D$70:$D$98,'Inputs &amp; Assumptions'!$D$118+4+1),0)</f>
        <v>515240.41542</v>
      </c>
      <c r="I22" s="39" t="n">
        <f aca="false">IF(('Inputs &amp; Assumptions'!$D$118+5)&lt;='Inputs &amp; Assumptions'!$C$13,INDEX('Inputs &amp; Assumptions'!$D$70:$D$98,'Inputs &amp; Assumptions'!$D$118+5+1),0)</f>
        <v>499783.2029574</v>
      </c>
      <c r="J22" s="39" t="n">
        <f aca="false">IF(('Inputs &amp; Assumptions'!$D$118+6)&lt;='Inputs &amp; Assumptions'!$C$13,INDEX('Inputs &amp; Assumptions'!$D$70:$D$98,'Inputs &amp; Assumptions'!$D$118+6+1),0)</f>
        <v>484789.706868678</v>
      </c>
      <c r="K22" s="39" t="n">
        <f aca="false">IF(('Inputs &amp; Assumptions'!$D$118+7)&lt;='Inputs &amp; Assumptions'!$C$13,INDEX('Inputs &amp; Assumptions'!$D$70:$D$98,'Inputs &amp; Assumptions'!$D$118+7+1),0)</f>
        <v>470246.015662618</v>
      </c>
      <c r="L22" s="39" t="n">
        <f aca="false">IF(('Inputs &amp; Assumptions'!$D$118+8)&lt;='Inputs &amp; Assumptions'!$C$13,INDEX('Inputs &amp; Assumptions'!$D$70:$D$98,'Inputs &amp; Assumptions'!$D$118+8+1),0)</f>
        <v>456138.635192739</v>
      </c>
      <c r="M22" s="39" t="n">
        <f aca="false">IF(('Inputs &amp; Assumptions'!$D$118+9)&lt;='Inputs &amp; Assumptions'!$C$13,INDEX('Inputs &amp; Assumptions'!$D$70:$D$98,'Inputs &amp; Assumptions'!$D$118+9+1),0)</f>
        <v>442454.476136957</v>
      </c>
      <c r="N22" s="39" t="n">
        <f aca="false">IF(('Inputs &amp; Assumptions'!$D$118+10)&lt;='Inputs &amp; Assumptions'!$C$13,INDEX('Inputs &amp; Assumptions'!$D$70:$D$98,'Inputs &amp; Assumptions'!$D$118+10+1),0)</f>
        <v>429180.841852848</v>
      </c>
      <c r="O22" s="39" t="n">
        <f aca="false">IF(('Inputs &amp; Assumptions'!$D$118+11)&lt;='Inputs &amp; Assumptions'!$C$13,INDEX('Inputs &amp; Assumptions'!$D$70:$D$98,'Inputs &amp; Assumptions'!$D$118+11+1),0)</f>
        <v>416305.416597263</v>
      </c>
      <c r="P22" s="39" t="n">
        <f aca="false">IF(('Inputs &amp; Assumptions'!$D$118+12)&lt;='Inputs &amp; Assumptions'!$C$13,INDEX('Inputs &amp; Assumptions'!$D$70:$D$98,'Inputs &amp; Assumptions'!$D$118+12+1),0)</f>
        <v>403816.254099345</v>
      </c>
      <c r="Q22" s="39" t="n">
        <f aca="false">IF(('Inputs &amp; Assumptions'!$D$118+13)&lt;='Inputs &amp; Assumptions'!$C$13,INDEX('Inputs &amp; Assumptions'!$D$70:$D$98,'Inputs &amp; Assumptions'!$D$118+13+1),0)</f>
        <v>391701.766476365</v>
      </c>
      <c r="R22" s="39" t="n">
        <f aca="false">IF(('Inputs &amp; Assumptions'!$D$118+14)&lt;='Inputs &amp; Assumptions'!$C$13,INDEX('Inputs &amp; Assumptions'!$D$70:$D$98,'Inputs &amp; Assumptions'!$D$118+14+1),0)</f>
        <v>379950.713482074</v>
      </c>
      <c r="S22" s="39" t="n">
        <f aca="false">IF(('Inputs &amp; Assumptions'!$D$118+15)&lt;='Inputs &amp; Assumptions'!$C$13,INDEX('Inputs &amp; Assumptions'!$D$70:$D$98,'Inputs &amp; Assumptions'!$D$118+15+1),0)</f>
        <v>368552.192077611</v>
      </c>
      <c r="T22" s="39" t="n">
        <f aca="false">IF(('Inputs &amp; Assumptions'!$D$118+16)&lt;='Inputs &amp; Assumptions'!$C$13,INDEX('Inputs &amp; Assumptions'!$D$70:$D$98,'Inputs &amp; Assumptions'!$D$118+16+1),0)</f>
        <v>357495.626315283</v>
      </c>
      <c r="U22" s="39" t="n">
        <f aca="false">IF(('Inputs &amp; Assumptions'!$D$118+17)&lt;='Inputs &amp; Assumptions'!$C$13,INDEX('Inputs &amp; Assumptions'!$D$70:$D$98,'Inputs &amp; Assumptions'!$D$118+17+1),0)</f>
        <v>346770.757525825</v>
      </c>
      <c r="V22" s="39" t="n">
        <f aca="false">IF(('Inputs &amp; Assumptions'!$D$118+18)&lt;='Inputs &amp; Assumptions'!$C$13,INDEX('Inputs &amp; Assumptions'!$D$70:$D$98,'Inputs &amp; Assumptions'!$D$118+18+1),0)</f>
        <v>336367.63480005</v>
      </c>
      <c r="W22" s="39" t="n">
        <f aca="false">IF(('Inputs &amp; Assumptions'!$D$118+19)&lt;='Inputs &amp; Assumptions'!$C$13,INDEX('Inputs &amp; Assumptions'!$D$70:$D$98,'Inputs &amp; Assumptions'!$D$118+19+1),0)</f>
        <v>326276.605756048</v>
      </c>
      <c r="X22" s="39" t="n">
        <f aca="false">IF(('Inputs &amp; Assumptions'!$D$118+20)&lt;='Inputs &amp; Assumptions'!$C$13,INDEX('Inputs &amp; Assumptions'!$D$70:$D$98,'Inputs &amp; Assumptions'!$D$118+20+1),0)</f>
        <v>316488.307583367</v>
      </c>
      <c r="Y22" s="39" t="n">
        <f aca="false">IF(('Inputs &amp; Assumptions'!$D$118+21)&lt;='Inputs &amp; Assumptions'!$C$13,INDEX('Inputs &amp; Assumptions'!$D$70:$D$98,'Inputs &amp; Assumptions'!$D$118+21+1),0)</f>
        <v>306993.658355866</v>
      </c>
      <c r="Z22" s="39" t="n">
        <f aca="false">IF(('Inputs &amp; Assumptions'!$D$118+22)&lt;='Inputs &amp; Assumptions'!$C$13,INDEX('Inputs &amp; Assumptions'!$D$70:$D$98,'Inputs &amp; Assumptions'!$D$118+22+1),0)</f>
        <v>9926128.28683967</v>
      </c>
      <c r="AA22" s="39" t="n">
        <f aca="false">IF(('Inputs &amp; Assumptions'!$D$118+23)&lt;='Inputs &amp; Assumptions'!$C$13,INDEX('Inputs &amp; Assumptions'!$D$70:$D$98,'Inputs &amp; Assumptions'!$D$118+23+1),0)</f>
        <v>0</v>
      </c>
      <c r="AB22" s="39" t="n">
        <f aca="false">IF(('Inputs &amp; Assumptions'!$D$118+24)&lt;='Inputs &amp; Assumptions'!$C$13,INDEX('Inputs &amp; Assumptions'!$D$70:$D$98,'Inputs &amp; Assumptions'!$D$118+24+1),0)</f>
        <v>0</v>
      </c>
      <c r="AC22" s="39" t="n">
        <f aca="false">IF(('Inputs &amp; Assumptions'!$D$118+25)&lt;='Inputs &amp; Assumptions'!$C$13,INDEX('Inputs &amp; Assumptions'!$D$70:$D$98,'Inputs &amp; Assumptions'!$D$118+25+1),0)</f>
        <v>0</v>
      </c>
      <c r="AD22" s="39" t="n">
        <f aca="false">IF(('Inputs &amp; Assumptions'!$D$118+26)&lt;='Inputs &amp; Assumptions'!$C$13,INDEX('Inputs &amp; Assumptions'!$D$70:$D$98,'Inputs &amp; Assumptions'!$D$118+26+1),0)</f>
        <v>0</v>
      </c>
      <c r="AE22" s="39" t="n">
        <f aca="false">IF(('Inputs &amp; Assumptions'!$D$118+27)&lt;='Inputs &amp; Assumptions'!$C$13,INDEX('Inputs &amp; Assumptions'!$D$70:$D$98,'Inputs &amp; Assumptions'!$D$118+27+1),0)</f>
        <v>0</v>
      </c>
      <c r="AF22" s="39" t="n">
        <f aca="false">IF(('Inputs &amp; Assumptions'!$D$118+28)&lt;='Inputs &amp; Assumptions'!$C$13,INDEX('Inputs &amp; Assumptions'!$D$70:$D$98,'Inputs &amp; Assumptions'!$D$118+28+1),0)</f>
        <v>0</v>
      </c>
      <c r="AG22" s="39" t="n">
        <f aca="false">IF(('Inputs &amp; Assumptions'!$D$118+29)&lt;='Inputs &amp; Assumptions'!$C$13,INDEX('Inputs &amp; Assumptions'!$D$70:$D$98,'Inputs &amp; Assumptions'!$D$118+29+1),0)</f>
        <v>0</v>
      </c>
      <c r="AH22" s="39" t="n">
        <f aca="false">IF(('Inputs &amp; Assumptions'!$D$118+30)&lt;='Inputs &amp; Assumptions'!$C$13,INDEX('Inputs &amp; Assumptions'!$D$70:$D$98,'Inputs &amp; Assumptions'!$D$118+30+1),0)</f>
        <v>0</v>
      </c>
      <c r="AI22" s="39" t="n">
        <f aca="false">IF(('Inputs &amp; Assumptions'!$D$118+31)&lt;='Inputs &amp; Assumptions'!$C$13,INDEX('Inputs &amp; Assumptions'!$D$70:$D$98,'Inputs &amp; Assumptions'!$D$118+31+1),0)</f>
        <v>0</v>
      </c>
      <c r="AJ22" s="39" t="n">
        <f aca="false">IF(('Inputs &amp; Assumptions'!$D$118+32)&lt;='Inputs &amp; Assumptions'!$C$13,INDEX('Inputs &amp; Assumptions'!$D$70:$D$98,'Inputs &amp; Assumptions'!$D$118+32+1),0)</f>
        <v>0</v>
      </c>
      <c r="AK22" s="39" t="n">
        <f aca="false">IF(('Inputs &amp; Assumptions'!$D$118+33)&lt;='Inputs &amp; Assumptions'!$C$13,INDEX('Inputs &amp; Assumptions'!$D$70:$D$98,'Inputs &amp; Assumptions'!$D$118+33+1),0)</f>
        <v>0</v>
      </c>
      <c r="AL22" s="39" t="n">
        <f aca="false">IF(('Inputs &amp; Assumptions'!$D$118+34)&lt;='Inputs &amp; Assumptions'!$C$13,INDEX('Inputs &amp; Assumptions'!$D$70:$D$98,'Inputs &amp; Assumptions'!$D$118+34+1),0)</f>
        <v>0</v>
      </c>
      <c r="AM22" s="39" t="n">
        <f aca="false">IF(('Inputs &amp; Assumptions'!$D$118+35)&lt;='Inputs &amp; Assumptions'!$C$13,INDEX('Inputs &amp; Assumptions'!$D$70:$D$98,'Inputs &amp; Assumptions'!$D$118+35+1),0)</f>
        <v>0</v>
      </c>
      <c r="AN22" s="39" t="n">
        <f aca="false">IF(('Inputs &amp; Assumptions'!$D$118+36)&lt;='Inputs &amp; Assumptions'!$C$13,INDEX('Inputs &amp; Assumptions'!$D$70:$D$98,'Inputs &amp; Assumptions'!$D$118+36+1),0)</f>
        <v>0</v>
      </c>
    </row>
    <row r="23" customFormat="false" ht="15" hidden="false" customHeight="false" outlineLevel="0" collapsed="false">
      <c r="B23" s="38" t="n">
        <f aca="false">'Inputs &amp; Assumptions'!$B$119</f>
        <v>18</v>
      </c>
      <c r="E23" s="39" t="n">
        <f aca="false">IF(('Inputs &amp; Assumptions'!$D$119+1)&lt;='Inputs &amp; Assumptions'!$C$13,INDEX('Inputs &amp; Assumptions'!$D$70:$D$98,'Inputs &amp; Assumptions'!$D$119+1+1),0)</f>
        <v>564540</v>
      </c>
      <c r="F23" s="39" t="n">
        <f aca="false">IF(('Inputs &amp; Assumptions'!$D$119+2)&lt;='Inputs &amp; Assumptions'!$C$13,INDEX('Inputs &amp; Assumptions'!$D$70:$D$98,'Inputs &amp; Assumptions'!$D$119+2+1),0)</f>
        <v>547603.8</v>
      </c>
      <c r="G23" s="39" t="n">
        <f aca="false">IF(('Inputs &amp; Assumptions'!$D$119+3)&lt;='Inputs &amp; Assumptions'!$C$13,INDEX('Inputs &amp; Assumptions'!$D$70:$D$98,'Inputs &amp; Assumptions'!$D$119+3+1),0)</f>
        <v>531175.686</v>
      </c>
      <c r="H23" s="39" t="n">
        <f aca="false">IF(('Inputs &amp; Assumptions'!$D$119+4)&lt;='Inputs &amp; Assumptions'!$C$13,INDEX('Inputs &amp; Assumptions'!$D$70:$D$98,'Inputs &amp; Assumptions'!$D$119+4+1),0)</f>
        <v>515240.41542</v>
      </c>
      <c r="I23" s="39" t="n">
        <f aca="false">IF(('Inputs &amp; Assumptions'!$D$119+5)&lt;='Inputs &amp; Assumptions'!$C$13,INDEX('Inputs &amp; Assumptions'!$D$70:$D$98,'Inputs &amp; Assumptions'!$D$119+5+1),0)</f>
        <v>499783.2029574</v>
      </c>
      <c r="J23" s="39" t="n">
        <f aca="false">IF(('Inputs &amp; Assumptions'!$D$119+6)&lt;='Inputs &amp; Assumptions'!$C$13,INDEX('Inputs &amp; Assumptions'!$D$70:$D$98,'Inputs &amp; Assumptions'!$D$119+6+1),0)</f>
        <v>484789.706868678</v>
      </c>
      <c r="K23" s="39" t="n">
        <f aca="false">IF(('Inputs &amp; Assumptions'!$D$119+7)&lt;='Inputs &amp; Assumptions'!$C$13,INDEX('Inputs &amp; Assumptions'!$D$70:$D$98,'Inputs &amp; Assumptions'!$D$119+7+1),0)</f>
        <v>470246.015662618</v>
      </c>
      <c r="L23" s="39" t="n">
        <f aca="false">IF(('Inputs &amp; Assumptions'!$D$119+8)&lt;='Inputs &amp; Assumptions'!$C$13,INDEX('Inputs &amp; Assumptions'!$D$70:$D$98,'Inputs &amp; Assumptions'!$D$119+8+1),0)</f>
        <v>456138.635192739</v>
      </c>
      <c r="M23" s="39" t="n">
        <f aca="false">IF(('Inputs &amp; Assumptions'!$D$119+9)&lt;='Inputs &amp; Assumptions'!$C$13,INDEX('Inputs &amp; Assumptions'!$D$70:$D$98,'Inputs &amp; Assumptions'!$D$119+9+1),0)</f>
        <v>442454.476136957</v>
      </c>
      <c r="N23" s="39" t="n">
        <f aca="false">IF(('Inputs &amp; Assumptions'!$D$119+10)&lt;='Inputs &amp; Assumptions'!$C$13,INDEX('Inputs &amp; Assumptions'!$D$70:$D$98,'Inputs &amp; Assumptions'!$D$119+10+1),0)</f>
        <v>429180.841852848</v>
      </c>
      <c r="O23" s="39" t="n">
        <f aca="false">IF(('Inputs &amp; Assumptions'!$D$119+11)&lt;='Inputs &amp; Assumptions'!$C$13,INDEX('Inputs &amp; Assumptions'!$D$70:$D$98,'Inputs &amp; Assumptions'!$D$119+11+1),0)</f>
        <v>416305.416597263</v>
      </c>
      <c r="P23" s="39" t="n">
        <f aca="false">IF(('Inputs &amp; Assumptions'!$D$119+12)&lt;='Inputs &amp; Assumptions'!$C$13,INDEX('Inputs &amp; Assumptions'!$D$70:$D$98,'Inputs &amp; Assumptions'!$D$119+12+1),0)</f>
        <v>403816.254099345</v>
      </c>
      <c r="Q23" s="39" t="n">
        <f aca="false">IF(('Inputs &amp; Assumptions'!$D$119+13)&lt;='Inputs &amp; Assumptions'!$C$13,INDEX('Inputs &amp; Assumptions'!$D$70:$D$98,'Inputs &amp; Assumptions'!$D$119+13+1),0)</f>
        <v>391701.766476365</v>
      </c>
      <c r="R23" s="39" t="n">
        <f aca="false">IF(('Inputs &amp; Assumptions'!$D$119+14)&lt;='Inputs &amp; Assumptions'!$C$13,INDEX('Inputs &amp; Assumptions'!$D$70:$D$98,'Inputs &amp; Assumptions'!$D$119+14+1),0)</f>
        <v>379950.713482074</v>
      </c>
      <c r="S23" s="39" t="n">
        <f aca="false">IF(('Inputs &amp; Assumptions'!$D$119+15)&lt;='Inputs &amp; Assumptions'!$C$13,INDEX('Inputs &amp; Assumptions'!$D$70:$D$98,'Inputs &amp; Assumptions'!$D$119+15+1),0)</f>
        <v>368552.192077611</v>
      </c>
      <c r="T23" s="39" t="n">
        <f aca="false">IF(('Inputs &amp; Assumptions'!$D$119+16)&lt;='Inputs &amp; Assumptions'!$C$13,INDEX('Inputs &amp; Assumptions'!$D$70:$D$98,'Inputs &amp; Assumptions'!$D$119+16+1),0)</f>
        <v>357495.626315283</v>
      </c>
      <c r="U23" s="39" t="n">
        <f aca="false">IF(('Inputs &amp; Assumptions'!$D$119+17)&lt;='Inputs &amp; Assumptions'!$C$13,INDEX('Inputs &amp; Assumptions'!$D$70:$D$98,'Inputs &amp; Assumptions'!$D$119+17+1),0)</f>
        <v>346770.757525825</v>
      </c>
      <c r="V23" s="39" t="n">
        <f aca="false">IF(('Inputs &amp; Assumptions'!$D$119+18)&lt;='Inputs &amp; Assumptions'!$C$13,INDEX('Inputs &amp; Assumptions'!$D$70:$D$98,'Inputs &amp; Assumptions'!$D$119+18+1),0)</f>
        <v>336367.63480005</v>
      </c>
      <c r="W23" s="39" t="n">
        <f aca="false">IF(('Inputs &amp; Assumptions'!$D$119+19)&lt;='Inputs &amp; Assumptions'!$C$13,INDEX('Inputs &amp; Assumptions'!$D$70:$D$98,'Inputs &amp; Assumptions'!$D$119+19+1),0)</f>
        <v>326276.605756048</v>
      </c>
      <c r="X23" s="39" t="n">
        <f aca="false">IF(('Inputs &amp; Assumptions'!$D$119+20)&lt;='Inputs &amp; Assumptions'!$C$13,INDEX('Inputs &amp; Assumptions'!$D$70:$D$98,'Inputs &amp; Assumptions'!$D$119+20+1),0)</f>
        <v>316488.307583367</v>
      </c>
      <c r="Y23" s="39" t="n">
        <f aca="false">IF(('Inputs &amp; Assumptions'!$D$119+21)&lt;='Inputs &amp; Assumptions'!$C$13,INDEX('Inputs &amp; Assumptions'!$D$70:$D$98,'Inputs &amp; Assumptions'!$D$119+21+1),0)</f>
        <v>306993.658355866</v>
      </c>
      <c r="Z23" s="39" t="n">
        <f aca="false">IF(('Inputs &amp; Assumptions'!$D$119+22)&lt;='Inputs &amp; Assumptions'!$C$13,INDEX('Inputs &amp; Assumptions'!$D$70:$D$98,'Inputs &amp; Assumptions'!$D$119+22+1),0)</f>
        <v>9926128.28683967</v>
      </c>
      <c r="AA23" s="39" t="n">
        <f aca="false">IF(('Inputs &amp; Assumptions'!$D$119+23)&lt;='Inputs &amp; Assumptions'!$C$13,INDEX('Inputs &amp; Assumptions'!$D$70:$D$98,'Inputs &amp; Assumptions'!$D$119+23+1),0)</f>
        <v>0</v>
      </c>
      <c r="AB23" s="39" t="n">
        <f aca="false">IF(('Inputs &amp; Assumptions'!$D$119+24)&lt;='Inputs &amp; Assumptions'!$C$13,INDEX('Inputs &amp; Assumptions'!$D$70:$D$98,'Inputs &amp; Assumptions'!$D$119+24+1),0)</f>
        <v>0</v>
      </c>
      <c r="AC23" s="39" t="n">
        <f aca="false">IF(('Inputs &amp; Assumptions'!$D$119+25)&lt;='Inputs &amp; Assumptions'!$C$13,INDEX('Inputs &amp; Assumptions'!$D$70:$D$98,'Inputs &amp; Assumptions'!$D$119+25+1),0)</f>
        <v>0</v>
      </c>
      <c r="AD23" s="39" t="n">
        <f aca="false">IF(('Inputs &amp; Assumptions'!$D$119+26)&lt;='Inputs &amp; Assumptions'!$C$13,INDEX('Inputs &amp; Assumptions'!$D$70:$D$98,'Inputs &amp; Assumptions'!$D$119+26+1),0)</f>
        <v>0</v>
      </c>
      <c r="AE23" s="39" t="n">
        <f aca="false">IF(('Inputs &amp; Assumptions'!$D$119+27)&lt;='Inputs &amp; Assumptions'!$C$13,INDEX('Inputs &amp; Assumptions'!$D$70:$D$98,'Inputs &amp; Assumptions'!$D$119+27+1),0)</f>
        <v>0</v>
      </c>
      <c r="AF23" s="39" t="n">
        <f aca="false">IF(('Inputs &amp; Assumptions'!$D$119+28)&lt;='Inputs &amp; Assumptions'!$C$13,INDEX('Inputs &amp; Assumptions'!$D$70:$D$98,'Inputs &amp; Assumptions'!$D$119+28+1),0)</f>
        <v>0</v>
      </c>
      <c r="AG23" s="39" t="n">
        <f aca="false">IF(('Inputs &amp; Assumptions'!$D$119+29)&lt;='Inputs &amp; Assumptions'!$C$13,INDEX('Inputs &amp; Assumptions'!$D$70:$D$98,'Inputs &amp; Assumptions'!$D$119+29+1),0)</f>
        <v>0</v>
      </c>
      <c r="AH23" s="39" t="n">
        <f aca="false">IF(('Inputs &amp; Assumptions'!$D$119+30)&lt;='Inputs &amp; Assumptions'!$C$13,INDEX('Inputs &amp; Assumptions'!$D$70:$D$98,'Inputs &amp; Assumptions'!$D$119+30+1),0)</f>
        <v>0</v>
      </c>
      <c r="AI23" s="39" t="n">
        <f aca="false">IF(('Inputs &amp; Assumptions'!$D$119+31)&lt;='Inputs &amp; Assumptions'!$C$13,INDEX('Inputs &amp; Assumptions'!$D$70:$D$98,'Inputs &amp; Assumptions'!$D$119+31+1),0)</f>
        <v>0</v>
      </c>
      <c r="AJ23" s="39" t="n">
        <f aca="false">IF(('Inputs &amp; Assumptions'!$D$119+32)&lt;='Inputs &amp; Assumptions'!$C$13,INDEX('Inputs &amp; Assumptions'!$D$70:$D$98,'Inputs &amp; Assumptions'!$D$119+32+1),0)</f>
        <v>0</v>
      </c>
      <c r="AK23" s="39" t="n">
        <f aca="false">IF(('Inputs &amp; Assumptions'!$D$119+33)&lt;='Inputs &amp; Assumptions'!$C$13,INDEX('Inputs &amp; Assumptions'!$D$70:$D$98,'Inputs &amp; Assumptions'!$D$119+33+1),0)</f>
        <v>0</v>
      </c>
      <c r="AL23" s="39" t="n">
        <f aca="false">IF(('Inputs &amp; Assumptions'!$D$119+34)&lt;='Inputs &amp; Assumptions'!$C$13,INDEX('Inputs &amp; Assumptions'!$D$70:$D$98,'Inputs &amp; Assumptions'!$D$119+34+1),0)</f>
        <v>0</v>
      </c>
      <c r="AM23" s="39" t="n">
        <f aca="false">IF(('Inputs &amp; Assumptions'!$D$119+35)&lt;='Inputs &amp; Assumptions'!$C$13,INDEX('Inputs &amp; Assumptions'!$D$70:$D$98,'Inputs &amp; Assumptions'!$D$119+35+1),0)</f>
        <v>0</v>
      </c>
      <c r="AN23" s="39" t="n">
        <f aca="false">IF(('Inputs &amp; Assumptions'!$D$119+36)&lt;='Inputs &amp; Assumptions'!$C$13,INDEX('Inputs &amp; Assumptions'!$D$70:$D$98,'Inputs &amp; Assumptions'!$D$119+36+1),0)</f>
        <v>0</v>
      </c>
    </row>
    <row r="24" customFormat="false" ht="15" hidden="false" customHeight="false" outlineLevel="0" collapsed="false">
      <c r="B24" s="38" t="n">
        <f aca="false">'Inputs &amp; Assumptions'!$B$120</f>
        <v>19</v>
      </c>
      <c r="E24" s="39" t="n">
        <f aca="false">IF(('Inputs &amp; Assumptions'!$D$120+1)&lt;='Inputs &amp; Assumptions'!$C$13,INDEX('Inputs &amp; Assumptions'!$D$70:$D$98,'Inputs &amp; Assumptions'!$D$120+1+1),0)</f>
        <v>564540</v>
      </c>
      <c r="F24" s="39" t="n">
        <f aca="false">IF(('Inputs &amp; Assumptions'!$D$120+2)&lt;='Inputs &amp; Assumptions'!$C$13,INDEX('Inputs &amp; Assumptions'!$D$70:$D$98,'Inputs &amp; Assumptions'!$D$120+2+1),0)</f>
        <v>547603.8</v>
      </c>
      <c r="G24" s="39" t="n">
        <f aca="false">IF(('Inputs &amp; Assumptions'!$D$120+3)&lt;='Inputs &amp; Assumptions'!$C$13,INDEX('Inputs &amp; Assumptions'!$D$70:$D$98,'Inputs &amp; Assumptions'!$D$120+3+1),0)</f>
        <v>531175.686</v>
      </c>
      <c r="H24" s="39" t="n">
        <f aca="false">IF(('Inputs &amp; Assumptions'!$D$120+4)&lt;='Inputs &amp; Assumptions'!$C$13,INDEX('Inputs &amp; Assumptions'!$D$70:$D$98,'Inputs &amp; Assumptions'!$D$120+4+1),0)</f>
        <v>515240.41542</v>
      </c>
      <c r="I24" s="39" t="n">
        <f aca="false">IF(('Inputs &amp; Assumptions'!$D$120+5)&lt;='Inputs &amp; Assumptions'!$C$13,INDEX('Inputs &amp; Assumptions'!$D$70:$D$98,'Inputs &amp; Assumptions'!$D$120+5+1),0)</f>
        <v>499783.2029574</v>
      </c>
      <c r="J24" s="39" t="n">
        <f aca="false">IF(('Inputs &amp; Assumptions'!$D$120+6)&lt;='Inputs &amp; Assumptions'!$C$13,INDEX('Inputs &amp; Assumptions'!$D$70:$D$98,'Inputs &amp; Assumptions'!$D$120+6+1),0)</f>
        <v>484789.706868678</v>
      </c>
      <c r="K24" s="39" t="n">
        <f aca="false">IF(('Inputs &amp; Assumptions'!$D$120+7)&lt;='Inputs &amp; Assumptions'!$C$13,INDEX('Inputs &amp; Assumptions'!$D$70:$D$98,'Inputs &amp; Assumptions'!$D$120+7+1),0)</f>
        <v>470246.015662618</v>
      </c>
      <c r="L24" s="39" t="n">
        <f aca="false">IF(('Inputs &amp; Assumptions'!$D$120+8)&lt;='Inputs &amp; Assumptions'!$C$13,INDEX('Inputs &amp; Assumptions'!$D$70:$D$98,'Inputs &amp; Assumptions'!$D$120+8+1),0)</f>
        <v>456138.635192739</v>
      </c>
      <c r="M24" s="39" t="n">
        <f aca="false">IF(('Inputs &amp; Assumptions'!$D$120+9)&lt;='Inputs &amp; Assumptions'!$C$13,INDEX('Inputs &amp; Assumptions'!$D$70:$D$98,'Inputs &amp; Assumptions'!$D$120+9+1),0)</f>
        <v>442454.476136957</v>
      </c>
      <c r="N24" s="39" t="n">
        <f aca="false">IF(('Inputs &amp; Assumptions'!$D$120+10)&lt;='Inputs &amp; Assumptions'!$C$13,INDEX('Inputs &amp; Assumptions'!$D$70:$D$98,'Inputs &amp; Assumptions'!$D$120+10+1),0)</f>
        <v>429180.841852848</v>
      </c>
      <c r="O24" s="39" t="n">
        <f aca="false">IF(('Inputs &amp; Assumptions'!$D$120+11)&lt;='Inputs &amp; Assumptions'!$C$13,INDEX('Inputs &amp; Assumptions'!$D$70:$D$98,'Inputs &amp; Assumptions'!$D$120+11+1),0)</f>
        <v>416305.416597263</v>
      </c>
      <c r="P24" s="39" t="n">
        <f aca="false">IF(('Inputs &amp; Assumptions'!$D$120+12)&lt;='Inputs &amp; Assumptions'!$C$13,INDEX('Inputs &amp; Assumptions'!$D$70:$D$98,'Inputs &amp; Assumptions'!$D$120+12+1),0)</f>
        <v>403816.254099345</v>
      </c>
      <c r="Q24" s="39" t="n">
        <f aca="false">IF(('Inputs &amp; Assumptions'!$D$120+13)&lt;='Inputs &amp; Assumptions'!$C$13,INDEX('Inputs &amp; Assumptions'!$D$70:$D$98,'Inputs &amp; Assumptions'!$D$120+13+1),0)</f>
        <v>391701.766476365</v>
      </c>
      <c r="R24" s="39" t="n">
        <f aca="false">IF(('Inputs &amp; Assumptions'!$D$120+14)&lt;='Inputs &amp; Assumptions'!$C$13,INDEX('Inputs &amp; Assumptions'!$D$70:$D$98,'Inputs &amp; Assumptions'!$D$120+14+1),0)</f>
        <v>379950.713482074</v>
      </c>
      <c r="S24" s="39" t="n">
        <f aca="false">IF(('Inputs &amp; Assumptions'!$D$120+15)&lt;='Inputs &amp; Assumptions'!$C$13,INDEX('Inputs &amp; Assumptions'!$D$70:$D$98,'Inputs &amp; Assumptions'!$D$120+15+1),0)</f>
        <v>368552.192077611</v>
      </c>
      <c r="T24" s="39" t="n">
        <f aca="false">IF(('Inputs &amp; Assumptions'!$D$120+16)&lt;='Inputs &amp; Assumptions'!$C$13,INDEX('Inputs &amp; Assumptions'!$D$70:$D$98,'Inputs &amp; Assumptions'!$D$120+16+1),0)</f>
        <v>357495.626315283</v>
      </c>
      <c r="U24" s="39" t="n">
        <f aca="false">IF(('Inputs &amp; Assumptions'!$D$120+17)&lt;='Inputs &amp; Assumptions'!$C$13,INDEX('Inputs &amp; Assumptions'!$D$70:$D$98,'Inputs &amp; Assumptions'!$D$120+17+1),0)</f>
        <v>346770.757525825</v>
      </c>
      <c r="V24" s="39" t="n">
        <f aca="false">IF(('Inputs &amp; Assumptions'!$D$120+18)&lt;='Inputs &amp; Assumptions'!$C$13,INDEX('Inputs &amp; Assumptions'!$D$70:$D$98,'Inputs &amp; Assumptions'!$D$120+18+1),0)</f>
        <v>336367.63480005</v>
      </c>
      <c r="W24" s="39" t="n">
        <f aca="false">IF(('Inputs &amp; Assumptions'!$D$120+19)&lt;='Inputs &amp; Assumptions'!$C$13,INDEX('Inputs &amp; Assumptions'!$D$70:$D$98,'Inputs &amp; Assumptions'!$D$120+19+1),0)</f>
        <v>326276.605756048</v>
      </c>
      <c r="X24" s="39" t="n">
        <f aca="false">IF(('Inputs &amp; Assumptions'!$D$120+20)&lt;='Inputs &amp; Assumptions'!$C$13,INDEX('Inputs &amp; Assumptions'!$D$70:$D$98,'Inputs &amp; Assumptions'!$D$120+20+1),0)</f>
        <v>316488.307583367</v>
      </c>
      <c r="Y24" s="39" t="n">
        <f aca="false">IF(('Inputs &amp; Assumptions'!$D$120+21)&lt;='Inputs &amp; Assumptions'!$C$13,INDEX('Inputs &amp; Assumptions'!$D$70:$D$98,'Inputs &amp; Assumptions'!$D$120+21+1),0)</f>
        <v>306993.658355866</v>
      </c>
      <c r="Z24" s="39" t="n">
        <f aca="false">IF(('Inputs &amp; Assumptions'!$D$120+22)&lt;='Inputs &amp; Assumptions'!$C$13,INDEX('Inputs &amp; Assumptions'!$D$70:$D$98,'Inputs &amp; Assumptions'!$D$120+22+1),0)</f>
        <v>9926128.28683967</v>
      </c>
      <c r="AA24" s="39" t="n">
        <f aca="false">IF(('Inputs &amp; Assumptions'!$D$120+23)&lt;='Inputs &amp; Assumptions'!$C$13,INDEX('Inputs &amp; Assumptions'!$D$70:$D$98,'Inputs &amp; Assumptions'!$D$120+23+1),0)</f>
        <v>0</v>
      </c>
      <c r="AB24" s="39" t="n">
        <f aca="false">IF(('Inputs &amp; Assumptions'!$D$120+24)&lt;='Inputs &amp; Assumptions'!$C$13,INDEX('Inputs &amp; Assumptions'!$D$70:$D$98,'Inputs &amp; Assumptions'!$D$120+24+1),0)</f>
        <v>0</v>
      </c>
      <c r="AC24" s="39" t="n">
        <f aca="false">IF(('Inputs &amp; Assumptions'!$D$120+25)&lt;='Inputs &amp; Assumptions'!$C$13,INDEX('Inputs &amp; Assumptions'!$D$70:$D$98,'Inputs &amp; Assumptions'!$D$120+25+1),0)</f>
        <v>0</v>
      </c>
      <c r="AD24" s="39" t="n">
        <f aca="false">IF(('Inputs &amp; Assumptions'!$D$120+26)&lt;='Inputs &amp; Assumptions'!$C$13,INDEX('Inputs &amp; Assumptions'!$D$70:$D$98,'Inputs &amp; Assumptions'!$D$120+26+1),0)</f>
        <v>0</v>
      </c>
      <c r="AE24" s="39" t="n">
        <f aca="false">IF(('Inputs &amp; Assumptions'!$D$120+27)&lt;='Inputs &amp; Assumptions'!$C$13,INDEX('Inputs &amp; Assumptions'!$D$70:$D$98,'Inputs &amp; Assumptions'!$D$120+27+1),0)</f>
        <v>0</v>
      </c>
      <c r="AF24" s="39" t="n">
        <f aca="false">IF(('Inputs &amp; Assumptions'!$D$120+28)&lt;='Inputs &amp; Assumptions'!$C$13,INDEX('Inputs &amp; Assumptions'!$D$70:$D$98,'Inputs &amp; Assumptions'!$D$120+28+1),0)</f>
        <v>0</v>
      </c>
      <c r="AG24" s="39" t="n">
        <f aca="false">IF(('Inputs &amp; Assumptions'!$D$120+29)&lt;='Inputs &amp; Assumptions'!$C$13,INDEX('Inputs &amp; Assumptions'!$D$70:$D$98,'Inputs &amp; Assumptions'!$D$120+29+1),0)</f>
        <v>0</v>
      </c>
      <c r="AH24" s="39" t="n">
        <f aca="false">IF(('Inputs &amp; Assumptions'!$D$120+30)&lt;='Inputs &amp; Assumptions'!$C$13,INDEX('Inputs &amp; Assumptions'!$D$70:$D$98,'Inputs &amp; Assumptions'!$D$120+30+1),0)</f>
        <v>0</v>
      </c>
      <c r="AI24" s="39" t="n">
        <f aca="false">IF(('Inputs &amp; Assumptions'!$D$120+31)&lt;='Inputs &amp; Assumptions'!$C$13,INDEX('Inputs &amp; Assumptions'!$D$70:$D$98,'Inputs &amp; Assumptions'!$D$120+31+1),0)</f>
        <v>0</v>
      </c>
      <c r="AJ24" s="39" t="n">
        <f aca="false">IF(('Inputs &amp; Assumptions'!$D$120+32)&lt;='Inputs &amp; Assumptions'!$C$13,INDEX('Inputs &amp; Assumptions'!$D$70:$D$98,'Inputs &amp; Assumptions'!$D$120+32+1),0)</f>
        <v>0</v>
      </c>
      <c r="AK24" s="39" t="n">
        <f aca="false">IF(('Inputs &amp; Assumptions'!$D$120+33)&lt;='Inputs &amp; Assumptions'!$C$13,INDEX('Inputs &amp; Assumptions'!$D$70:$D$98,'Inputs &amp; Assumptions'!$D$120+33+1),0)</f>
        <v>0</v>
      </c>
      <c r="AL24" s="39" t="n">
        <f aca="false">IF(('Inputs &amp; Assumptions'!$D$120+34)&lt;='Inputs &amp; Assumptions'!$C$13,INDEX('Inputs &amp; Assumptions'!$D$70:$D$98,'Inputs &amp; Assumptions'!$D$120+34+1),0)</f>
        <v>0</v>
      </c>
      <c r="AM24" s="39" t="n">
        <f aca="false">IF(('Inputs &amp; Assumptions'!$D$120+35)&lt;='Inputs &amp; Assumptions'!$C$13,INDEX('Inputs &amp; Assumptions'!$D$70:$D$98,'Inputs &amp; Assumptions'!$D$120+35+1),0)</f>
        <v>0</v>
      </c>
      <c r="AN24" s="39" t="n">
        <f aca="false">IF(('Inputs &amp; Assumptions'!$D$120+36)&lt;='Inputs &amp; Assumptions'!$C$13,INDEX('Inputs &amp; Assumptions'!$D$70:$D$98,'Inputs &amp; Assumptions'!$D$120+36+1),0)</f>
        <v>0</v>
      </c>
    </row>
    <row r="25" customFormat="false" ht="15" hidden="false" customHeight="false" outlineLevel="0" collapsed="false">
      <c r="B25" s="38" t="n">
        <f aca="false">'Inputs &amp; Assumptions'!$B$121</f>
        <v>20</v>
      </c>
      <c r="E25" s="39" t="n">
        <f aca="false">IF(('Inputs &amp; Assumptions'!$D$121+1)&lt;='Inputs &amp; Assumptions'!$C$13,INDEX('Inputs &amp; Assumptions'!$D$70:$D$98,'Inputs &amp; Assumptions'!$D$121+1+1),0)</f>
        <v>547603.8</v>
      </c>
      <c r="F25" s="39" t="n">
        <f aca="false">IF(('Inputs &amp; Assumptions'!$D$121+2)&lt;='Inputs &amp; Assumptions'!$C$13,INDEX('Inputs &amp; Assumptions'!$D$70:$D$98,'Inputs &amp; Assumptions'!$D$121+2+1),0)</f>
        <v>531175.686</v>
      </c>
      <c r="G25" s="39" t="n">
        <f aca="false">IF(('Inputs &amp; Assumptions'!$D$121+3)&lt;='Inputs &amp; Assumptions'!$C$13,INDEX('Inputs &amp; Assumptions'!$D$70:$D$98,'Inputs &amp; Assumptions'!$D$121+3+1),0)</f>
        <v>515240.41542</v>
      </c>
      <c r="H25" s="39" t="n">
        <f aca="false">IF(('Inputs &amp; Assumptions'!$D$121+4)&lt;='Inputs &amp; Assumptions'!$C$13,INDEX('Inputs &amp; Assumptions'!$D$70:$D$98,'Inputs &amp; Assumptions'!$D$121+4+1),0)</f>
        <v>499783.2029574</v>
      </c>
      <c r="I25" s="39" t="n">
        <f aca="false">IF(('Inputs &amp; Assumptions'!$D$121+5)&lt;='Inputs &amp; Assumptions'!$C$13,INDEX('Inputs &amp; Assumptions'!$D$70:$D$98,'Inputs &amp; Assumptions'!$D$121+5+1),0)</f>
        <v>484789.706868678</v>
      </c>
      <c r="J25" s="39" t="n">
        <f aca="false">IF(('Inputs &amp; Assumptions'!$D$121+6)&lt;='Inputs &amp; Assumptions'!$C$13,INDEX('Inputs &amp; Assumptions'!$D$70:$D$98,'Inputs &amp; Assumptions'!$D$121+6+1),0)</f>
        <v>470246.015662618</v>
      </c>
      <c r="K25" s="39" t="n">
        <f aca="false">IF(('Inputs &amp; Assumptions'!$D$121+7)&lt;='Inputs &amp; Assumptions'!$C$13,INDEX('Inputs &amp; Assumptions'!$D$70:$D$98,'Inputs &amp; Assumptions'!$D$121+7+1),0)</f>
        <v>456138.635192739</v>
      </c>
      <c r="L25" s="39" t="n">
        <f aca="false">IF(('Inputs &amp; Assumptions'!$D$121+8)&lt;='Inputs &amp; Assumptions'!$C$13,INDEX('Inputs &amp; Assumptions'!$D$70:$D$98,'Inputs &amp; Assumptions'!$D$121+8+1),0)</f>
        <v>442454.476136957</v>
      </c>
      <c r="M25" s="39" t="n">
        <f aca="false">IF(('Inputs &amp; Assumptions'!$D$121+9)&lt;='Inputs &amp; Assumptions'!$C$13,INDEX('Inputs &amp; Assumptions'!$D$70:$D$98,'Inputs &amp; Assumptions'!$D$121+9+1),0)</f>
        <v>429180.841852848</v>
      </c>
      <c r="N25" s="39" t="n">
        <f aca="false">IF(('Inputs &amp; Assumptions'!$D$121+10)&lt;='Inputs &amp; Assumptions'!$C$13,INDEX('Inputs &amp; Assumptions'!$D$70:$D$98,'Inputs &amp; Assumptions'!$D$121+10+1),0)</f>
        <v>416305.416597263</v>
      </c>
      <c r="O25" s="39" t="n">
        <f aca="false">IF(('Inputs &amp; Assumptions'!$D$121+11)&lt;='Inputs &amp; Assumptions'!$C$13,INDEX('Inputs &amp; Assumptions'!$D$70:$D$98,'Inputs &amp; Assumptions'!$D$121+11+1),0)</f>
        <v>403816.254099345</v>
      </c>
      <c r="P25" s="39" t="n">
        <f aca="false">IF(('Inputs &amp; Assumptions'!$D$121+12)&lt;='Inputs &amp; Assumptions'!$C$13,INDEX('Inputs &amp; Assumptions'!$D$70:$D$98,'Inputs &amp; Assumptions'!$D$121+12+1),0)</f>
        <v>391701.766476365</v>
      </c>
      <c r="Q25" s="39" t="n">
        <f aca="false">IF(('Inputs &amp; Assumptions'!$D$121+13)&lt;='Inputs &amp; Assumptions'!$C$13,INDEX('Inputs &amp; Assumptions'!$D$70:$D$98,'Inputs &amp; Assumptions'!$D$121+13+1),0)</f>
        <v>379950.713482074</v>
      </c>
      <c r="R25" s="39" t="n">
        <f aca="false">IF(('Inputs &amp; Assumptions'!$D$121+14)&lt;='Inputs &amp; Assumptions'!$C$13,INDEX('Inputs &amp; Assumptions'!$D$70:$D$98,'Inputs &amp; Assumptions'!$D$121+14+1),0)</f>
        <v>368552.192077611</v>
      </c>
      <c r="S25" s="39" t="n">
        <f aca="false">IF(('Inputs &amp; Assumptions'!$D$121+15)&lt;='Inputs &amp; Assumptions'!$C$13,INDEX('Inputs &amp; Assumptions'!$D$70:$D$98,'Inputs &amp; Assumptions'!$D$121+15+1),0)</f>
        <v>357495.626315283</v>
      </c>
      <c r="T25" s="39" t="n">
        <f aca="false">IF(('Inputs &amp; Assumptions'!$D$121+16)&lt;='Inputs &amp; Assumptions'!$C$13,INDEX('Inputs &amp; Assumptions'!$D$70:$D$98,'Inputs &amp; Assumptions'!$D$121+16+1),0)</f>
        <v>346770.757525825</v>
      </c>
      <c r="U25" s="39" t="n">
        <f aca="false">IF(('Inputs &amp; Assumptions'!$D$121+17)&lt;='Inputs &amp; Assumptions'!$C$13,INDEX('Inputs &amp; Assumptions'!$D$70:$D$98,'Inputs &amp; Assumptions'!$D$121+17+1),0)</f>
        <v>336367.63480005</v>
      </c>
      <c r="V25" s="39" t="n">
        <f aca="false">IF(('Inputs &amp; Assumptions'!$D$121+18)&lt;='Inputs &amp; Assumptions'!$C$13,INDEX('Inputs &amp; Assumptions'!$D$70:$D$98,'Inputs &amp; Assumptions'!$D$121+18+1),0)</f>
        <v>326276.605756048</v>
      </c>
      <c r="W25" s="39" t="n">
        <f aca="false">IF(('Inputs &amp; Assumptions'!$D$121+19)&lt;='Inputs &amp; Assumptions'!$C$13,INDEX('Inputs &amp; Assumptions'!$D$70:$D$98,'Inputs &amp; Assumptions'!$D$121+19+1),0)</f>
        <v>316488.307583367</v>
      </c>
      <c r="X25" s="39" t="n">
        <f aca="false">IF(('Inputs &amp; Assumptions'!$D$121+20)&lt;='Inputs &amp; Assumptions'!$C$13,INDEX('Inputs &amp; Assumptions'!$D$70:$D$98,'Inputs &amp; Assumptions'!$D$121+20+1),0)</f>
        <v>306993.658355866</v>
      </c>
      <c r="Y25" s="39" t="n">
        <f aca="false">IF(('Inputs &amp; Assumptions'!$D$121+21)&lt;='Inputs &amp; Assumptions'!$C$13,INDEX('Inputs &amp; Assumptions'!$D$70:$D$98,'Inputs &amp; Assumptions'!$D$121+21+1),0)</f>
        <v>9926128.28683967</v>
      </c>
      <c r="Z25" s="39" t="n">
        <f aca="false">IF(('Inputs &amp; Assumptions'!$D$121+22)&lt;='Inputs &amp; Assumptions'!$C$13,INDEX('Inputs &amp; Assumptions'!$D$70:$D$98,'Inputs &amp; Assumptions'!$D$121+22+1),0)</f>
        <v>0</v>
      </c>
      <c r="AA25" s="39" t="n">
        <f aca="false">IF(('Inputs &amp; Assumptions'!$D$121+23)&lt;='Inputs &amp; Assumptions'!$C$13,INDEX('Inputs &amp; Assumptions'!$D$70:$D$98,'Inputs &amp; Assumptions'!$D$121+23+1),0)</f>
        <v>0</v>
      </c>
      <c r="AB25" s="39" t="n">
        <f aca="false">IF(('Inputs &amp; Assumptions'!$D$121+24)&lt;='Inputs &amp; Assumptions'!$C$13,INDEX('Inputs &amp; Assumptions'!$D$70:$D$98,'Inputs &amp; Assumptions'!$D$121+24+1),0)</f>
        <v>0</v>
      </c>
      <c r="AC25" s="39" t="n">
        <f aca="false">IF(('Inputs &amp; Assumptions'!$D$121+25)&lt;='Inputs &amp; Assumptions'!$C$13,INDEX('Inputs &amp; Assumptions'!$D$70:$D$98,'Inputs &amp; Assumptions'!$D$121+25+1),0)</f>
        <v>0</v>
      </c>
      <c r="AD25" s="39" t="n">
        <f aca="false">IF(('Inputs &amp; Assumptions'!$D$121+26)&lt;='Inputs &amp; Assumptions'!$C$13,INDEX('Inputs &amp; Assumptions'!$D$70:$D$98,'Inputs &amp; Assumptions'!$D$121+26+1),0)</f>
        <v>0</v>
      </c>
      <c r="AE25" s="39" t="n">
        <f aca="false">IF(('Inputs &amp; Assumptions'!$D$121+27)&lt;='Inputs &amp; Assumptions'!$C$13,INDEX('Inputs &amp; Assumptions'!$D$70:$D$98,'Inputs &amp; Assumptions'!$D$121+27+1),0)</f>
        <v>0</v>
      </c>
      <c r="AF25" s="39" t="n">
        <f aca="false">IF(('Inputs &amp; Assumptions'!$D$121+28)&lt;='Inputs &amp; Assumptions'!$C$13,INDEX('Inputs &amp; Assumptions'!$D$70:$D$98,'Inputs &amp; Assumptions'!$D$121+28+1),0)</f>
        <v>0</v>
      </c>
      <c r="AG25" s="39" t="n">
        <f aca="false">IF(('Inputs &amp; Assumptions'!$D$121+29)&lt;='Inputs &amp; Assumptions'!$C$13,INDEX('Inputs &amp; Assumptions'!$D$70:$D$98,'Inputs &amp; Assumptions'!$D$121+29+1),0)</f>
        <v>0</v>
      </c>
      <c r="AH25" s="39" t="n">
        <f aca="false">IF(('Inputs &amp; Assumptions'!$D$121+30)&lt;='Inputs &amp; Assumptions'!$C$13,INDEX('Inputs &amp; Assumptions'!$D$70:$D$98,'Inputs &amp; Assumptions'!$D$121+30+1),0)</f>
        <v>0</v>
      </c>
      <c r="AI25" s="39" t="n">
        <f aca="false">IF(('Inputs &amp; Assumptions'!$D$121+31)&lt;='Inputs &amp; Assumptions'!$C$13,INDEX('Inputs &amp; Assumptions'!$D$70:$D$98,'Inputs &amp; Assumptions'!$D$121+31+1),0)</f>
        <v>0</v>
      </c>
      <c r="AJ25" s="39" t="n">
        <f aca="false">IF(('Inputs &amp; Assumptions'!$D$121+32)&lt;='Inputs &amp; Assumptions'!$C$13,INDEX('Inputs &amp; Assumptions'!$D$70:$D$98,'Inputs &amp; Assumptions'!$D$121+32+1),0)</f>
        <v>0</v>
      </c>
      <c r="AK25" s="39" t="n">
        <f aca="false">IF(('Inputs &amp; Assumptions'!$D$121+33)&lt;='Inputs &amp; Assumptions'!$C$13,INDEX('Inputs &amp; Assumptions'!$D$70:$D$98,'Inputs &amp; Assumptions'!$D$121+33+1),0)</f>
        <v>0</v>
      </c>
      <c r="AL25" s="39" t="n">
        <f aca="false">IF(('Inputs &amp; Assumptions'!$D$121+34)&lt;='Inputs &amp; Assumptions'!$C$13,INDEX('Inputs &amp; Assumptions'!$D$70:$D$98,'Inputs &amp; Assumptions'!$D$121+34+1),0)</f>
        <v>0</v>
      </c>
      <c r="AM25" s="39" t="n">
        <f aca="false">IF(('Inputs &amp; Assumptions'!$D$121+35)&lt;='Inputs &amp; Assumptions'!$C$13,INDEX('Inputs &amp; Assumptions'!$D$70:$D$98,'Inputs &amp; Assumptions'!$D$121+35+1),0)</f>
        <v>0</v>
      </c>
      <c r="AN25" s="39" t="n">
        <f aca="false">IF(('Inputs &amp; Assumptions'!$D$121+36)&lt;='Inputs &amp; Assumptions'!$C$13,INDEX('Inputs &amp; Assumptions'!$D$70:$D$98,'Inputs &amp; Assumptions'!$D$121+36+1),0)</f>
        <v>0</v>
      </c>
    </row>
    <row r="26" customFormat="false" ht="15" hidden="false" customHeight="false" outlineLevel="0" collapsed="false">
      <c r="B26" s="38" t="n">
        <f aca="false">'Inputs &amp; Assumptions'!$B$122</f>
        <v>21</v>
      </c>
      <c r="E26" s="39" t="n">
        <f aca="false">IF(('Inputs &amp; Assumptions'!$D$122+1)&lt;='Inputs &amp; Assumptions'!$C$13,INDEX('Inputs &amp; Assumptions'!$D$70:$D$98,'Inputs &amp; Assumptions'!$D$122+1+1),0)</f>
        <v>547603.8</v>
      </c>
      <c r="F26" s="39" t="n">
        <f aca="false">IF(('Inputs &amp; Assumptions'!$D$122+2)&lt;='Inputs &amp; Assumptions'!$C$13,INDEX('Inputs &amp; Assumptions'!$D$70:$D$98,'Inputs &amp; Assumptions'!$D$122+2+1),0)</f>
        <v>531175.686</v>
      </c>
      <c r="G26" s="39" t="n">
        <f aca="false">IF(('Inputs &amp; Assumptions'!$D$122+3)&lt;='Inputs &amp; Assumptions'!$C$13,INDEX('Inputs &amp; Assumptions'!$D$70:$D$98,'Inputs &amp; Assumptions'!$D$122+3+1),0)</f>
        <v>515240.41542</v>
      </c>
      <c r="H26" s="39" t="n">
        <f aca="false">IF(('Inputs &amp; Assumptions'!$D$122+4)&lt;='Inputs &amp; Assumptions'!$C$13,INDEX('Inputs &amp; Assumptions'!$D$70:$D$98,'Inputs &amp; Assumptions'!$D$122+4+1),0)</f>
        <v>499783.2029574</v>
      </c>
      <c r="I26" s="39" t="n">
        <f aca="false">IF(('Inputs &amp; Assumptions'!$D$122+5)&lt;='Inputs &amp; Assumptions'!$C$13,INDEX('Inputs &amp; Assumptions'!$D$70:$D$98,'Inputs &amp; Assumptions'!$D$122+5+1),0)</f>
        <v>484789.706868678</v>
      </c>
      <c r="J26" s="39" t="n">
        <f aca="false">IF(('Inputs &amp; Assumptions'!$D$122+6)&lt;='Inputs &amp; Assumptions'!$C$13,INDEX('Inputs &amp; Assumptions'!$D$70:$D$98,'Inputs &amp; Assumptions'!$D$122+6+1),0)</f>
        <v>470246.015662618</v>
      </c>
      <c r="K26" s="39" t="n">
        <f aca="false">IF(('Inputs &amp; Assumptions'!$D$122+7)&lt;='Inputs &amp; Assumptions'!$C$13,INDEX('Inputs &amp; Assumptions'!$D$70:$D$98,'Inputs &amp; Assumptions'!$D$122+7+1),0)</f>
        <v>456138.635192739</v>
      </c>
      <c r="L26" s="39" t="n">
        <f aca="false">IF(('Inputs &amp; Assumptions'!$D$122+8)&lt;='Inputs &amp; Assumptions'!$C$13,INDEX('Inputs &amp; Assumptions'!$D$70:$D$98,'Inputs &amp; Assumptions'!$D$122+8+1),0)</f>
        <v>442454.476136957</v>
      </c>
      <c r="M26" s="39" t="n">
        <f aca="false">IF(('Inputs &amp; Assumptions'!$D$122+9)&lt;='Inputs &amp; Assumptions'!$C$13,INDEX('Inputs &amp; Assumptions'!$D$70:$D$98,'Inputs &amp; Assumptions'!$D$122+9+1),0)</f>
        <v>429180.841852848</v>
      </c>
      <c r="N26" s="39" t="n">
        <f aca="false">IF(('Inputs &amp; Assumptions'!$D$122+10)&lt;='Inputs &amp; Assumptions'!$C$13,INDEX('Inputs &amp; Assumptions'!$D$70:$D$98,'Inputs &amp; Assumptions'!$D$122+10+1),0)</f>
        <v>416305.416597263</v>
      </c>
      <c r="O26" s="39" t="n">
        <f aca="false">IF(('Inputs &amp; Assumptions'!$D$122+11)&lt;='Inputs &amp; Assumptions'!$C$13,INDEX('Inputs &amp; Assumptions'!$D$70:$D$98,'Inputs &amp; Assumptions'!$D$122+11+1),0)</f>
        <v>403816.254099345</v>
      </c>
      <c r="P26" s="39" t="n">
        <f aca="false">IF(('Inputs &amp; Assumptions'!$D$122+12)&lt;='Inputs &amp; Assumptions'!$C$13,INDEX('Inputs &amp; Assumptions'!$D$70:$D$98,'Inputs &amp; Assumptions'!$D$122+12+1),0)</f>
        <v>391701.766476365</v>
      </c>
      <c r="Q26" s="39" t="n">
        <f aca="false">IF(('Inputs &amp; Assumptions'!$D$122+13)&lt;='Inputs &amp; Assumptions'!$C$13,INDEX('Inputs &amp; Assumptions'!$D$70:$D$98,'Inputs &amp; Assumptions'!$D$122+13+1),0)</f>
        <v>379950.713482074</v>
      </c>
      <c r="R26" s="39" t="n">
        <f aca="false">IF(('Inputs &amp; Assumptions'!$D$122+14)&lt;='Inputs &amp; Assumptions'!$C$13,INDEX('Inputs &amp; Assumptions'!$D$70:$D$98,'Inputs &amp; Assumptions'!$D$122+14+1),0)</f>
        <v>368552.192077611</v>
      </c>
      <c r="S26" s="39" t="n">
        <f aca="false">IF(('Inputs &amp; Assumptions'!$D$122+15)&lt;='Inputs &amp; Assumptions'!$C$13,INDEX('Inputs &amp; Assumptions'!$D$70:$D$98,'Inputs &amp; Assumptions'!$D$122+15+1),0)</f>
        <v>357495.626315283</v>
      </c>
      <c r="T26" s="39" t="n">
        <f aca="false">IF(('Inputs &amp; Assumptions'!$D$122+16)&lt;='Inputs &amp; Assumptions'!$C$13,INDEX('Inputs &amp; Assumptions'!$D$70:$D$98,'Inputs &amp; Assumptions'!$D$122+16+1),0)</f>
        <v>346770.757525825</v>
      </c>
      <c r="U26" s="39" t="n">
        <f aca="false">IF(('Inputs &amp; Assumptions'!$D$122+17)&lt;='Inputs &amp; Assumptions'!$C$13,INDEX('Inputs &amp; Assumptions'!$D$70:$D$98,'Inputs &amp; Assumptions'!$D$122+17+1),0)</f>
        <v>336367.63480005</v>
      </c>
      <c r="V26" s="39" t="n">
        <f aca="false">IF(('Inputs &amp; Assumptions'!$D$122+18)&lt;='Inputs &amp; Assumptions'!$C$13,INDEX('Inputs &amp; Assumptions'!$D$70:$D$98,'Inputs &amp; Assumptions'!$D$122+18+1),0)</f>
        <v>326276.605756048</v>
      </c>
      <c r="W26" s="39" t="n">
        <f aca="false">IF(('Inputs &amp; Assumptions'!$D$122+19)&lt;='Inputs &amp; Assumptions'!$C$13,INDEX('Inputs &amp; Assumptions'!$D$70:$D$98,'Inputs &amp; Assumptions'!$D$122+19+1),0)</f>
        <v>316488.307583367</v>
      </c>
      <c r="X26" s="39" t="n">
        <f aca="false">IF(('Inputs &amp; Assumptions'!$D$122+20)&lt;='Inputs &amp; Assumptions'!$C$13,INDEX('Inputs &amp; Assumptions'!$D$70:$D$98,'Inputs &amp; Assumptions'!$D$122+20+1),0)</f>
        <v>306993.658355866</v>
      </c>
      <c r="Y26" s="39" t="n">
        <f aca="false">IF(('Inputs &amp; Assumptions'!$D$122+21)&lt;='Inputs &amp; Assumptions'!$C$13,INDEX('Inputs &amp; Assumptions'!$D$70:$D$98,'Inputs &amp; Assumptions'!$D$122+21+1),0)</f>
        <v>9926128.28683967</v>
      </c>
      <c r="Z26" s="39" t="n">
        <f aca="false">IF(('Inputs &amp; Assumptions'!$D$122+22)&lt;='Inputs &amp; Assumptions'!$C$13,INDEX('Inputs &amp; Assumptions'!$D$70:$D$98,'Inputs &amp; Assumptions'!$D$122+22+1),0)</f>
        <v>0</v>
      </c>
      <c r="AA26" s="39" t="n">
        <f aca="false">IF(('Inputs &amp; Assumptions'!$D$122+23)&lt;='Inputs &amp; Assumptions'!$C$13,INDEX('Inputs &amp; Assumptions'!$D$70:$D$98,'Inputs &amp; Assumptions'!$D$122+23+1),0)</f>
        <v>0</v>
      </c>
      <c r="AB26" s="39" t="n">
        <f aca="false">IF(('Inputs &amp; Assumptions'!$D$122+24)&lt;='Inputs &amp; Assumptions'!$C$13,INDEX('Inputs &amp; Assumptions'!$D$70:$D$98,'Inputs &amp; Assumptions'!$D$122+24+1),0)</f>
        <v>0</v>
      </c>
      <c r="AC26" s="39" t="n">
        <f aca="false">IF(('Inputs &amp; Assumptions'!$D$122+25)&lt;='Inputs &amp; Assumptions'!$C$13,INDEX('Inputs &amp; Assumptions'!$D$70:$D$98,'Inputs &amp; Assumptions'!$D$122+25+1),0)</f>
        <v>0</v>
      </c>
      <c r="AD26" s="39" t="n">
        <f aca="false">IF(('Inputs &amp; Assumptions'!$D$122+26)&lt;='Inputs &amp; Assumptions'!$C$13,INDEX('Inputs &amp; Assumptions'!$D$70:$D$98,'Inputs &amp; Assumptions'!$D$122+26+1),0)</f>
        <v>0</v>
      </c>
      <c r="AE26" s="39" t="n">
        <f aca="false">IF(('Inputs &amp; Assumptions'!$D$122+27)&lt;='Inputs &amp; Assumptions'!$C$13,INDEX('Inputs &amp; Assumptions'!$D$70:$D$98,'Inputs &amp; Assumptions'!$D$122+27+1),0)</f>
        <v>0</v>
      </c>
      <c r="AF26" s="39" t="n">
        <f aca="false">IF(('Inputs &amp; Assumptions'!$D$122+28)&lt;='Inputs &amp; Assumptions'!$C$13,INDEX('Inputs &amp; Assumptions'!$D$70:$D$98,'Inputs &amp; Assumptions'!$D$122+28+1),0)</f>
        <v>0</v>
      </c>
      <c r="AG26" s="39" t="n">
        <f aca="false">IF(('Inputs &amp; Assumptions'!$D$122+29)&lt;='Inputs &amp; Assumptions'!$C$13,INDEX('Inputs &amp; Assumptions'!$D$70:$D$98,'Inputs &amp; Assumptions'!$D$122+29+1),0)</f>
        <v>0</v>
      </c>
      <c r="AH26" s="39" t="n">
        <f aca="false">IF(('Inputs &amp; Assumptions'!$D$122+30)&lt;='Inputs &amp; Assumptions'!$C$13,INDEX('Inputs &amp; Assumptions'!$D$70:$D$98,'Inputs &amp; Assumptions'!$D$122+30+1),0)</f>
        <v>0</v>
      </c>
      <c r="AI26" s="39" t="n">
        <f aca="false">IF(('Inputs &amp; Assumptions'!$D$122+31)&lt;='Inputs &amp; Assumptions'!$C$13,INDEX('Inputs &amp; Assumptions'!$D$70:$D$98,'Inputs &amp; Assumptions'!$D$122+31+1),0)</f>
        <v>0</v>
      </c>
      <c r="AJ26" s="39" t="n">
        <f aca="false">IF(('Inputs &amp; Assumptions'!$D$122+32)&lt;='Inputs &amp; Assumptions'!$C$13,INDEX('Inputs &amp; Assumptions'!$D$70:$D$98,'Inputs &amp; Assumptions'!$D$122+32+1),0)</f>
        <v>0</v>
      </c>
      <c r="AK26" s="39" t="n">
        <f aca="false">IF(('Inputs &amp; Assumptions'!$D$122+33)&lt;='Inputs &amp; Assumptions'!$C$13,INDEX('Inputs &amp; Assumptions'!$D$70:$D$98,'Inputs &amp; Assumptions'!$D$122+33+1),0)</f>
        <v>0</v>
      </c>
      <c r="AL26" s="39" t="n">
        <f aca="false">IF(('Inputs &amp; Assumptions'!$D$122+34)&lt;='Inputs &amp; Assumptions'!$C$13,INDEX('Inputs &amp; Assumptions'!$D$70:$D$98,'Inputs &amp; Assumptions'!$D$122+34+1),0)</f>
        <v>0</v>
      </c>
      <c r="AM26" s="39" t="n">
        <f aca="false">IF(('Inputs &amp; Assumptions'!$D$122+35)&lt;='Inputs &amp; Assumptions'!$C$13,INDEX('Inputs &amp; Assumptions'!$D$70:$D$98,'Inputs &amp; Assumptions'!$D$122+35+1),0)</f>
        <v>0</v>
      </c>
      <c r="AN26" s="39" t="n">
        <f aca="false">IF(('Inputs &amp; Assumptions'!$D$122+36)&lt;='Inputs &amp; Assumptions'!$C$13,INDEX('Inputs &amp; Assumptions'!$D$70:$D$98,'Inputs &amp; Assumptions'!$D$122+36+1),0)</f>
        <v>0</v>
      </c>
    </row>
    <row r="27" customFormat="false" ht="15" hidden="false" customHeight="false" outlineLevel="0" collapsed="false">
      <c r="B27" s="38" t="n">
        <f aca="false">'Inputs &amp; Assumptions'!$B$123</f>
        <v>22</v>
      </c>
      <c r="E27" s="39" t="n">
        <f aca="false">IF(('Inputs &amp; Assumptions'!$D$123+1)&lt;='Inputs &amp; Assumptions'!$C$13,INDEX('Inputs &amp; Assumptions'!$D$70:$D$98,'Inputs &amp; Assumptions'!$D$123+1+1),0)</f>
        <v>547603.8</v>
      </c>
      <c r="F27" s="39" t="n">
        <f aca="false">IF(('Inputs &amp; Assumptions'!$D$123+2)&lt;='Inputs &amp; Assumptions'!$C$13,INDEX('Inputs &amp; Assumptions'!$D$70:$D$98,'Inputs &amp; Assumptions'!$D$123+2+1),0)</f>
        <v>531175.686</v>
      </c>
      <c r="G27" s="39" t="n">
        <f aca="false">IF(('Inputs &amp; Assumptions'!$D$123+3)&lt;='Inputs &amp; Assumptions'!$C$13,INDEX('Inputs &amp; Assumptions'!$D$70:$D$98,'Inputs &amp; Assumptions'!$D$123+3+1),0)</f>
        <v>515240.41542</v>
      </c>
      <c r="H27" s="39" t="n">
        <f aca="false">IF(('Inputs &amp; Assumptions'!$D$123+4)&lt;='Inputs &amp; Assumptions'!$C$13,INDEX('Inputs &amp; Assumptions'!$D$70:$D$98,'Inputs &amp; Assumptions'!$D$123+4+1),0)</f>
        <v>499783.2029574</v>
      </c>
      <c r="I27" s="39" t="n">
        <f aca="false">IF(('Inputs &amp; Assumptions'!$D$123+5)&lt;='Inputs &amp; Assumptions'!$C$13,INDEX('Inputs &amp; Assumptions'!$D$70:$D$98,'Inputs &amp; Assumptions'!$D$123+5+1),0)</f>
        <v>484789.706868678</v>
      </c>
      <c r="J27" s="39" t="n">
        <f aca="false">IF(('Inputs &amp; Assumptions'!$D$123+6)&lt;='Inputs &amp; Assumptions'!$C$13,INDEX('Inputs &amp; Assumptions'!$D$70:$D$98,'Inputs &amp; Assumptions'!$D$123+6+1),0)</f>
        <v>470246.015662618</v>
      </c>
      <c r="K27" s="39" t="n">
        <f aca="false">IF(('Inputs &amp; Assumptions'!$D$123+7)&lt;='Inputs &amp; Assumptions'!$C$13,INDEX('Inputs &amp; Assumptions'!$D$70:$D$98,'Inputs &amp; Assumptions'!$D$123+7+1),0)</f>
        <v>456138.635192739</v>
      </c>
      <c r="L27" s="39" t="n">
        <f aca="false">IF(('Inputs &amp; Assumptions'!$D$123+8)&lt;='Inputs &amp; Assumptions'!$C$13,INDEX('Inputs &amp; Assumptions'!$D$70:$D$98,'Inputs &amp; Assumptions'!$D$123+8+1),0)</f>
        <v>442454.476136957</v>
      </c>
      <c r="M27" s="39" t="n">
        <f aca="false">IF(('Inputs &amp; Assumptions'!$D$123+9)&lt;='Inputs &amp; Assumptions'!$C$13,INDEX('Inputs &amp; Assumptions'!$D$70:$D$98,'Inputs &amp; Assumptions'!$D$123+9+1),0)</f>
        <v>429180.841852848</v>
      </c>
      <c r="N27" s="39" t="n">
        <f aca="false">IF(('Inputs &amp; Assumptions'!$D$123+10)&lt;='Inputs &amp; Assumptions'!$C$13,INDEX('Inputs &amp; Assumptions'!$D$70:$D$98,'Inputs &amp; Assumptions'!$D$123+10+1),0)</f>
        <v>416305.416597263</v>
      </c>
      <c r="O27" s="39" t="n">
        <f aca="false">IF(('Inputs &amp; Assumptions'!$D$123+11)&lt;='Inputs &amp; Assumptions'!$C$13,INDEX('Inputs &amp; Assumptions'!$D$70:$D$98,'Inputs &amp; Assumptions'!$D$123+11+1),0)</f>
        <v>403816.254099345</v>
      </c>
      <c r="P27" s="39" t="n">
        <f aca="false">IF(('Inputs &amp; Assumptions'!$D$123+12)&lt;='Inputs &amp; Assumptions'!$C$13,INDEX('Inputs &amp; Assumptions'!$D$70:$D$98,'Inputs &amp; Assumptions'!$D$123+12+1),0)</f>
        <v>391701.766476365</v>
      </c>
      <c r="Q27" s="39" t="n">
        <f aca="false">IF(('Inputs &amp; Assumptions'!$D$123+13)&lt;='Inputs &amp; Assumptions'!$C$13,INDEX('Inputs &amp; Assumptions'!$D$70:$D$98,'Inputs &amp; Assumptions'!$D$123+13+1),0)</f>
        <v>379950.713482074</v>
      </c>
      <c r="R27" s="39" t="n">
        <f aca="false">IF(('Inputs &amp; Assumptions'!$D$123+14)&lt;='Inputs &amp; Assumptions'!$C$13,INDEX('Inputs &amp; Assumptions'!$D$70:$D$98,'Inputs &amp; Assumptions'!$D$123+14+1),0)</f>
        <v>368552.192077611</v>
      </c>
      <c r="S27" s="39" t="n">
        <f aca="false">IF(('Inputs &amp; Assumptions'!$D$123+15)&lt;='Inputs &amp; Assumptions'!$C$13,INDEX('Inputs &amp; Assumptions'!$D$70:$D$98,'Inputs &amp; Assumptions'!$D$123+15+1),0)</f>
        <v>357495.626315283</v>
      </c>
      <c r="T27" s="39" t="n">
        <f aca="false">IF(('Inputs &amp; Assumptions'!$D$123+16)&lt;='Inputs &amp; Assumptions'!$C$13,INDEX('Inputs &amp; Assumptions'!$D$70:$D$98,'Inputs &amp; Assumptions'!$D$123+16+1),0)</f>
        <v>346770.757525825</v>
      </c>
      <c r="U27" s="39" t="n">
        <f aca="false">IF(('Inputs &amp; Assumptions'!$D$123+17)&lt;='Inputs &amp; Assumptions'!$C$13,INDEX('Inputs &amp; Assumptions'!$D$70:$D$98,'Inputs &amp; Assumptions'!$D$123+17+1),0)</f>
        <v>336367.63480005</v>
      </c>
      <c r="V27" s="39" t="n">
        <f aca="false">IF(('Inputs &amp; Assumptions'!$D$123+18)&lt;='Inputs &amp; Assumptions'!$C$13,INDEX('Inputs &amp; Assumptions'!$D$70:$D$98,'Inputs &amp; Assumptions'!$D$123+18+1),0)</f>
        <v>326276.605756048</v>
      </c>
      <c r="W27" s="39" t="n">
        <f aca="false">IF(('Inputs &amp; Assumptions'!$D$123+19)&lt;='Inputs &amp; Assumptions'!$C$13,INDEX('Inputs &amp; Assumptions'!$D$70:$D$98,'Inputs &amp; Assumptions'!$D$123+19+1),0)</f>
        <v>316488.307583367</v>
      </c>
      <c r="X27" s="39" t="n">
        <f aca="false">IF(('Inputs &amp; Assumptions'!$D$123+20)&lt;='Inputs &amp; Assumptions'!$C$13,INDEX('Inputs &amp; Assumptions'!$D$70:$D$98,'Inputs &amp; Assumptions'!$D$123+20+1),0)</f>
        <v>306993.658355866</v>
      </c>
      <c r="Y27" s="39" t="n">
        <f aca="false">IF(('Inputs &amp; Assumptions'!$D$123+21)&lt;='Inputs &amp; Assumptions'!$C$13,INDEX('Inputs &amp; Assumptions'!$D$70:$D$98,'Inputs &amp; Assumptions'!$D$123+21+1),0)</f>
        <v>9926128.28683967</v>
      </c>
      <c r="Z27" s="39" t="n">
        <f aca="false">IF(('Inputs &amp; Assumptions'!$D$123+22)&lt;='Inputs &amp; Assumptions'!$C$13,INDEX('Inputs &amp; Assumptions'!$D$70:$D$98,'Inputs &amp; Assumptions'!$D$123+22+1),0)</f>
        <v>0</v>
      </c>
      <c r="AA27" s="39" t="n">
        <f aca="false">IF(('Inputs &amp; Assumptions'!$D$123+23)&lt;='Inputs &amp; Assumptions'!$C$13,INDEX('Inputs &amp; Assumptions'!$D$70:$D$98,'Inputs &amp; Assumptions'!$D$123+23+1),0)</f>
        <v>0</v>
      </c>
      <c r="AB27" s="39" t="n">
        <f aca="false">IF(('Inputs &amp; Assumptions'!$D$123+24)&lt;='Inputs &amp; Assumptions'!$C$13,INDEX('Inputs &amp; Assumptions'!$D$70:$D$98,'Inputs &amp; Assumptions'!$D$123+24+1),0)</f>
        <v>0</v>
      </c>
      <c r="AC27" s="39" t="n">
        <f aca="false">IF(('Inputs &amp; Assumptions'!$D$123+25)&lt;='Inputs &amp; Assumptions'!$C$13,INDEX('Inputs &amp; Assumptions'!$D$70:$D$98,'Inputs &amp; Assumptions'!$D$123+25+1),0)</f>
        <v>0</v>
      </c>
      <c r="AD27" s="39" t="n">
        <f aca="false">IF(('Inputs &amp; Assumptions'!$D$123+26)&lt;='Inputs &amp; Assumptions'!$C$13,INDEX('Inputs &amp; Assumptions'!$D$70:$D$98,'Inputs &amp; Assumptions'!$D$123+26+1),0)</f>
        <v>0</v>
      </c>
      <c r="AE27" s="39" t="n">
        <f aca="false">IF(('Inputs &amp; Assumptions'!$D$123+27)&lt;='Inputs &amp; Assumptions'!$C$13,INDEX('Inputs &amp; Assumptions'!$D$70:$D$98,'Inputs &amp; Assumptions'!$D$123+27+1),0)</f>
        <v>0</v>
      </c>
      <c r="AF27" s="39" t="n">
        <f aca="false">IF(('Inputs &amp; Assumptions'!$D$123+28)&lt;='Inputs &amp; Assumptions'!$C$13,INDEX('Inputs &amp; Assumptions'!$D$70:$D$98,'Inputs &amp; Assumptions'!$D$123+28+1),0)</f>
        <v>0</v>
      </c>
      <c r="AG27" s="39" t="n">
        <f aca="false">IF(('Inputs &amp; Assumptions'!$D$123+29)&lt;='Inputs &amp; Assumptions'!$C$13,INDEX('Inputs &amp; Assumptions'!$D$70:$D$98,'Inputs &amp; Assumptions'!$D$123+29+1),0)</f>
        <v>0</v>
      </c>
      <c r="AH27" s="39" t="n">
        <f aca="false">IF(('Inputs &amp; Assumptions'!$D$123+30)&lt;='Inputs &amp; Assumptions'!$C$13,INDEX('Inputs &amp; Assumptions'!$D$70:$D$98,'Inputs &amp; Assumptions'!$D$123+30+1),0)</f>
        <v>0</v>
      </c>
      <c r="AI27" s="39" t="n">
        <f aca="false">IF(('Inputs &amp; Assumptions'!$D$123+31)&lt;='Inputs &amp; Assumptions'!$C$13,INDEX('Inputs &amp; Assumptions'!$D$70:$D$98,'Inputs &amp; Assumptions'!$D$123+31+1),0)</f>
        <v>0</v>
      </c>
      <c r="AJ27" s="39" t="n">
        <f aca="false">IF(('Inputs &amp; Assumptions'!$D$123+32)&lt;='Inputs &amp; Assumptions'!$C$13,INDEX('Inputs &amp; Assumptions'!$D$70:$D$98,'Inputs &amp; Assumptions'!$D$123+32+1),0)</f>
        <v>0</v>
      </c>
      <c r="AK27" s="39" t="n">
        <f aca="false">IF(('Inputs &amp; Assumptions'!$D$123+33)&lt;='Inputs &amp; Assumptions'!$C$13,INDEX('Inputs &amp; Assumptions'!$D$70:$D$98,'Inputs &amp; Assumptions'!$D$123+33+1),0)</f>
        <v>0</v>
      </c>
      <c r="AL27" s="39" t="n">
        <f aca="false">IF(('Inputs &amp; Assumptions'!$D$123+34)&lt;='Inputs &amp; Assumptions'!$C$13,INDEX('Inputs &amp; Assumptions'!$D$70:$D$98,'Inputs &amp; Assumptions'!$D$123+34+1),0)</f>
        <v>0</v>
      </c>
      <c r="AM27" s="39" t="n">
        <f aca="false">IF(('Inputs &amp; Assumptions'!$D$123+35)&lt;='Inputs &amp; Assumptions'!$C$13,INDEX('Inputs &amp; Assumptions'!$D$70:$D$98,'Inputs &amp; Assumptions'!$D$123+35+1),0)</f>
        <v>0</v>
      </c>
      <c r="AN27" s="39" t="n">
        <f aca="false">IF(('Inputs &amp; Assumptions'!$D$123+36)&lt;='Inputs &amp; Assumptions'!$C$13,INDEX('Inputs &amp; Assumptions'!$D$70:$D$98,'Inputs &amp; Assumptions'!$D$123+36+1),0)</f>
        <v>0</v>
      </c>
    </row>
    <row r="28" customFormat="false" ht="15" hidden="false" customHeight="false" outlineLevel="0" collapsed="false">
      <c r="B28" s="38" t="n">
        <f aca="false">'Inputs &amp; Assumptions'!$B$124</f>
        <v>23</v>
      </c>
      <c r="E28" s="39" t="n">
        <f aca="false">IF(('Inputs &amp; Assumptions'!$D$124+1)&lt;='Inputs &amp; Assumptions'!$C$13,INDEX('Inputs &amp; Assumptions'!$D$70:$D$98,'Inputs &amp; Assumptions'!$D$124+1+1),0)</f>
        <v>531175.686</v>
      </c>
      <c r="F28" s="39" t="n">
        <f aca="false">IF(('Inputs &amp; Assumptions'!$D$124+2)&lt;='Inputs &amp; Assumptions'!$C$13,INDEX('Inputs &amp; Assumptions'!$D$70:$D$98,'Inputs &amp; Assumptions'!$D$124+2+1),0)</f>
        <v>515240.41542</v>
      </c>
      <c r="G28" s="39" t="n">
        <f aca="false">IF(('Inputs &amp; Assumptions'!$D$124+3)&lt;='Inputs &amp; Assumptions'!$C$13,INDEX('Inputs &amp; Assumptions'!$D$70:$D$98,'Inputs &amp; Assumptions'!$D$124+3+1),0)</f>
        <v>499783.2029574</v>
      </c>
      <c r="H28" s="39" t="n">
        <f aca="false">IF(('Inputs &amp; Assumptions'!$D$124+4)&lt;='Inputs &amp; Assumptions'!$C$13,INDEX('Inputs &amp; Assumptions'!$D$70:$D$98,'Inputs &amp; Assumptions'!$D$124+4+1),0)</f>
        <v>484789.706868678</v>
      </c>
      <c r="I28" s="39" t="n">
        <f aca="false">IF(('Inputs &amp; Assumptions'!$D$124+5)&lt;='Inputs &amp; Assumptions'!$C$13,INDEX('Inputs &amp; Assumptions'!$D$70:$D$98,'Inputs &amp; Assumptions'!$D$124+5+1),0)</f>
        <v>470246.015662618</v>
      </c>
      <c r="J28" s="39" t="n">
        <f aca="false">IF(('Inputs &amp; Assumptions'!$D$124+6)&lt;='Inputs &amp; Assumptions'!$C$13,INDEX('Inputs &amp; Assumptions'!$D$70:$D$98,'Inputs &amp; Assumptions'!$D$124+6+1),0)</f>
        <v>456138.635192739</v>
      </c>
      <c r="K28" s="39" t="n">
        <f aca="false">IF(('Inputs &amp; Assumptions'!$D$124+7)&lt;='Inputs &amp; Assumptions'!$C$13,INDEX('Inputs &amp; Assumptions'!$D$70:$D$98,'Inputs &amp; Assumptions'!$D$124+7+1),0)</f>
        <v>442454.476136957</v>
      </c>
      <c r="L28" s="39" t="n">
        <f aca="false">IF(('Inputs &amp; Assumptions'!$D$124+8)&lt;='Inputs &amp; Assumptions'!$C$13,INDEX('Inputs &amp; Assumptions'!$D$70:$D$98,'Inputs &amp; Assumptions'!$D$124+8+1),0)</f>
        <v>429180.841852848</v>
      </c>
      <c r="M28" s="39" t="n">
        <f aca="false">IF(('Inputs &amp; Assumptions'!$D$124+9)&lt;='Inputs &amp; Assumptions'!$C$13,INDEX('Inputs &amp; Assumptions'!$D$70:$D$98,'Inputs &amp; Assumptions'!$D$124+9+1),0)</f>
        <v>416305.416597263</v>
      </c>
      <c r="N28" s="39" t="n">
        <f aca="false">IF(('Inputs &amp; Assumptions'!$D$124+10)&lt;='Inputs &amp; Assumptions'!$C$13,INDEX('Inputs &amp; Assumptions'!$D$70:$D$98,'Inputs &amp; Assumptions'!$D$124+10+1),0)</f>
        <v>403816.254099345</v>
      </c>
      <c r="O28" s="39" t="n">
        <f aca="false">IF(('Inputs &amp; Assumptions'!$D$124+11)&lt;='Inputs &amp; Assumptions'!$C$13,INDEX('Inputs &amp; Assumptions'!$D$70:$D$98,'Inputs &amp; Assumptions'!$D$124+11+1),0)</f>
        <v>391701.766476365</v>
      </c>
      <c r="P28" s="39" t="n">
        <f aca="false">IF(('Inputs &amp; Assumptions'!$D$124+12)&lt;='Inputs &amp; Assumptions'!$C$13,INDEX('Inputs &amp; Assumptions'!$D$70:$D$98,'Inputs &amp; Assumptions'!$D$124+12+1),0)</f>
        <v>379950.713482074</v>
      </c>
      <c r="Q28" s="39" t="n">
        <f aca="false">IF(('Inputs &amp; Assumptions'!$D$124+13)&lt;='Inputs &amp; Assumptions'!$C$13,INDEX('Inputs &amp; Assumptions'!$D$70:$D$98,'Inputs &amp; Assumptions'!$D$124+13+1),0)</f>
        <v>368552.192077611</v>
      </c>
      <c r="R28" s="39" t="n">
        <f aca="false">IF(('Inputs &amp; Assumptions'!$D$124+14)&lt;='Inputs &amp; Assumptions'!$C$13,INDEX('Inputs &amp; Assumptions'!$D$70:$D$98,'Inputs &amp; Assumptions'!$D$124+14+1),0)</f>
        <v>357495.626315283</v>
      </c>
      <c r="S28" s="39" t="n">
        <f aca="false">IF(('Inputs &amp; Assumptions'!$D$124+15)&lt;='Inputs &amp; Assumptions'!$C$13,INDEX('Inputs &amp; Assumptions'!$D$70:$D$98,'Inputs &amp; Assumptions'!$D$124+15+1),0)</f>
        <v>346770.757525825</v>
      </c>
      <c r="T28" s="39" t="n">
        <f aca="false">IF(('Inputs &amp; Assumptions'!$D$124+16)&lt;='Inputs &amp; Assumptions'!$C$13,INDEX('Inputs &amp; Assumptions'!$D$70:$D$98,'Inputs &amp; Assumptions'!$D$124+16+1),0)</f>
        <v>336367.63480005</v>
      </c>
      <c r="U28" s="39" t="n">
        <f aca="false">IF(('Inputs &amp; Assumptions'!$D$124+17)&lt;='Inputs &amp; Assumptions'!$C$13,INDEX('Inputs &amp; Assumptions'!$D$70:$D$98,'Inputs &amp; Assumptions'!$D$124+17+1),0)</f>
        <v>326276.605756048</v>
      </c>
      <c r="V28" s="39" t="n">
        <f aca="false">IF(('Inputs &amp; Assumptions'!$D$124+18)&lt;='Inputs &amp; Assumptions'!$C$13,INDEX('Inputs &amp; Assumptions'!$D$70:$D$98,'Inputs &amp; Assumptions'!$D$124+18+1),0)</f>
        <v>316488.307583367</v>
      </c>
      <c r="W28" s="39" t="n">
        <f aca="false">IF(('Inputs &amp; Assumptions'!$D$124+19)&lt;='Inputs &amp; Assumptions'!$C$13,INDEX('Inputs &amp; Assumptions'!$D$70:$D$98,'Inputs &amp; Assumptions'!$D$124+19+1),0)</f>
        <v>306993.658355866</v>
      </c>
      <c r="X28" s="39" t="n">
        <f aca="false">IF(('Inputs &amp; Assumptions'!$D$124+20)&lt;='Inputs &amp; Assumptions'!$C$13,INDEX('Inputs &amp; Assumptions'!$D$70:$D$98,'Inputs &amp; Assumptions'!$D$124+20+1),0)</f>
        <v>9926128.28683967</v>
      </c>
      <c r="Y28" s="39" t="n">
        <f aca="false">IF(('Inputs &amp; Assumptions'!$D$124+21)&lt;='Inputs &amp; Assumptions'!$C$13,INDEX('Inputs &amp; Assumptions'!$D$70:$D$98,'Inputs &amp; Assumptions'!$D$124+21+1),0)</f>
        <v>0</v>
      </c>
      <c r="Z28" s="39" t="n">
        <f aca="false">IF(('Inputs &amp; Assumptions'!$D$124+22)&lt;='Inputs &amp; Assumptions'!$C$13,INDEX('Inputs &amp; Assumptions'!$D$70:$D$98,'Inputs &amp; Assumptions'!$D$124+22+1),0)</f>
        <v>0</v>
      </c>
      <c r="AA28" s="39" t="n">
        <f aca="false">IF(('Inputs &amp; Assumptions'!$D$124+23)&lt;='Inputs &amp; Assumptions'!$C$13,INDEX('Inputs &amp; Assumptions'!$D$70:$D$98,'Inputs &amp; Assumptions'!$D$124+23+1),0)</f>
        <v>0</v>
      </c>
      <c r="AB28" s="39" t="n">
        <f aca="false">IF(('Inputs &amp; Assumptions'!$D$124+24)&lt;='Inputs &amp; Assumptions'!$C$13,INDEX('Inputs &amp; Assumptions'!$D$70:$D$98,'Inputs &amp; Assumptions'!$D$124+24+1),0)</f>
        <v>0</v>
      </c>
      <c r="AC28" s="39" t="n">
        <f aca="false">IF(('Inputs &amp; Assumptions'!$D$124+25)&lt;='Inputs &amp; Assumptions'!$C$13,INDEX('Inputs &amp; Assumptions'!$D$70:$D$98,'Inputs &amp; Assumptions'!$D$124+25+1),0)</f>
        <v>0</v>
      </c>
      <c r="AD28" s="39" t="n">
        <f aca="false">IF(('Inputs &amp; Assumptions'!$D$124+26)&lt;='Inputs &amp; Assumptions'!$C$13,INDEX('Inputs &amp; Assumptions'!$D$70:$D$98,'Inputs &amp; Assumptions'!$D$124+26+1),0)</f>
        <v>0</v>
      </c>
      <c r="AE28" s="39" t="n">
        <f aca="false">IF(('Inputs &amp; Assumptions'!$D$124+27)&lt;='Inputs &amp; Assumptions'!$C$13,INDEX('Inputs &amp; Assumptions'!$D$70:$D$98,'Inputs &amp; Assumptions'!$D$124+27+1),0)</f>
        <v>0</v>
      </c>
      <c r="AF28" s="39" t="n">
        <f aca="false">IF(('Inputs &amp; Assumptions'!$D$124+28)&lt;='Inputs &amp; Assumptions'!$C$13,INDEX('Inputs &amp; Assumptions'!$D$70:$D$98,'Inputs &amp; Assumptions'!$D$124+28+1),0)</f>
        <v>0</v>
      </c>
      <c r="AG28" s="39" t="n">
        <f aca="false">IF(('Inputs &amp; Assumptions'!$D$124+29)&lt;='Inputs &amp; Assumptions'!$C$13,INDEX('Inputs &amp; Assumptions'!$D$70:$D$98,'Inputs &amp; Assumptions'!$D$124+29+1),0)</f>
        <v>0</v>
      </c>
      <c r="AH28" s="39" t="n">
        <f aca="false">IF(('Inputs &amp; Assumptions'!$D$124+30)&lt;='Inputs &amp; Assumptions'!$C$13,INDEX('Inputs &amp; Assumptions'!$D$70:$D$98,'Inputs &amp; Assumptions'!$D$124+30+1),0)</f>
        <v>0</v>
      </c>
      <c r="AI28" s="39" t="n">
        <f aca="false">IF(('Inputs &amp; Assumptions'!$D$124+31)&lt;='Inputs &amp; Assumptions'!$C$13,INDEX('Inputs &amp; Assumptions'!$D$70:$D$98,'Inputs &amp; Assumptions'!$D$124+31+1),0)</f>
        <v>0</v>
      </c>
      <c r="AJ28" s="39" t="n">
        <f aca="false">IF(('Inputs &amp; Assumptions'!$D$124+32)&lt;='Inputs &amp; Assumptions'!$C$13,INDEX('Inputs &amp; Assumptions'!$D$70:$D$98,'Inputs &amp; Assumptions'!$D$124+32+1),0)</f>
        <v>0</v>
      </c>
      <c r="AK28" s="39" t="n">
        <f aca="false">IF(('Inputs &amp; Assumptions'!$D$124+33)&lt;='Inputs &amp; Assumptions'!$C$13,INDEX('Inputs &amp; Assumptions'!$D$70:$D$98,'Inputs &amp; Assumptions'!$D$124+33+1),0)</f>
        <v>0</v>
      </c>
      <c r="AL28" s="39" t="n">
        <f aca="false">IF(('Inputs &amp; Assumptions'!$D$124+34)&lt;='Inputs &amp; Assumptions'!$C$13,INDEX('Inputs &amp; Assumptions'!$D$70:$D$98,'Inputs &amp; Assumptions'!$D$124+34+1),0)</f>
        <v>0</v>
      </c>
      <c r="AM28" s="39" t="n">
        <f aca="false">IF(('Inputs &amp; Assumptions'!$D$124+35)&lt;='Inputs &amp; Assumptions'!$C$13,INDEX('Inputs &amp; Assumptions'!$D$70:$D$98,'Inputs &amp; Assumptions'!$D$124+35+1),0)</f>
        <v>0</v>
      </c>
      <c r="AN28" s="39" t="n">
        <f aca="false">IF(('Inputs &amp; Assumptions'!$D$124+36)&lt;='Inputs &amp; Assumptions'!$C$13,INDEX('Inputs &amp; Assumptions'!$D$70:$D$98,'Inputs &amp; Assumptions'!$D$124+36+1),0)</f>
        <v>0</v>
      </c>
    </row>
    <row r="29" customFormat="false" ht="15" hidden="false" customHeight="false" outlineLevel="0" collapsed="false">
      <c r="B29" s="38" t="n">
        <f aca="false">'Inputs &amp; Assumptions'!$B$125</f>
        <v>24</v>
      </c>
      <c r="E29" s="39" t="n">
        <f aca="false">IF(('Inputs &amp; Assumptions'!$D$125+1)&lt;='Inputs &amp; Assumptions'!$C$13,INDEX('Inputs &amp; Assumptions'!$D$70:$D$98,'Inputs &amp; Assumptions'!$D$125+1+1),0)</f>
        <v>531175.686</v>
      </c>
      <c r="F29" s="39" t="n">
        <f aca="false">IF(('Inputs &amp; Assumptions'!$D$125+2)&lt;='Inputs &amp; Assumptions'!$C$13,INDEX('Inputs &amp; Assumptions'!$D$70:$D$98,'Inputs &amp; Assumptions'!$D$125+2+1),0)</f>
        <v>515240.41542</v>
      </c>
      <c r="G29" s="39" t="n">
        <f aca="false">IF(('Inputs &amp; Assumptions'!$D$125+3)&lt;='Inputs &amp; Assumptions'!$C$13,INDEX('Inputs &amp; Assumptions'!$D$70:$D$98,'Inputs &amp; Assumptions'!$D$125+3+1),0)</f>
        <v>499783.2029574</v>
      </c>
      <c r="H29" s="39" t="n">
        <f aca="false">IF(('Inputs &amp; Assumptions'!$D$125+4)&lt;='Inputs &amp; Assumptions'!$C$13,INDEX('Inputs &amp; Assumptions'!$D$70:$D$98,'Inputs &amp; Assumptions'!$D$125+4+1),0)</f>
        <v>484789.706868678</v>
      </c>
      <c r="I29" s="39" t="n">
        <f aca="false">IF(('Inputs &amp; Assumptions'!$D$125+5)&lt;='Inputs &amp; Assumptions'!$C$13,INDEX('Inputs &amp; Assumptions'!$D$70:$D$98,'Inputs &amp; Assumptions'!$D$125+5+1),0)</f>
        <v>470246.015662618</v>
      </c>
      <c r="J29" s="39" t="n">
        <f aca="false">IF(('Inputs &amp; Assumptions'!$D$125+6)&lt;='Inputs &amp; Assumptions'!$C$13,INDEX('Inputs &amp; Assumptions'!$D$70:$D$98,'Inputs &amp; Assumptions'!$D$125+6+1),0)</f>
        <v>456138.635192739</v>
      </c>
      <c r="K29" s="39" t="n">
        <f aca="false">IF(('Inputs &amp; Assumptions'!$D$125+7)&lt;='Inputs &amp; Assumptions'!$C$13,INDEX('Inputs &amp; Assumptions'!$D$70:$D$98,'Inputs &amp; Assumptions'!$D$125+7+1),0)</f>
        <v>442454.476136957</v>
      </c>
      <c r="L29" s="39" t="n">
        <f aca="false">IF(('Inputs &amp; Assumptions'!$D$125+8)&lt;='Inputs &amp; Assumptions'!$C$13,INDEX('Inputs &amp; Assumptions'!$D$70:$D$98,'Inputs &amp; Assumptions'!$D$125+8+1),0)</f>
        <v>429180.841852848</v>
      </c>
      <c r="M29" s="39" t="n">
        <f aca="false">IF(('Inputs &amp; Assumptions'!$D$125+9)&lt;='Inputs &amp; Assumptions'!$C$13,INDEX('Inputs &amp; Assumptions'!$D$70:$D$98,'Inputs &amp; Assumptions'!$D$125+9+1),0)</f>
        <v>416305.416597263</v>
      </c>
      <c r="N29" s="39" t="n">
        <f aca="false">IF(('Inputs &amp; Assumptions'!$D$125+10)&lt;='Inputs &amp; Assumptions'!$C$13,INDEX('Inputs &amp; Assumptions'!$D$70:$D$98,'Inputs &amp; Assumptions'!$D$125+10+1),0)</f>
        <v>403816.254099345</v>
      </c>
      <c r="O29" s="39" t="n">
        <f aca="false">IF(('Inputs &amp; Assumptions'!$D$125+11)&lt;='Inputs &amp; Assumptions'!$C$13,INDEX('Inputs &amp; Assumptions'!$D$70:$D$98,'Inputs &amp; Assumptions'!$D$125+11+1),0)</f>
        <v>391701.766476365</v>
      </c>
      <c r="P29" s="39" t="n">
        <f aca="false">IF(('Inputs &amp; Assumptions'!$D$125+12)&lt;='Inputs &amp; Assumptions'!$C$13,INDEX('Inputs &amp; Assumptions'!$D$70:$D$98,'Inputs &amp; Assumptions'!$D$125+12+1),0)</f>
        <v>379950.713482074</v>
      </c>
      <c r="Q29" s="39" t="n">
        <f aca="false">IF(('Inputs &amp; Assumptions'!$D$125+13)&lt;='Inputs &amp; Assumptions'!$C$13,INDEX('Inputs &amp; Assumptions'!$D$70:$D$98,'Inputs &amp; Assumptions'!$D$125+13+1),0)</f>
        <v>368552.192077611</v>
      </c>
      <c r="R29" s="39" t="n">
        <f aca="false">IF(('Inputs &amp; Assumptions'!$D$125+14)&lt;='Inputs &amp; Assumptions'!$C$13,INDEX('Inputs &amp; Assumptions'!$D$70:$D$98,'Inputs &amp; Assumptions'!$D$125+14+1),0)</f>
        <v>357495.626315283</v>
      </c>
      <c r="S29" s="39" t="n">
        <f aca="false">IF(('Inputs &amp; Assumptions'!$D$125+15)&lt;='Inputs &amp; Assumptions'!$C$13,INDEX('Inputs &amp; Assumptions'!$D$70:$D$98,'Inputs &amp; Assumptions'!$D$125+15+1),0)</f>
        <v>346770.757525825</v>
      </c>
      <c r="T29" s="39" t="n">
        <f aca="false">IF(('Inputs &amp; Assumptions'!$D$125+16)&lt;='Inputs &amp; Assumptions'!$C$13,INDEX('Inputs &amp; Assumptions'!$D$70:$D$98,'Inputs &amp; Assumptions'!$D$125+16+1),0)</f>
        <v>336367.63480005</v>
      </c>
      <c r="U29" s="39" t="n">
        <f aca="false">IF(('Inputs &amp; Assumptions'!$D$125+17)&lt;='Inputs &amp; Assumptions'!$C$13,INDEX('Inputs &amp; Assumptions'!$D$70:$D$98,'Inputs &amp; Assumptions'!$D$125+17+1),0)</f>
        <v>326276.605756048</v>
      </c>
      <c r="V29" s="39" t="n">
        <f aca="false">IF(('Inputs &amp; Assumptions'!$D$125+18)&lt;='Inputs &amp; Assumptions'!$C$13,INDEX('Inputs &amp; Assumptions'!$D$70:$D$98,'Inputs &amp; Assumptions'!$D$125+18+1),0)</f>
        <v>316488.307583367</v>
      </c>
      <c r="W29" s="39" t="n">
        <f aca="false">IF(('Inputs &amp; Assumptions'!$D$125+19)&lt;='Inputs &amp; Assumptions'!$C$13,INDEX('Inputs &amp; Assumptions'!$D$70:$D$98,'Inputs &amp; Assumptions'!$D$125+19+1),0)</f>
        <v>306993.658355866</v>
      </c>
      <c r="X29" s="39" t="n">
        <f aca="false">IF(('Inputs &amp; Assumptions'!$D$125+20)&lt;='Inputs &amp; Assumptions'!$C$13,INDEX('Inputs &amp; Assumptions'!$D$70:$D$98,'Inputs &amp; Assumptions'!$D$125+20+1),0)</f>
        <v>9926128.28683967</v>
      </c>
      <c r="Y29" s="39" t="n">
        <f aca="false">IF(('Inputs &amp; Assumptions'!$D$125+21)&lt;='Inputs &amp; Assumptions'!$C$13,INDEX('Inputs &amp; Assumptions'!$D$70:$D$98,'Inputs &amp; Assumptions'!$D$125+21+1),0)</f>
        <v>0</v>
      </c>
      <c r="Z29" s="39" t="n">
        <f aca="false">IF(('Inputs &amp; Assumptions'!$D$125+22)&lt;='Inputs &amp; Assumptions'!$C$13,INDEX('Inputs &amp; Assumptions'!$D$70:$D$98,'Inputs &amp; Assumptions'!$D$125+22+1),0)</f>
        <v>0</v>
      </c>
      <c r="AA29" s="39" t="n">
        <f aca="false">IF(('Inputs &amp; Assumptions'!$D$125+23)&lt;='Inputs &amp; Assumptions'!$C$13,INDEX('Inputs &amp; Assumptions'!$D$70:$D$98,'Inputs &amp; Assumptions'!$D$125+23+1),0)</f>
        <v>0</v>
      </c>
      <c r="AB29" s="39" t="n">
        <f aca="false">IF(('Inputs &amp; Assumptions'!$D$125+24)&lt;='Inputs &amp; Assumptions'!$C$13,INDEX('Inputs &amp; Assumptions'!$D$70:$D$98,'Inputs &amp; Assumptions'!$D$125+24+1),0)</f>
        <v>0</v>
      </c>
      <c r="AC29" s="39" t="n">
        <f aca="false">IF(('Inputs &amp; Assumptions'!$D$125+25)&lt;='Inputs &amp; Assumptions'!$C$13,INDEX('Inputs &amp; Assumptions'!$D$70:$D$98,'Inputs &amp; Assumptions'!$D$125+25+1),0)</f>
        <v>0</v>
      </c>
      <c r="AD29" s="39" t="n">
        <f aca="false">IF(('Inputs &amp; Assumptions'!$D$125+26)&lt;='Inputs &amp; Assumptions'!$C$13,INDEX('Inputs &amp; Assumptions'!$D$70:$D$98,'Inputs &amp; Assumptions'!$D$125+26+1),0)</f>
        <v>0</v>
      </c>
      <c r="AE29" s="39" t="n">
        <f aca="false">IF(('Inputs &amp; Assumptions'!$D$125+27)&lt;='Inputs &amp; Assumptions'!$C$13,INDEX('Inputs &amp; Assumptions'!$D$70:$D$98,'Inputs &amp; Assumptions'!$D$125+27+1),0)</f>
        <v>0</v>
      </c>
      <c r="AF29" s="39" t="n">
        <f aca="false">IF(('Inputs &amp; Assumptions'!$D$125+28)&lt;='Inputs &amp; Assumptions'!$C$13,INDEX('Inputs &amp; Assumptions'!$D$70:$D$98,'Inputs &amp; Assumptions'!$D$125+28+1),0)</f>
        <v>0</v>
      </c>
      <c r="AG29" s="39" t="n">
        <f aca="false">IF(('Inputs &amp; Assumptions'!$D$125+29)&lt;='Inputs &amp; Assumptions'!$C$13,INDEX('Inputs &amp; Assumptions'!$D$70:$D$98,'Inputs &amp; Assumptions'!$D$125+29+1),0)</f>
        <v>0</v>
      </c>
      <c r="AH29" s="39" t="n">
        <f aca="false">IF(('Inputs &amp; Assumptions'!$D$125+30)&lt;='Inputs &amp; Assumptions'!$C$13,INDEX('Inputs &amp; Assumptions'!$D$70:$D$98,'Inputs &amp; Assumptions'!$D$125+30+1),0)</f>
        <v>0</v>
      </c>
      <c r="AI29" s="39" t="n">
        <f aca="false">IF(('Inputs &amp; Assumptions'!$D$125+31)&lt;='Inputs &amp; Assumptions'!$C$13,INDEX('Inputs &amp; Assumptions'!$D$70:$D$98,'Inputs &amp; Assumptions'!$D$125+31+1),0)</f>
        <v>0</v>
      </c>
      <c r="AJ29" s="39" t="n">
        <f aca="false">IF(('Inputs &amp; Assumptions'!$D$125+32)&lt;='Inputs &amp; Assumptions'!$C$13,INDEX('Inputs &amp; Assumptions'!$D$70:$D$98,'Inputs &amp; Assumptions'!$D$125+32+1),0)</f>
        <v>0</v>
      </c>
      <c r="AK29" s="39" t="n">
        <f aca="false">IF(('Inputs &amp; Assumptions'!$D$125+33)&lt;='Inputs &amp; Assumptions'!$C$13,INDEX('Inputs &amp; Assumptions'!$D$70:$D$98,'Inputs &amp; Assumptions'!$D$125+33+1),0)</f>
        <v>0</v>
      </c>
      <c r="AL29" s="39" t="n">
        <f aca="false">IF(('Inputs &amp; Assumptions'!$D$125+34)&lt;='Inputs &amp; Assumptions'!$C$13,INDEX('Inputs &amp; Assumptions'!$D$70:$D$98,'Inputs &amp; Assumptions'!$D$125+34+1),0)</f>
        <v>0</v>
      </c>
      <c r="AM29" s="39" t="n">
        <f aca="false">IF(('Inputs &amp; Assumptions'!$D$125+35)&lt;='Inputs &amp; Assumptions'!$C$13,INDEX('Inputs &amp; Assumptions'!$D$70:$D$98,'Inputs &amp; Assumptions'!$D$125+35+1),0)</f>
        <v>0</v>
      </c>
      <c r="AN29" s="39" t="n">
        <f aca="false">IF(('Inputs &amp; Assumptions'!$D$125+36)&lt;='Inputs &amp; Assumptions'!$C$13,INDEX('Inputs &amp; Assumptions'!$D$70:$D$98,'Inputs &amp; Assumptions'!$D$125+36+1),0)</f>
        <v>0</v>
      </c>
    </row>
    <row r="30" customFormat="false" ht="15" hidden="false" customHeight="false" outlineLevel="0" collapsed="false">
      <c r="B30" s="38" t="n">
        <f aca="false">'Inputs &amp; Assumptions'!$B$126</f>
        <v>25</v>
      </c>
      <c r="E30" s="39" t="n">
        <f aca="false">IF(('Inputs &amp; Assumptions'!$D$126+1)&lt;='Inputs &amp; Assumptions'!$C$13,INDEX('Inputs &amp; Assumptions'!$D$70:$D$98,'Inputs &amp; Assumptions'!$D$126+1+1),0)</f>
        <v>531175.686</v>
      </c>
      <c r="F30" s="39" t="n">
        <f aca="false">IF(('Inputs &amp; Assumptions'!$D$126+2)&lt;='Inputs &amp; Assumptions'!$C$13,INDEX('Inputs &amp; Assumptions'!$D$70:$D$98,'Inputs &amp; Assumptions'!$D$126+2+1),0)</f>
        <v>515240.41542</v>
      </c>
      <c r="G30" s="39" t="n">
        <f aca="false">IF(('Inputs &amp; Assumptions'!$D$126+3)&lt;='Inputs &amp; Assumptions'!$C$13,INDEX('Inputs &amp; Assumptions'!$D$70:$D$98,'Inputs &amp; Assumptions'!$D$126+3+1),0)</f>
        <v>499783.2029574</v>
      </c>
      <c r="H30" s="39" t="n">
        <f aca="false">IF(('Inputs &amp; Assumptions'!$D$126+4)&lt;='Inputs &amp; Assumptions'!$C$13,INDEX('Inputs &amp; Assumptions'!$D$70:$D$98,'Inputs &amp; Assumptions'!$D$126+4+1),0)</f>
        <v>484789.706868678</v>
      </c>
      <c r="I30" s="39" t="n">
        <f aca="false">IF(('Inputs &amp; Assumptions'!$D$126+5)&lt;='Inputs &amp; Assumptions'!$C$13,INDEX('Inputs &amp; Assumptions'!$D$70:$D$98,'Inputs &amp; Assumptions'!$D$126+5+1),0)</f>
        <v>470246.015662618</v>
      </c>
      <c r="J30" s="39" t="n">
        <f aca="false">IF(('Inputs &amp; Assumptions'!$D$126+6)&lt;='Inputs &amp; Assumptions'!$C$13,INDEX('Inputs &amp; Assumptions'!$D$70:$D$98,'Inputs &amp; Assumptions'!$D$126+6+1),0)</f>
        <v>456138.635192739</v>
      </c>
      <c r="K30" s="39" t="n">
        <f aca="false">IF(('Inputs &amp; Assumptions'!$D$126+7)&lt;='Inputs &amp; Assumptions'!$C$13,INDEX('Inputs &amp; Assumptions'!$D$70:$D$98,'Inputs &amp; Assumptions'!$D$126+7+1),0)</f>
        <v>442454.476136957</v>
      </c>
      <c r="L30" s="39" t="n">
        <f aca="false">IF(('Inputs &amp; Assumptions'!$D$126+8)&lt;='Inputs &amp; Assumptions'!$C$13,INDEX('Inputs &amp; Assumptions'!$D$70:$D$98,'Inputs &amp; Assumptions'!$D$126+8+1),0)</f>
        <v>429180.841852848</v>
      </c>
      <c r="M30" s="39" t="n">
        <f aca="false">IF(('Inputs &amp; Assumptions'!$D$126+9)&lt;='Inputs &amp; Assumptions'!$C$13,INDEX('Inputs &amp; Assumptions'!$D$70:$D$98,'Inputs &amp; Assumptions'!$D$126+9+1),0)</f>
        <v>416305.416597263</v>
      </c>
      <c r="N30" s="39" t="n">
        <f aca="false">IF(('Inputs &amp; Assumptions'!$D$126+10)&lt;='Inputs &amp; Assumptions'!$C$13,INDEX('Inputs &amp; Assumptions'!$D$70:$D$98,'Inputs &amp; Assumptions'!$D$126+10+1),0)</f>
        <v>403816.254099345</v>
      </c>
      <c r="O30" s="39" t="n">
        <f aca="false">IF(('Inputs &amp; Assumptions'!$D$126+11)&lt;='Inputs &amp; Assumptions'!$C$13,INDEX('Inputs &amp; Assumptions'!$D$70:$D$98,'Inputs &amp; Assumptions'!$D$126+11+1),0)</f>
        <v>391701.766476365</v>
      </c>
      <c r="P30" s="39" t="n">
        <f aca="false">IF(('Inputs &amp; Assumptions'!$D$126+12)&lt;='Inputs &amp; Assumptions'!$C$13,INDEX('Inputs &amp; Assumptions'!$D$70:$D$98,'Inputs &amp; Assumptions'!$D$126+12+1),0)</f>
        <v>379950.713482074</v>
      </c>
      <c r="Q30" s="39" t="n">
        <f aca="false">IF(('Inputs &amp; Assumptions'!$D$126+13)&lt;='Inputs &amp; Assumptions'!$C$13,INDEX('Inputs &amp; Assumptions'!$D$70:$D$98,'Inputs &amp; Assumptions'!$D$126+13+1),0)</f>
        <v>368552.192077611</v>
      </c>
      <c r="R30" s="39" t="n">
        <f aca="false">IF(('Inputs &amp; Assumptions'!$D$126+14)&lt;='Inputs &amp; Assumptions'!$C$13,INDEX('Inputs &amp; Assumptions'!$D$70:$D$98,'Inputs &amp; Assumptions'!$D$126+14+1),0)</f>
        <v>357495.626315283</v>
      </c>
      <c r="S30" s="39" t="n">
        <f aca="false">IF(('Inputs &amp; Assumptions'!$D$126+15)&lt;='Inputs &amp; Assumptions'!$C$13,INDEX('Inputs &amp; Assumptions'!$D$70:$D$98,'Inputs &amp; Assumptions'!$D$126+15+1),0)</f>
        <v>346770.757525825</v>
      </c>
      <c r="T30" s="39" t="n">
        <f aca="false">IF(('Inputs &amp; Assumptions'!$D$126+16)&lt;='Inputs &amp; Assumptions'!$C$13,INDEX('Inputs &amp; Assumptions'!$D$70:$D$98,'Inputs &amp; Assumptions'!$D$126+16+1),0)</f>
        <v>336367.63480005</v>
      </c>
      <c r="U30" s="39" t="n">
        <f aca="false">IF(('Inputs &amp; Assumptions'!$D$126+17)&lt;='Inputs &amp; Assumptions'!$C$13,INDEX('Inputs &amp; Assumptions'!$D$70:$D$98,'Inputs &amp; Assumptions'!$D$126+17+1),0)</f>
        <v>326276.605756048</v>
      </c>
      <c r="V30" s="39" t="n">
        <f aca="false">IF(('Inputs &amp; Assumptions'!$D$126+18)&lt;='Inputs &amp; Assumptions'!$C$13,INDEX('Inputs &amp; Assumptions'!$D$70:$D$98,'Inputs &amp; Assumptions'!$D$126+18+1),0)</f>
        <v>316488.307583367</v>
      </c>
      <c r="W30" s="39" t="n">
        <f aca="false">IF(('Inputs &amp; Assumptions'!$D$126+19)&lt;='Inputs &amp; Assumptions'!$C$13,INDEX('Inputs &amp; Assumptions'!$D$70:$D$98,'Inputs &amp; Assumptions'!$D$126+19+1),0)</f>
        <v>306993.658355866</v>
      </c>
      <c r="X30" s="39" t="n">
        <f aca="false">IF(('Inputs &amp; Assumptions'!$D$126+20)&lt;='Inputs &amp; Assumptions'!$C$13,INDEX('Inputs &amp; Assumptions'!$D$70:$D$98,'Inputs &amp; Assumptions'!$D$126+20+1),0)</f>
        <v>9926128.28683967</v>
      </c>
      <c r="Y30" s="39" t="n">
        <f aca="false">IF(('Inputs &amp; Assumptions'!$D$126+21)&lt;='Inputs &amp; Assumptions'!$C$13,INDEX('Inputs &amp; Assumptions'!$D$70:$D$98,'Inputs &amp; Assumptions'!$D$126+21+1),0)</f>
        <v>0</v>
      </c>
      <c r="Z30" s="39" t="n">
        <f aca="false">IF(('Inputs &amp; Assumptions'!$D$126+22)&lt;='Inputs &amp; Assumptions'!$C$13,INDEX('Inputs &amp; Assumptions'!$D$70:$D$98,'Inputs &amp; Assumptions'!$D$126+22+1),0)</f>
        <v>0</v>
      </c>
      <c r="AA30" s="39" t="n">
        <f aca="false">IF(('Inputs &amp; Assumptions'!$D$126+23)&lt;='Inputs &amp; Assumptions'!$C$13,INDEX('Inputs &amp; Assumptions'!$D$70:$D$98,'Inputs &amp; Assumptions'!$D$126+23+1),0)</f>
        <v>0</v>
      </c>
      <c r="AB30" s="39" t="n">
        <f aca="false">IF(('Inputs &amp; Assumptions'!$D$126+24)&lt;='Inputs &amp; Assumptions'!$C$13,INDEX('Inputs &amp; Assumptions'!$D$70:$D$98,'Inputs &amp; Assumptions'!$D$126+24+1),0)</f>
        <v>0</v>
      </c>
      <c r="AC30" s="39" t="n">
        <f aca="false">IF(('Inputs &amp; Assumptions'!$D$126+25)&lt;='Inputs &amp; Assumptions'!$C$13,INDEX('Inputs &amp; Assumptions'!$D$70:$D$98,'Inputs &amp; Assumptions'!$D$126+25+1),0)</f>
        <v>0</v>
      </c>
      <c r="AD30" s="39" t="n">
        <f aca="false">IF(('Inputs &amp; Assumptions'!$D$126+26)&lt;='Inputs &amp; Assumptions'!$C$13,INDEX('Inputs &amp; Assumptions'!$D$70:$D$98,'Inputs &amp; Assumptions'!$D$126+26+1),0)</f>
        <v>0</v>
      </c>
      <c r="AE30" s="39" t="n">
        <f aca="false">IF(('Inputs &amp; Assumptions'!$D$126+27)&lt;='Inputs &amp; Assumptions'!$C$13,INDEX('Inputs &amp; Assumptions'!$D$70:$D$98,'Inputs &amp; Assumptions'!$D$126+27+1),0)</f>
        <v>0</v>
      </c>
      <c r="AF30" s="39" t="n">
        <f aca="false">IF(('Inputs &amp; Assumptions'!$D$126+28)&lt;='Inputs &amp; Assumptions'!$C$13,INDEX('Inputs &amp; Assumptions'!$D$70:$D$98,'Inputs &amp; Assumptions'!$D$126+28+1),0)</f>
        <v>0</v>
      </c>
      <c r="AG30" s="39" t="n">
        <f aca="false">IF(('Inputs &amp; Assumptions'!$D$126+29)&lt;='Inputs &amp; Assumptions'!$C$13,INDEX('Inputs &amp; Assumptions'!$D$70:$D$98,'Inputs &amp; Assumptions'!$D$126+29+1),0)</f>
        <v>0</v>
      </c>
      <c r="AH30" s="39" t="n">
        <f aca="false">IF(('Inputs &amp; Assumptions'!$D$126+30)&lt;='Inputs &amp; Assumptions'!$C$13,INDEX('Inputs &amp; Assumptions'!$D$70:$D$98,'Inputs &amp; Assumptions'!$D$126+30+1),0)</f>
        <v>0</v>
      </c>
      <c r="AI30" s="39" t="n">
        <f aca="false">IF(('Inputs &amp; Assumptions'!$D$126+31)&lt;='Inputs &amp; Assumptions'!$C$13,INDEX('Inputs &amp; Assumptions'!$D$70:$D$98,'Inputs &amp; Assumptions'!$D$126+31+1),0)</f>
        <v>0</v>
      </c>
      <c r="AJ30" s="39" t="n">
        <f aca="false">IF(('Inputs &amp; Assumptions'!$D$126+32)&lt;='Inputs &amp; Assumptions'!$C$13,INDEX('Inputs &amp; Assumptions'!$D$70:$D$98,'Inputs &amp; Assumptions'!$D$126+32+1),0)</f>
        <v>0</v>
      </c>
      <c r="AK30" s="39" t="n">
        <f aca="false">IF(('Inputs &amp; Assumptions'!$D$126+33)&lt;='Inputs &amp; Assumptions'!$C$13,INDEX('Inputs &amp; Assumptions'!$D$70:$D$98,'Inputs &amp; Assumptions'!$D$126+33+1),0)</f>
        <v>0</v>
      </c>
      <c r="AL30" s="39" t="n">
        <f aca="false">IF(('Inputs &amp; Assumptions'!$D$126+34)&lt;='Inputs &amp; Assumptions'!$C$13,INDEX('Inputs &amp; Assumptions'!$D$70:$D$98,'Inputs &amp; Assumptions'!$D$126+34+1),0)</f>
        <v>0</v>
      </c>
      <c r="AM30" s="39" t="n">
        <f aca="false">IF(('Inputs &amp; Assumptions'!$D$126+35)&lt;='Inputs &amp; Assumptions'!$C$13,INDEX('Inputs &amp; Assumptions'!$D$70:$D$98,'Inputs &amp; Assumptions'!$D$126+35+1),0)</f>
        <v>0</v>
      </c>
      <c r="AN30" s="39" t="n">
        <f aca="false">IF(('Inputs &amp; Assumptions'!$D$126+36)&lt;='Inputs &amp; Assumptions'!$C$13,INDEX('Inputs &amp; Assumptions'!$D$70:$D$98,'Inputs &amp; Assumptions'!$D$126+36+1),0)</f>
        <v>0</v>
      </c>
    </row>
    <row r="31" customFormat="false" ht="15" hidden="false" customHeight="false" outlineLevel="0" collapsed="false">
      <c r="B31" s="38" t="n">
        <f aca="false">'Inputs &amp; Assumptions'!$B$127</f>
        <v>26</v>
      </c>
      <c r="E31" s="39" t="n">
        <f aca="false">IF(('Inputs &amp; Assumptions'!$D$127+1)&lt;='Inputs &amp; Assumptions'!$C$13,INDEX('Inputs &amp; Assumptions'!$D$70:$D$98,'Inputs &amp; Assumptions'!$D$127+1+1),0)</f>
        <v>515240.41542</v>
      </c>
      <c r="F31" s="39" t="n">
        <f aca="false">IF(('Inputs &amp; Assumptions'!$D$127+2)&lt;='Inputs &amp; Assumptions'!$C$13,INDEX('Inputs &amp; Assumptions'!$D$70:$D$98,'Inputs &amp; Assumptions'!$D$127+2+1),0)</f>
        <v>499783.2029574</v>
      </c>
      <c r="G31" s="39" t="n">
        <f aca="false">IF(('Inputs &amp; Assumptions'!$D$127+3)&lt;='Inputs &amp; Assumptions'!$C$13,INDEX('Inputs &amp; Assumptions'!$D$70:$D$98,'Inputs &amp; Assumptions'!$D$127+3+1),0)</f>
        <v>484789.706868678</v>
      </c>
      <c r="H31" s="39" t="n">
        <f aca="false">IF(('Inputs &amp; Assumptions'!$D$127+4)&lt;='Inputs &amp; Assumptions'!$C$13,INDEX('Inputs &amp; Assumptions'!$D$70:$D$98,'Inputs &amp; Assumptions'!$D$127+4+1),0)</f>
        <v>470246.015662618</v>
      </c>
      <c r="I31" s="39" t="n">
        <f aca="false">IF(('Inputs &amp; Assumptions'!$D$127+5)&lt;='Inputs &amp; Assumptions'!$C$13,INDEX('Inputs &amp; Assumptions'!$D$70:$D$98,'Inputs &amp; Assumptions'!$D$127+5+1),0)</f>
        <v>456138.635192739</v>
      </c>
      <c r="J31" s="39" t="n">
        <f aca="false">IF(('Inputs &amp; Assumptions'!$D$127+6)&lt;='Inputs &amp; Assumptions'!$C$13,INDEX('Inputs &amp; Assumptions'!$D$70:$D$98,'Inputs &amp; Assumptions'!$D$127+6+1),0)</f>
        <v>442454.476136957</v>
      </c>
      <c r="K31" s="39" t="n">
        <f aca="false">IF(('Inputs &amp; Assumptions'!$D$127+7)&lt;='Inputs &amp; Assumptions'!$C$13,INDEX('Inputs &amp; Assumptions'!$D$70:$D$98,'Inputs &amp; Assumptions'!$D$127+7+1),0)</f>
        <v>429180.841852848</v>
      </c>
      <c r="L31" s="39" t="n">
        <f aca="false">IF(('Inputs &amp; Assumptions'!$D$127+8)&lt;='Inputs &amp; Assumptions'!$C$13,INDEX('Inputs &amp; Assumptions'!$D$70:$D$98,'Inputs &amp; Assumptions'!$D$127+8+1),0)</f>
        <v>416305.416597263</v>
      </c>
      <c r="M31" s="39" t="n">
        <f aca="false">IF(('Inputs &amp; Assumptions'!$D$127+9)&lt;='Inputs &amp; Assumptions'!$C$13,INDEX('Inputs &amp; Assumptions'!$D$70:$D$98,'Inputs &amp; Assumptions'!$D$127+9+1),0)</f>
        <v>403816.254099345</v>
      </c>
      <c r="N31" s="39" t="n">
        <f aca="false">IF(('Inputs &amp; Assumptions'!$D$127+10)&lt;='Inputs &amp; Assumptions'!$C$13,INDEX('Inputs &amp; Assumptions'!$D$70:$D$98,'Inputs &amp; Assumptions'!$D$127+10+1),0)</f>
        <v>391701.766476365</v>
      </c>
      <c r="O31" s="39" t="n">
        <f aca="false">IF(('Inputs &amp; Assumptions'!$D$127+11)&lt;='Inputs &amp; Assumptions'!$C$13,INDEX('Inputs &amp; Assumptions'!$D$70:$D$98,'Inputs &amp; Assumptions'!$D$127+11+1),0)</f>
        <v>379950.713482074</v>
      </c>
      <c r="P31" s="39" t="n">
        <f aca="false">IF(('Inputs &amp; Assumptions'!$D$127+12)&lt;='Inputs &amp; Assumptions'!$C$13,INDEX('Inputs &amp; Assumptions'!$D$70:$D$98,'Inputs &amp; Assumptions'!$D$127+12+1),0)</f>
        <v>368552.192077611</v>
      </c>
      <c r="Q31" s="39" t="n">
        <f aca="false">IF(('Inputs &amp; Assumptions'!$D$127+13)&lt;='Inputs &amp; Assumptions'!$C$13,INDEX('Inputs &amp; Assumptions'!$D$70:$D$98,'Inputs &amp; Assumptions'!$D$127+13+1),0)</f>
        <v>357495.626315283</v>
      </c>
      <c r="R31" s="39" t="n">
        <f aca="false">IF(('Inputs &amp; Assumptions'!$D$127+14)&lt;='Inputs &amp; Assumptions'!$C$13,INDEX('Inputs &amp; Assumptions'!$D$70:$D$98,'Inputs &amp; Assumptions'!$D$127+14+1),0)</f>
        <v>346770.757525825</v>
      </c>
      <c r="S31" s="39" t="n">
        <f aca="false">IF(('Inputs &amp; Assumptions'!$D$127+15)&lt;='Inputs &amp; Assumptions'!$C$13,INDEX('Inputs &amp; Assumptions'!$D$70:$D$98,'Inputs &amp; Assumptions'!$D$127+15+1),0)</f>
        <v>336367.63480005</v>
      </c>
      <c r="T31" s="39" t="n">
        <f aca="false">IF(('Inputs &amp; Assumptions'!$D$127+16)&lt;='Inputs &amp; Assumptions'!$C$13,INDEX('Inputs &amp; Assumptions'!$D$70:$D$98,'Inputs &amp; Assumptions'!$D$127+16+1),0)</f>
        <v>326276.605756048</v>
      </c>
      <c r="U31" s="39" t="n">
        <f aca="false">IF(('Inputs &amp; Assumptions'!$D$127+17)&lt;='Inputs &amp; Assumptions'!$C$13,INDEX('Inputs &amp; Assumptions'!$D$70:$D$98,'Inputs &amp; Assumptions'!$D$127+17+1),0)</f>
        <v>316488.307583367</v>
      </c>
      <c r="V31" s="39" t="n">
        <f aca="false">IF(('Inputs &amp; Assumptions'!$D$127+18)&lt;='Inputs &amp; Assumptions'!$C$13,INDEX('Inputs &amp; Assumptions'!$D$70:$D$98,'Inputs &amp; Assumptions'!$D$127+18+1),0)</f>
        <v>306993.658355866</v>
      </c>
      <c r="W31" s="39" t="n">
        <f aca="false">IF(('Inputs &amp; Assumptions'!$D$127+19)&lt;='Inputs &amp; Assumptions'!$C$13,INDEX('Inputs &amp; Assumptions'!$D$70:$D$98,'Inputs &amp; Assumptions'!$D$127+19+1),0)</f>
        <v>9926128.28683967</v>
      </c>
      <c r="X31" s="39" t="n">
        <f aca="false">IF(('Inputs &amp; Assumptions'!$D$127+20)&lt;='Inputs &amp; Assumptions'!$C$13,INDEX('Inputs &amp; Assumptions'!$D$70:$D$98,'Inputs &amp; Assumptions'!$D$127+20+1),0)</f>
        <v>0</v>
      </c>
      <c r="Y31" s="39" t="n">
        <f aca="false">IF(('Inputs &amp; Assumptions'!$D$127+21)&lt;='Inputs &amp; Assumptions'!$C$13,INDEX('Inputs &amp; Assumptions'!$D$70:$D$98,'Inputs &amp; Assumptions'!$D$127+21+1),0)</f>
        <v>0</v>
      </c>
      <c r="Z31" s="39" t="n">
        <f aca="false">IF(('Inputs &amp; Assumptions'!$D$127+22)&lt;='Inputs &amp; Assumptions'!$C$13,INDEX('Inputs &amp; Assumptions'!$D$70:$D$98,'Inputs &amp; Assumptions'!$D$127+22+1),0)</f>
        <v>0</v>
      </c>
      <c r="AA31" s="39" t="n">
        <f aca="false">IF(('Inputs &amp; Assumptions'!$D$127+23)&lt;='Inputs &amp; Assumptions'!$C$13,INDEX('Inputs &amp; Assumptions'!$D$70:$D$98,'Inputs &amp; Assumptions'!$D$127+23+1),0)</f>
        <v>0</v>
      </c>
      <c r="AB31" s="39" t="n">
        <f aca="false">IF(('Inputs &amp; Assumptions'!$D$127+24)&lt;='Inputs &amp; Assumptions'!$C$13,INDEX('Inputs &amp; Assumptions'!$D$70:$D$98,'Inputs &amp; Assumptions'!$D$127+24+1),0)</f>
        <v>0</v>
      </c>
      <c r="AC31" s="39" t="n">
        <f aca="false">IF(('Inputs &amp; Assumptions'!$D$127+25)&lt;='Inputs &amp; Assumptions'!$C$13,INDEX('Inputs &amp; Assumptions'!$D$70:$D$98,'Inputs &amp; Assumptions'!$D$127+25+1),0)</f>
        <v>0</v>
      </c>
      <c r="AD31" s="39" t="n">
        <f aca="false">IF(('Inputs &amp; Assumptions'!$D$127+26)&lt;='Inputs &amp; Assumptions'!$C$13,INDEX('Inputs &amp; Assumptions'!$D$70:$D$98,'Inputs &amp; Assumptions'!$D$127+26+1),0)</f>
        <v>0</v>
      </c>
      <c r="AE31" s="39" t="n">
        <f aca="false">IF(('Inputs &amp; Assumptions'!$D$127+27)&lt;='Inputs &amp; Assumptions'!$C$13,INDEX('Inputs &amp; Assumptions'!$D$70:$D$98,'Inputs &amp; Assumptions'!$D$127+27+1),0)</f>
        <v>0</v>
      </c>
      <c r="AF31" s="39" t="n">
        <f aca="false">IF(('Inputs &amp; Assumptions'!$D$127+28)&lt;='Inputs &amp; Assumptions'!$C$13,INDEX('Inputs &amp; Assumptions'!$D$70:$D$98,'Inputs &amp; Assumptions'!$D$127+28+1),0)</f>
        <v>0</v>
      </c>
      <c r="AG31" s="39" t="n">
        <f aca="false">IF(('Inputs &amp; Assumptions'!$D$127+29)&lt;='Inputs &amp; Assumptions'!$C$13,INDEX('Inputs &amp; Assumptions'!$D$70:$D$98,'Inputs &amp; Assumptions'!$D$127+29+1),0)</f>
        <v>0</v>
      </c>
      <c r="AH31" s="39" t="n">
        <f aca="false">IF(('Inputs &amp; Assumptions'!$D$127+30)&lt;='Inputs &amp; Assumptions'!$C$13,INDEX('Inputs &amp; Assumptions'!$D$70:$D$98,'Inputs &amp; Assumptions'!$D$127+30+1),0)</f>
        <v>0</v>
      </c>
      <c r="AI31" s="39" t="n">
        <f aca="false">IF(('Inputs &amp; Assumptions'!$D$127+31)&lt;='Inputs &amp; Assumptions'!$C$13,INDEX('Inputs &amp; Assumptions'!$D$70:$D$98,'Inputs &amp; Assumptions'!$D$127+31+1),0)</f>
        <v>0</v>
      </c>
      <c r="AJ31" s="39" t="n">
        <f aca="false">IF(('Inputs &amp; Assumptions'!$D$127+32)&lt;='Inputs &amp; Assumptions'!$C$13,INDEX('Inputs &amp; Assumptions'!$D$70:$D$98,'Inputs &amp; Assumptions'!$D$127+32+1),0)</f>
        <v>0</v>
      </c>
      <c r="AK31" s="39" t="n">
        <f aca="false">IF(('Inputs &amp; Assumptions'!$D$127+33)&lt;='Inputs &amp; Assumptions'!$C$13,INDEX('Inputs &amp; Assumptions'!$D$70:$D$98,'Inputs &amp; Assumptions'!$D$127+33+1),0)</f>
        <v>0</v>
      </c>
      <c r="AL31" s="39" t="n">
        <f aca="false">IF(('Inputs &amp; Assumptions'!$D$127+34)&lt;='Inputs &amp; Assumptions'!$C$13,INDEX('Inputs &amp; Assumptions'!$D$70:$D$98,'Inputs &amp; Assumptions'!$D$127+34+1),0)</f>
        <v>0</v>
      </c>
      <c r="AM31" s="39" t="n">
        <f aca="false">IF(('Inputs &amp; Assumptions'!$D$127+35)&lt;='Inputs &amp; Assumptions'!$C$13,INDEX('Inputs &amp; Assumptions'!$D$70:$D$98,'Inputs &amp; Assumptions'!$D$127+35+1),0)</f>
        <v>0</v>
      </c>
      <c r="AN31" s="39" t="n">
        <f aca="false">IF(('Inputs &amp; Assumptions'!$D$127+36)&lt;='Inputs &amp; Assumptions'!$C$13,INDEX('Inputs &amp; Assumptions'!$D$70:$D$98,'Inputs &amp; Assumptions'!$D$127+36+1),0)</f>
        <v>0</v>
      </c>
    </row>
    <row r="32" customFormat="false" ht="15" hidden="false" customHeight="false" outlineLevel="0" collapsed="false">
      <c r="B32" s="38" t="n">
        <f aca="false">'Inputs &amp; Assumptions'!$B$128</f>
        <v>27</v>
      </c>
      <c r="E32" s="39" t="n">
        <f aca="false">IF(('Inputs &amp; Assumptions'!$D$128+1)&lt;='Inputs &amp; Assumptions'!$C$13,INDEX('Inputs &amp; Assumptions'!$D$70:$D$98,'Inputs &amp; Assumptions'!$D$128+1+1),0)</f>
        <v>515240.41542</v>
      </c>
      <c r="F32" s="39" t="n">
        <f aca="false">IF(('Inputs &amp; Assumptions'!$D$128+2)&lt;='Inputs &amp; Assumptions'!$C$13,INDEX('Inputs &amp; Assumptions'!$D$70:$D$98,'Inputs &amp; Assumptions'!$D$128+2+1),0)</f>
        <v>499783.2029574</v>
      </c>
      <c r="G32" s="39" t="n">
        <f aca="false">IF(('Inputs &amp; Assumptions'!$D$128+3)&lt;='Inputs &amp; Assumptions'!$C$13,INDEX('Inputs &amp; Assumptions'!$D$70:$D$98,'Inputs &amp; Assumptions'!$D$128+3+1),0)</f>
        <v>484789.706868678</v>
      </c>
      <c r="H32" s="39" t="n">
        <f aca="false">IF(('Inputs &amp; Assumptions'!$D$128+4)&lt;='Inputs &amp; Assumptions'!$C$13,INDEX('Inputs &amp; Assumptions'!$D$70:$D$98,'Inputs &amp; Assumptions'!$D$128+4+1),0)</f>
        <v>470246.015662618</v>
      </c>
      <c r="I32" s="39" t="n">
        <f aca="false">IF(('Inputs &amp; Assumptions'!$D$128+5)&lt;='Inputs &amp; Assumptions'!$C$13,INDEX('Inputs &amp; Assumptions'!$D$70:$D$98,'Inputs &amp; Assumptions'!$D$128+5+1),0)</f>
        <v>456138.635192739</v>
      </c>
      <c r="J32" s="39" t="n">
        <f aca="false">IF(('Inputs &amp; Assumptions'!$D$128+6)&lt;='Inputs &amp; Assumptions'!$C$13,INDEX('Inputs &amp; Assumptions'!$D$70:$D$98,'Inputs &amp; Assumptions'!$D$128+6+1),0)</f>
        <v>442454.476136957</v>
      </c>
      <c r="K32" s="39" t="n">
        <f aca="false">IF(('Inputs &amp; Assumptions'!$D$128+7)&lt;='Inputs &amp; Assumptions'!$C$13,INDEX('Inputs &amp; Assumptions'!$D$70:$D$98,'Inputs &amp; Assumptions'!$D$128+7+1),0)</f>
        <v>429180.841852848</v>
      </c>
      <c r="L32" s="39" t="n">
        <f aca="false">IF(('Inputs &amp; Assumptions'!$D$128+8)&lt;='Inputs &amp; Assumptions'!$C$13,INDEX('Inputs &amp; Assumptions'!$D$70:$D$98,'Inputs &amp; Assumptions'!$D$128+8+1),0)</f>
        <v>416305.416597263</v>
      </c>
      <c r="M32" s="39" t="n">
        <f aca="false">IF(('Inputs &amp; Assumptions'!$D$128+9)&lt;='Inputs &amp; Assumptions'!$C$13,INDEX('Inputs &amp; Assumptions'!$D$70:$D$98,'Inputs &amp; Assumptions'!$D$128+9+1),0)</f>
        <v>403816.254099345</v>
      </c>
      <c r="N32" s="39" t="n">
        <f aca="false">IF(('Inputs &amp; Assumptions'!$D$128+10)&lt;='Inputs &amp; Assumptions'!$C$13,INDEX('Inputs &amp; Assumptions'!$D$70:$D$98,'Inputs &amp; Assumptions'!$D$128+10+1),0)</f>
        <v>391701.766476365</v>
      </c>
      <c r="O32" s="39" t="n">
        <f aca="false">IF(('Inputs &amp; Assumptions'!$D$128+11)&lt;='Inputs &amp; Assumptions'!$C$13,INDEX('Inputs &amp; Assumptions'!$D$70:$D$98,'Inputs &amp; Assumptions'!$D$128+11+1),0)</f>
        <v>379950.713482074</v>
      </c>
      <c r="P32" s="39" t="n">
        <f aca="false">IF(('Inputs &amp; Assumptions'!$D$128+12)&lt;='Inputs &amp; Assumptions'!$C$13,INDEX('Inputs &amp; Assumptions'!$D$70:$D$98,'Inputs &amp; Assumptions'!$D$128+12+1),0)</f>
        <v>368552.192077611</v>
      </c>
      <c r="Q32" s="39" t="n">
        <f aca="false">IF(('Inputs &amp; Assumptions'!$D$128+13)&lt;='Inputs &amp; Assumptions'!$C$13,INDEX('Inputs &amp; Assumptions'!$D$70:$D$98,'Inputs &amp; Assumptions'!$D$128+13+1),0)</f>
        <v>357495.626315283</v>
      </c>
      <c r="R32" s="39" t="n">
        <f aca="false">IF(('Inputs &amp; Assumptions'!$D$128+14)&lt;='Inputs &amp; Assumptions'!$C$13,INDEX('Inputs &amp; Assumptions'!$D$70:$D$98,'Inputs &amp; Assumptions'!$D$128+14+1),0)</f>
        <v>346770.757525825</v>
      </c>
      <c r="S32" s="39" t="n">
        <f aca="false">IF(('Inputs &amp; Assumptions'!$D$128+15)&lt;='Inputs &amp; Assumptions'!$C$13,INDEX('Inputs &amp; Assumptions'!$D$70:$D$98,'Inputs &amp; Assumptions'!$D$128+15+1),0)</f>
        <v>336367.63480005</v>
      </c>
      <c r="T32" s="39" t="n">
        <f aca="false">IF(('Inputs &amp; Assumptions'!$D$128+16)&lt;='Inputs &amp; Assumptions'!$C$13,INDEX('Inputs &amp; Assumptions'!$D$70:$D$98,'Inputs &amp; Assumptions'!$D$128+16+1),0)</f>
        <v>326276.605756048</v>
      </c>
      <c r="U32" s="39" t="n">
        <f aca="false">IF(('Inputs &amp; Assumptions'!$D$128+17)&lt;='Inputs &amp; Assumptions'!$C$13,INDEX('Inputs &amp; Assumptions'!$D$70:$D$98,'Inputs &amp; Assumptions'!$D$128+17+1),0)</f>
        <v>316488.307583367</v>
      </c>
      <c r="V32" s="39" t="n">
        <f aca="false">IF(('Inputs &amp; Assumptions'!$D$128+18)&lt;='Inputs &amp; Assumptions'!$C$13,INDEX('Inputs &amp; Assumptions'!$D$70:$D$98,'Inputs &amp; Assumptions'!$D$128+18+1),0)</f>
        <v>306993.658355866</v>
      </c>
      <c r="W32" s="39" t="n">
        <f aca="false">IF(('Inputs &amp; Assumptions'!$D$128+19)&lt;='Inputs &amp; Assumptions'!$C$13,INDEX('Inputs &amp; Assumptions'!$D$70:$D$98,'Inputs &amp; Assumptions'!$D$128+19+1),0)</f>
        <v>9926128.28683967</v>
      </c>
      <c r="X32" s="39" t="n">
        <f aca="false">IF(('Inputs &amp; Assumptions'!$D$128+20)&lt;='Inputs &amp; Assumptions'!$C$13,INDEX('Inputs &amp; Assumptions'!$D$70:$D$98,'Inputs &amp; Assumptions'!$D$128+20+1),0)</f>
        <v>0</v>
      </c>
      <c r="Y32" s="39" t="n">
        <f aca="false">IF(('Inputs &amp; Assumptions'!$D$128+21)&lt;='Inputs &amp; Assumptions'!$C$13,INDEX('Inputs &amp; Assumptions'!$D$70:$D$98,'Inputs &amp; Assumptions'!$D$128+21+1),0)</f>
        <v>0</v>
      </c>
      <c r="Z32" s="39" t="n">
        <f aca="false">IF(('Inputs &amp; Assumptions'!$D$128+22)&lt;='Inputs &amp; Assumptions'!$C$13,INDEX('Inputs &amp; Assumptions'!$D$70:$D$98,'Inputs &amp; Assumptions'!$D$128+22+1),0)</f>
        <v>0</v>
      </c>
      <c r="AA32" s="39" t="n">
        <f aca="false">IF(('Inputs &amp; Assumptions'!$D$128+23)&lt;='Inputs &amp; Assumptions'!$C$13,INDEX('Inputs &amp; Assumptions'!$D$70:$D$98,'Inputs &amp; Assumptions'!$D$128+23+1),0)</f>
        <v>0</v>
      </c>
      <c r="AB32" s="39" t="n">
        <f aca="false">IF(('Inputs &amp; Assumptions'!$D$128+24)&lt;='Inputs &amp; Assumptions'!$C$13,INDEX('Inputs &amp; Assumptions'!$D$70:$D$98,'Inputs &amp; Assumptions'!$D$128+24+1),0)</f>
        <v>0</v>
      </c>
      <c r="AC32" s="39" t="n">
        <f aca="false">IF(('Inputs &amp; Assumptions'!$D$128+25)&lt;='Inputs &amp; Assumptions'!$C$13,INDEX('Inputs &amp; Assumptions'!$D$70:$D$98,'Inputs &amp; Assumptions'!$D$128+25+1),0)</f>
        <v>0</v>
      </c>
      <c r="AD32" s="39" t="n">
        <f aca="false">IF(('Inputs &amp; Assumptions'!$D$128+26)&lt;='Inputs &amp; Assumptions'!$C$13,INDEX('Inputs &amp; Assumptions'!$D$70:$D$98,'Inputs &amp; Assumptions'!$D$128+26+1),0)</f>
        <v>0</v>
      </c>
      <c r="AE32" s="39" t="n">
        <f aca="false">IF(('Inputs &amp; Assumptions'!$D$128+27)&lt;='Inputs &amp; Assumptions'!$C$13,INDEX('Inputs &amp; Assumptions'!$D$70:$D$98,'Inputs &amp; Assumptions'!$D$128+27+1),0)</f>
        <v>0</v>
      </c>
      <c r="AF32" s="39" t="n">
        <f aca="false">IF(('Inputs &amp; Assumptions'!$D$128+28)&lt;='Inputs &amp; Assumptions'!$C$13,INDEX('Inputs &amp; Assumptions'!$D$70:$D$98,'Inputs &amp; Assumptions'!$D$128+28+1),0)</f>
        <v>0</v>
      </c>
      <c r="AG32" s="39" t="n">
        <f aca="false">IF(('Inputs &amp; Assumptions'!$D$128+29)&lt;='Inputs &amp; Assumptions'!$C$13,INDEX('Inputs &amp; Assumptions'!$D$70:$D$98,'Inputs &amp; Assumptions'!$D$128+29+1),0)</f>
        <v>0</v>
      </c>
      <c r="AH32" s="39" t="n">
        <f aca="false">IF(('Inputs &amp; Assumptions'!$D$128+30)&lt;='Inputs &amp; Assumptions'!$C$13,INDEX('Inputs &amp; Assumptions'!$D$70:$D$98,'Inputs &amp; Assumptions'!$D$128+30+1),0)</f>
        <v>0</v>
      </c>
      <c r="AI32" s="39" t="n">
        <f aca="false">IF(('Inputs &amp; Assumptions'!$D$128+31)&lt;='Inputs &amp; Assumptions'!$C$13,INDEX('Inputs &amp; Assumptions'!$D$70:$D$98,'Inputs &amp; Assumptions'!$D$128+31+1),0)</f>
        <v>0</v>
      </c>
      <c r="AJ32" s="39" t="n">
        <f aca="false">IF(('Inputs &amp; Assumptions'!$D$128+32)&lt;='Inputs &amp; Assumptions'!$C$13,INDEX('Inputs &amp; Assumptions'!$D$70:$D$98,'Inputs &amp; Assumptions'!$D$128+32+1),0)</f>
        <v>0</v>
      </c>
      <c r="AK32" s="39" t="n">
        <f aca="false">IF(('Inputs &amp; Assumptions'!$D$128+33)&lt;='Inputs &amp; Assumptions'!$C$13,INDEX('Inputs &amp; Assumptions'!$D$70:$D$98,'Inputs &amp; Assumptions'!$D$128+33+1),0)</f>
        <v>0</v>
      </c>
      <c r="AL32" s="39" t="n">
        <f aca="false">IF(('Inputs &amp; Assumptions'!$D$128+34)&lt;='Inputs &amp; Assumptions'!$C$13,INDEX('Inputs &amp; Assumptions'!$D$70:$D$98,'Inputs &amp; Assumptions'!$D$128+34+1),0)</f>
        <v>0</v>
      </c>
      <c r="AM32" s="39" t="n">
        <f aca="false">IF(('Inputs &amp; Assumptions'!$D$128+35)&lt;='Inputs &amp; Assumptions'!$C$13,INDEX('Inputs &amp; Assumptions'!$D$70:$D$98,'Inputs &amp; Assumptions'!$D$128+35+1),0)</f>
        <v>0</v>
      </c>
      <c r="AN32" s="39" t="n">
        <f aca="false">IF(('Inputs &amp; Assumptions'!$D$128+36)&lt;='Inputs &amp; Assumptions'!$C$13,INDEX('Inputs &amp; Assumptions'!$D$70:$D$98,'Inputs &amp; Assumptions'!$D$128+36+1),0)</f>
        <v>0</v>
      </c>
    </row>
    <row r="33" customFormat="false" ht="15" hidden="false" customHeight="false" outlineLevel="0" collapsed="false">
      <c r="B33" s="38" t="n">
        <f aca="false">'Inputs &amp; Assumptions'!$B$129</f>
        <v>28</v>
      </c>
      <c r="E33" s="39" t="n">
        <f aca="false">IF(('Inputs &amp; Assumptions'!$D$129+1)&lt;='Inputs &amp; Assumptions'!$C$13,INDEX('Inputs &amp; Assumptions'!$D$70:$D$98,'Inputs &amp; Assumptions'!$D$129+1+1),0)</f>
        <v>515240.41542</v>
      </c>
      <c r="F33" s="39" t="n">
        <f aca="false">IF(('Inputs &amp; Assumptions'!$D$129+2)&lt;='Inputs &amp; Assumptions'!$C$13,INDEX('Inputs &amp; Assumptions'!$D$70:$D$98,'Inputs &amp; Assumptions'!$D$129+2+1),0)</f>
        <v>499783.2029574</v>
      </c>
      <c r="G33" s="39" t="n">
        <f aca="false">IF(('Inputs &amp; Assumptions'!$D$129+3)&lt;='Inputs &amp; Assumptions'!$C$13,INDEX('Inputs &amp; Assumptions'!$D$70:$D$98,'Inputs &amp; Assumptions'!$D$129+3+1),0)</f>
        <v>484789.706868678</v>
      </c>
      <c r="H33" s="39" t="n">
        <f aca="false">IF(('Inputs &amp; Assumptions'!$D$129+4)&lt;='Inputs &amp; Assumptions'!$C$13,INDEX('Inputs &amp; Assumptions'!$D$70:$D$98,'Inputs &amp; Assumptions'!$D$129+4+1),0)</f>
        <v>470246.015662618</v>
      </c>
      <c r="I33" s="39" t="n">
        <f aca="false">IF(('Inputs &amp; Assumptions'!$D$129+5)&lt;='Inputs &amp; Assumptions'!$C$13,INDEX('Inputs &amp; Assumptions'!$D$70:$D$98,'Inputs &amp; Assumptions'!$D$129+5+1),0)</f>
        <v>456138.635192739</v>
      </c>
      <c r="J33" s="39" t="n">
        <f aca="false">IF(('Inputs &amp; Assumptions'!$D$129+6)&lt;='Inputs &amp; Assumptions'!$C$13,INDEX('Inputs &amp; Assumptions'!$D$70:$D$98,'Inputs &amp; Assumptions'!$D$129+6+1),0)</f>
        <v>442454.476136957</v>
      </c>
      <c r="K33" s="39" t="n">
        <f aca="false">IF(('Inputs &amp; Assumptions'!$D$129+7)&lt;='Inputs &amp; Assumptions'!$C$13,INDEX('Inputs &amp; Assumptions'!$D$70:$D$98,'Inputs &amp; Assumptions'!$D$129+7+1),0)</f>
        <v>429180.841852848</v>
      </c>
      <c r="L33" s="39" t="n">
        <f aca="false">IF(('Inputs &amp; Assumptions'!$D$129+8)&lt;='Inputs &amp; Assumptions'!$C$13,INDEX('Inputs &amp; Assumptions'!$D$70:$D$98,'Inputs &amp; Assumptions'!$D$129+8+1),0)</f>
        <v>416305.416597263</v>
      </c>
      <c r="M33" s="39" t="n">
        <f aca="false">IF(('Inputs &amp; Assumptions'!$D$129+9)&lt;='Inputs &amp; Assumptions'!$C$13,INDEX('Inputs &amp; Assumptions'!$D$70:$D$98,'Inputs &amp; Assumptions'!$D$129+9+1),0)</f>
        <v>403816.254099345</v>
      </c>
      <c r="N33" s="39" t="n">
        <f aca="false">IF(('Inputs &amp; Assumptions'!$D$129+10)&lt;='Inputs &amp; Assumptions'!$C$13,INDEX('Inputs &amp; Assumptions'!$D$70:$D$98,'Inputs &amp; Assumptions'!$D$129+10+1),0)</f>
        <v>391701.766476365</v>
      </c>
      <c r="O33" s="39" t="n">
        <f aca="false">IF(('Inputs &amp; Assumptions'!$D$129+11)&lt;='Inputs &amp; Assumptions'!$C$13,INDEX('Inputs &amp; Assumptions'!$D$70:$D$98,'Inputs &amp; Assumptions'!$D$129+11+1),0)</f>
        <v>379950.713482074</v>
      </c>
      <c r="P33" s="39" t="n">
        <f aca="false">IF(('Inputs &amp; Assumptions'!$D$129+12)&lt;='Inputs &amp; Assumptions'!$C$13,INDEX('Inputs &amp; Assumptions'!$D$70:$D$98,'Inputs &amp; Assumptions'!$D$129+12+1),0)</f>
        <v>368552.192077611</v>
      </c>
      <c r="Q33" s="39" t="n">
        <f aca="false">IF(('Inputs &amp; Assumptions'!$D$129+13)&lt;='Inputs &amp; Assumptions'!$C$13,INDEX('Inputs &amp; Assumptions'!$D$70:$D$98,'Inputs &amp; Assumptions'!$D$129+13+1),0)</f>
        <v>357495.626315283</v>
      </c>
      <c r="R33" s="39" t="n">
        <f aca="false">IF(('Inputs &amp; Assumptions'!$D$129+14)&lt;='Inputs &amp; Assumptions'!$C$13,INDEX('Inputs &amp; Assumptions'!$D$70:$D$98,'Inputs &amp; Assumptions'!$D$129+14+1),0)</f>
        <v>346770.757525825</v>
      </c>
      <c r="S33" s="39" t="n">
        <f aca="false">IF(('Inputs &amp; Assumptions'!$D$129+15)&lt;='Inputs &amp; Assumptions'!$C$13,INDEX('Inputs &amp; Assumptions'!$D$70:$D$98,'Inputs &amp; Assumptions'!$D$129+15+1),0)</f>
        <v>336367.63480005</v>
      </c>
      <c r="T33" s="39" t="n">
        <f aca="false">IF(('Inputs &amp; Assumptions'!$D$129+16)&lt;='Inputs &amp; Assumptions'!$C$13,INDEX('Inputs &amp; Assumptions'!$D$70:$D$98,'Inputs &amp; Assumptions'!$D$129+16+1),0)</f>
        <v>326276.605756048</v>
      </c>
      <c r="U33" s="39" t="n">
        <f aca="false">IF(('Inputs &amp; Assumptions'!$D$129+17)&lt;='Inputs &amp; Assumptions'!$C$13,INDEX('Inputs &amp; Assumptions'!$D$70:$D$98,'Inputs &amp; Assumptions'!$D$129+17+1),0)</f>
        <v>316488.307583367</v>
      </c>
      <c r="V33" s="39" t="n">
        <f aca="false">IF(('Inputs &amp; Assumptions'!$D$129+18)&lt;='Inputs &amp; Assumptions'!$C$13,INDEX('Inputs &amp; Assumptions'!$D$70:$D$98,'Inputs &amp; Assumptions'!$D$129+18+1),0)</f>
        <v>306993.658355866</v>
      </c>
      <c r="W33" s="39" t="n">
        <f aca="false">IF(('Inputs &amp; Assumptions'!$D$129+19)&lt;='Inputs &amp; Assumptions'!$C$13,INDEX('Inputs &amp; Assumptions'!$D$70:$D$98,'Inputs &amp; Assumptions'!$D$129+19+1),0)</f>
        <v>9926128.28683967</v>
      </c>
      <c r="X33" s="39" t="n">
        <f aca="false">IF(('Inputs &amp; Assumptions'!$D$129+20)&lt;='Inputs &amp; Assumptions'!$C$13,INDEX('Inputs &amp; Assumptions'!$D$70:$D$98,'Inputs &amp; Assumptions'!$D$129+20+1),0)</f>
        <v>0</v>
      </c>
      <c r="Y33" s="39" t="n">
        <f aca="false">IF(('Inputs &amp; Assumptions'!$D$129+21)&lt;='Inputs &amp; Assumptions'!$C$13,INDEX('Inputs &amp; Assumptions'!$D$70:$D$98,'Inputs &amp; Assumptions'!$D$129+21+1),0)</f>
        <v>0</v>
      </c>
      <c r="Z33" s="39" t="n">
        <f aca="false">IF(('Inputs &amp; Assumptions'!$D$129+22)&lt;='Inputs &amp; Assumptions'!$C$13,INDEX('Inputs &amp; Assumptions'!$D$70:$D$98,'Inputs &amp; Assumptions'!$D$129+22+1),0)</f>
        <v>0</v>
      </c>
      <c r="AA33" s="39" t="n">
        <f aca="false">IF(('Inputs &amp; Assumptions'!$D$129+23)&lt;='Inputs &amp; Assumptions'!$C$13,INDEX('Inputs &amp; Assumptions'!$D$70:$D$98,'Inputs &amp; Assumptions'!$D$129+23+1),0)</f>
        <v>0</v>
      </c>
      <c r="AB33" s="39" t="n">
        <f aca="false">IF(('Inputs &amp; Assumptions'!$D$129+24)&lt;='Inputs &amp; Assumptions'!$C$13,INDEX('Inputs &amp; Assumptions'!$D$70:$D$98,'Inputs &amp; Assumptions'!$D$129+24+1),0)</f>
        <v>0</v>
      </c>
      <c r="AC33" s="39" t="n">
        <f aca="false">IF(('Inputs &amp; Assumptions'!$D$129+25)&lt;='Inputs &amp; Assumptions'!$C$13,INDEX('Inputs &amp; Assumptions'!$D$70:$D$98,'Inputs &amp; Assumptions'!$D$129+25+1),0)</f>
        <v>0</v>
      </c>
      <c r="AD33" s="39" t="n">
        <f aca="false">IF(('Inputs &amp; Assumptions'!$D$129+26)&lt;='Inputs &amp; Assumptions'!$C$13,INDEX('Inputs &amp; Assumptions'!$D$70:$D$98,'Inputs &amp; Assumptions'!$D$129+26+1),0)</f>
        <v>0</v>
      </c>
      <c r="AE33" s="39" t="n">
        <f aca="false">IF(('Inputs &amp; Assumptions'!$D$129+27)&lt;='Inputs &amp; Assumptions'!$C$13,INDEX('Inputs &amp; Assumptions'!$D$70:$D$98,'Inputs &amp; Assumptions'!$D$129+27+1),0)</f>
        <v>0</v>
      </c>
      <c r="AF33" s="39" t="n">
        <f aca="false">IF(('Inputs &amp; Assumptions'!$D$129+28)&lt;='Inputs &amp; Assumptions'!$C$13,INDEX('Inputs &amp; Assumptions'!$D$70:$D$98,'Inputs &amp; Assumptions'!$D$129+28+1),0)</f>
        <v>0</v>
      </c>
      <c r="AG33" s="39" t="n">
        <f aca="false">IF(('Inputs &amp; Assumptions'!$D$129+29)&lt;='Inputs &amp; Assumptions'!$C$13,INDEX('Inputs &amp; Assumptions'!$D$70:$D$98,'Inputs &amp; Assumptions'!$D$129+29+1),0)</f>
        <v>0</v>
      </c>
      <c r="AH33" s="39" t="n">
        <f aca="false">IF(('Inputs &amp; Assumptions'!$D$129+30)&lt;='Inputs &amp; Assumptions'!$C$13,INDEX('Inputs &amp; Assumptions'!$D$70:$D$98,'Inputs &amp; Assumptions'!$D$129+30+1),0)</f>
        <v>0</v>
      </c>
      <c r="AI33" s="39" t="n">
        <f aca="false">IF(('Inputs &amp; Assumptions'!$D$129+31)&lt;='Inputs &amp; Assumptions'!$C$13,INDEX('Inputs &amp; Assumptions'!$D$70:$D$98,'Inputs &amp; Assumptions'!$D$129+31+1),0)</f>
        <v>0</v>
      </c>
      <c r="AJ33" s="39" t="n">
        <f aca="false">IF(('Inputs &amp; Assumptions'!$D$129+32)&lt;='Inputs &amp; Assumptions'!$C$13,INDEX('Inputs &amp; Assumptions'!$D$70:$D$98,'Inputs &amp; Assumptions'!$D$129+32+1),0)</f>
        <v>0</v>
      </c>
      <c r="AK33" s="39" t="n">
        <f aca="false">IF(('Inputs &amp; Assumptions'!$D$129+33)&lt;='Inputs &amp; Assumptions'!$C$13,INDEX('Inputs &amp; Assumptions'!$D$70:$D$98,'Inputs &amp; Assumptions'!$D$129+33+1),0)</f>
        <v>0</v>
      </c>
      <c r="AL33" s="39" t="n">
        <f aca="false">IF(('Inputs &amp; Assumptions'!$D$129+34)&lt;='Inputs &amp; Assumptions'!$C$13,INDEX('Inputs &amp; Assumptions'!$D$70:$D$98,'Inputs &amp; Assumptions'!$D$129+34+1),0)</f>
        <v>0</v>
      </c>
      <c r="AM33" s="39" t="n">
        <f aca="false">IF(('Inputs &amp; Assumptions'!$D$129+35)&lt;='Inputs &amp; Assumptions'!$C$13,INDEX('Inputs &amp; Assumptions'!$D$70:$D$98,'Inputs &amp; Assumptions'!$D$129+35+1),0)</f>
        <v>0</v>
      </c>
      <c r="AN33" s="39" t="n">
        <f aca="false">IF(('Inputs &amp; Assumptions'!$D$129+36)&lt;='Inputs &amp; Assumptions'!$C$13,INDEX('Inputs &amp; Assumptions'!$D$70:$D$98,'Inputs &amp; Assumptions'!$D$129+36+1),0)</f>
        <v>0</v>
      </c>
    </row>
    <row r="34" customFormat="false" ht="15" hidden="false" customHeight="false" outlineLevel="0" collapsed="false">
      <c r="B34" s="38" t="n">
        <f aca="false">'Inputs &amp; Assumptions'!$B$130</f>
        <v>29</v>
      </c>
      <c r="E34" s="39" t="n">
        <f aca="false">IF(('Inputs &amp; Assumptions'!$D$130+1)&lt;='Inputs &amp; Assumptions'!$C$13,INDEX('Inputs &amp; Assumptions'!$D$70:$D$98,'Inputs &amp; Assumptions'!$D$130+1+1),0)</f>
        <v>499783.2029574</v>
      </c>
      <c r="F34" s="39" t="n">
        <f aca="false">IF(('Inputs &amp; Assumptions'!$D$130+2)&lt;='Inputs &amp; Assumptions'!$C$13,INDEX('Inputs &amp; Assumptions'!$D$70:$D$98,'Inputs &amp; Assumptions'!$D$130+2+1),0)</f>
        <v>484789.706868678</v>
      </c>
      <c r="G34" s="39" t="n">
        <f aca="false">IF(('Inputs &amp; Assumptions'!$D$130+3)&lt;='Inputs &amp; Assumptions'!$C$13,INDEX('Inputs &amp; Assumptions'!$D$70:$D$98,'Inputs &amp; Assumptions'!$D$130+3+1),0)</f>
        <v>470246.015662618</v>
      </c>
      <c r="H34" s="39" t="n">
        <f aca="false">IF(('Inputs &amp; Assumptions'!$D$130+4)&lt;='Inputs &amp; Assumptions'!$C$13,INDEX('Inputs &amp; Assumptions'!$D$70:$D$98,'Inputs &amp; Assumptions'!$D$130+4+1),0)</f>
        <v>456138.635192739</v>
      </c>
      <c r="I34" s="39" t="n">
        <f aca="false">IF(('Inputs &amp; Assumptions'!$D$130+5)&lt;='Inputs &amp; Assumptions'!$C$13,INDEX('Inputs &amp; Assumptions'!$D$70:$D$98,'Inputs &amp; Assumptions'!$D$130+5+1),0)</f>
        <v>442454.476136957</v>
      </c>
      <c r="J34" s="39" t="n">
        <f aca="false">IF(('Inputs &amp; Assumptions'!$D$130+6)&lt;='Inputs &amp; Assumptions'!$C$13,INDEX('Inputs &amp; Assumptions'!$D$70:$D$98,'Inputs &amp; Assumptions'!$D$130+6+1),0)</f>
        <v>429180.841852848</v>
      </c>
      <c r="K34" s="39" t="n">
        <f aca="false">IF(('Inputs &amp; Assumptions'!$D$130+7)&lt;='Inputs &amp; Assumptions'!$C$13,INDEX('Inputs &amp; Assumptions'!$D$70:$D$98,'Inputs &amp; Assumptions'!$D$130+7+1),0)</f>
        <v>416305.416597263</v>
      </c>
      <c r="L34" s="39" t="n">
        <f aca="false">IF(('Inputs &amp; Assumptions'!$D$130+8)&lt;='Inputs &amp; Assumptions'!$C$13,INDEX('Inputs &amp; Assumptions'!$D$70:$D$98,'Inputs &amp; Assumptions'!$D$130+8+1),0)</f>
        <v>403816.254099345</v>
      </c>
      <c r="M34" s="39" t="n">
        <f aca="false">IF(('Inputs &amp; Assumptions'!$D$130+9)&lt;='Inputs &amp; Assumptions'!$C$13,INDEX('Inputs &amp; Assumptions'!$D$70:$D$98,'Inputs &amp; Assumptions'!$D$130+9+1),0)</f>
        <v>391701.766476365</v>
      </c>
      <c r="N34" s="39" t="n">
        <f aca="false">IF(('Inputs &amp; Assumptions'!$D$130+10)&lt;='Inputs &amp; Assumptions'!$C$13,INDEX('Inputs &amp; Assumptions'!$D$70:$D$98,'Inputs &amp; Assumptions'!$D$130+10+1),0)</f>
        <v>379950.713482074</v>
      </c>
      <c r="O34" s="39" t="n">
        <f aca="false">IF(('Inputs &amp; Assumptions'!$D$130+11)&lt;='Inputs &amp; Assumptions'!$C$13,INDEX('Inputs &amp; Assumptions'!$D$70:$D$98,'Inputs &amp; Assumptions'!$D$130+11+1),0)</f>
        <v>368552.192077611</v>
      </c>
      <c r="P34" s="39" t="n">
        <f aca="false">IF(('Inputs &amp; Assumptions'!$D$130+12)&lt;='Inputs &amp; Assumptions'!$C$13,INDEX('Inputs &amp; Assumptions'!$D$70:$D$98,'Inputs &amp; Assumptions'!$D$130+12+1),0)</f>
        <v>357495.626315283</v>
      </c>
      <c r="Q34" s="39" t="n">
        <f aca="false">IF(('Inputs &amp; Assumptions'!$D$130+13)&lt;='Inputs &amp; Assumptions'!$C$13,INDEX('Inputs &amp; Assumptions'!$D$70:$D$98,'Inputs &amp; Assumptions'!$D$130+13+1),0)</f>
        <v>346770.757525825</v>
      </c>
      <c r="R34" s="39" t="n">
        <f aca="false">IF(('Inputs &amp; Assumptions'!$D$130+14)&lt;='Inputs &amp; Assumptions'!$C$13,INDEX('Inputs &amp; Assumptions'!$D$70:$D$98,'Inputs &amp; Assumptions'!$D$130+14+1),0)</f>
        <v>336367.63480005</v>
      </c>
      <c r="S34" s="39" t="n">
        <f aca="false">IF(('Inputs &amp; Assumptions'!$D$130+15)&lt;='Inputs &amp; Assumptions'!$C$13,INDEX('Inputs &amp; Assumptions'!$D$70:$D$98,'Inputs &amp; Assumptions'!$D$130+15+1),0)</f>
        <v>326276.605756048</v>
      </c>
      <c r="T34" s="39" t="n">
        <f aca="false">IF(('Inputs &amp; Assumptions'!$D$130+16)&lt;='Inputs &amp; Assumptions'!$C$13,INDEX('Inputs &amp; Assumptions'!$D$70:$D$98,'Inputs &amp; Assumptions'!$D$130+16+1),0)</f>
        <v>316488.307583367</v>
      </c>
      <c r="U34" s="39" t="n">
        <f aca="false">IF(('Inputs &amp; Assumptions'!$D$130+17)&lt;='Inputs &amp; Assumptions'!$C$13,INDEX('Inputs &amp; Assumptions'!$D$70:$D$98,'Inputs &amp; Assumptions'!$D$130+17+1),0)</f>
        <v>306993.658355866</v>
      </c>
      <c r="V34" s="39" t="n">
        <f aca="false">IF(('Inputs &amp; Assumptions'!$D$130+18)&lt;='Inputs &amp; Assumptions'!$C$13,INDEX('Inputs &amp; Assumptions'!$D$70:$D$98,'Inputs &amp; Assumptions'!$D$130+18+1),0)</f>
        <v>9926128.28683967</v>
      </c>
      <c r="W34" s="39" t="n">
        <f aca="false">IF(('Inputs &amp; Assumptions'!$D$130+19)&lt;='Inputs &amp; Assumptions'!$C$13,INDEX('Inputs &amp; Assumptions'!$D$70:$D$98,'Inputs &amp; Assumptions'!$D$130+19+1),0)</f>
        <v>0</v>
      </c>
      <c r="X34" s="39" t="n">
        <f aca="false">IF(('Inputs &amp; Assumptions'!$D$130+20)&lt;='Inputs &amp; Assumptions'!$C$13,INDEX('Inputs &amp; Assumptions'!$D$70:$D$98,'Inputs &amp; Assumptions'!$D$130+20+1),0)</f>
        <v>0</v>
      </c>
      <c r="Y34" s="39" t="n">
        <f aca="false">IF(('Inputs &amp; Assumptions'!$D$130+21)&lt;='Inputs &amp; Assumptions'!$C$13,INDEX('Inputs &amp; Assumptions'!$D$70:$D$98,'Inputs &amp; Assumptions'!$D$130+21+1),0)</f>
        <v>0</v>
      </c>
      <c r="Z34" s="39" t="n">
        <f aca="false">IF(('Inputs &amp; Assumptions'!$D$130+22)&lt;='Inputs &amp; Assumptions'!$C$13,INDEX('Inputs &amp; Assumptions'!$D$70:$D$98,'Inputs &amp; Assumptions'!$D$130+22+1),0)</f>
        <v>0</v>
      </c>
      <c r="AA34" s="39" t="n">
        <f aca="false">IF(('Inputs &amp; Assumptions'!$D$130+23)&lt;='Inputs &amp; Assumptions'!$C$13,INDEX('Inputs &amp; Assumptions'!$D$70:$D$98,'Inputs &amp; Assumptions'!$D$130+23+1),0)</f>
        <v>0</v>
      </c>
      <c r="AB34" s="39" t="n">
        <f aca="false">IF(('Inputs &amp; Assumptions'!$D$130+24)&lt;='Inputs &amp; Assumptions'!$C$13,INDEX('Inputs &amp; Assumptions'!$D$70:$D$98,'Inputs &amp; Assumptions'!$D$130+24+1),0)</f>
        <v>0</v>
      </c>
      <c r="AC34" s="39" t="n">
        <f aca="false">IF(('Inputs &amp; Assumptions'!$D$130+25)&lt;='Inputs &amp; Assumptions'!$C$13,INDEX('Inputs &amp; Assumptions'!$D$70:$D$98,'Inputs &amp; Assumptions'!$D$130+25+1),0)</f>
        <v>0</v>
      </c>
      <c r="AD34" s="39" t="n">
        <f aca="false">IF(('Inputs &amp; Assumptions'!$D$130+26)&lt;='Inputs &amp; Assumptions'!$C$13,INDEX('Inputs &amp; Assumptions'!$D$70:$D$98,'Inputs &amp; Assumptions'!$D$130+26+1),0)</f>
        <v>0</v>
      </c>
      <c r="AE34" s="39" t="n">
        <f aca="false">IF(('Inputs &amp; Assumptions'!$D$130+27)&lt;='Inputs &amp; Assumptions'!$C$13,INDEX('Inputs &amp; Assumptions'!$D$70:$D$98,'Inputs &amp; Assumptions'!$D$130+27+1),0)</f>
        <v>0</v>
      </c>
      <c r="AF34" s="39" t="n">
        <f aca="false">IF(('Inputs &amp; Assumptions'!$D$130+28)&lt;='Inputs &amp; Assumptions'!$C$13,INDEX('Inputs &amp; Assumptions'!$D$70:$D$98,'Inputs &amp; Assumptions'!$D$130+28+1),0)</f>
        <v>0</v>
      </c>
      <c r="AG34" s="39" t="n">
        <f aca="false">IF(('Inputs &amp; Assumptions'!$D$130+29)&lt;='Inputs &amp; Assumptions'!$C$13,INDEX('Inputs &amp; Assumptions'!$D$70:$D$98,'Inputs &amp; Assumptions'!$D$130+29+1),0)</f>
        <v>0</v>
      </c>
      <c r="AH34" s="39" t="n">
        <f aca="false">IF(('Inputs &amp; Assumptions'!$D$130+30)&lt;='Inputs &amp; Assumptions'!$C$13,INDEX('Inputs &amp; Assumptions'!$D$70:$D$98,'Inputs &amp; Assumptions'!$D$130+30+1),0)</f>
        <v>0</v>
      </c>
      <c r="AI34" s="39" t="n">
        <f aca="false">IF(('Inputs &amp; Assumptions'!$D$130+31)&lt;='Inputs &amp; Assumptions'!$C$13,INDEX('Inputs &amp; Assumptions'!$D$70:$D$98,'Inputs &amp; Assumptions'!$D$130+31+1),0)</f>
        <v>0</v>
      </c>
      <c r="AJ34" s="39" t="n">
        <f aca="false">IF(('Inputs &amp; Assumptions'!$D$130+32)&lt;='Inputs &amp; Assumptions'!$C$13,INDEX('Inputs &amp; Assumptions'!$D$70:$D$98,'Inputs &amp; Assumptions'!$D$130+32+1),0)</f>
        <v>0</v>
      </c>
      <c r="AK34" s="39" t="n">
        <f aca="false">IF(('Inputs &amp; Assumptions'!$D$130+33)&lt;='Inputs &amp; Assumptions'!$C$13,INDEX('Inputs &amp; Assumptions'!$D$70:$D$98,'Inputs &amp; Assumptions'!$D$130+33+1),0)</f>
        <v>0</v>
      </c>
      <c r="AL34" s="39" t="n">
        <f aca="false">IF(('Inputs &amp; Assumptions'!$D$130+34)&lt;='Inputs &amp; Assumptions'!$C$13,INDEX('Inputs &amp; Assumptions'!$D$70:$D$98,'Inputs &amp; Assumptions'!$D$130+34+1),0)</f>
        <v>0</v>
      </c>
      <c r="AM34" s="39" t="n">
        <f aca="false">IF(('Inputs &amp; Assumptions'!$D$130+35)&lt;='Inputs &amp; Assumptions'!$C$13,INDEX('Inputs &amp; Assumptions'!$D$70:$D$98,'Inputs &amp; Assumptions'!$D$130+35+1),0)</f>
        <v>0</v>
      </c>
      <c r="AN34" s="39" t="n">
        <f aca="false">IF(('Inputs &amp; Assumptions'!$D$130+36)&lt;='Inputs &amp; Assumptions'!$C$13,INDEX('Inputs &amp; Assumptions'!$D$70:$D$98,'Inputs &amp; Assumptions'!$D$130+36+1),0)</f>
        <v>0</v>
      </c>
    </row>
    <row r="35" customFormat="false" ht="15" hidden="false" customHeight="false" outlineLevel="0" collapsed="false">
      <c r="B35" s="38" t="n">
        <f aca="false">'Inputs &amp; Assumptions'!$B$131</f>
        <v>30</v>
      </c>
      <c r="E35" s="39" t="n">
        <f aca="false">IF(('Inputs &amp; Assumptions'!$D$131+1)&lt;='Inputs &amp; Assumptions'!$C$13,INDEX('Inputs &amp; Assumptions'!$D$70:$D$98,'Inputs &amp; Assumptions'!$D$131+1+1),0)</f>
        <v>499783.2029574</v>
      </c>
      <c r="F35" s="39" t="n">
        <f aca="false">IF(('Inputs &amp; Assumptions'!$D$131+2)&lt;='Inputs &amp; Assumptions'!$C$13,INDEX('Inputs &amp; Assumptions'!$D$70:$D$98,'Inputs &amp; Assumptions'!$D$131+2+1),0)</f>
        <v>484789.706868678</v>
      </c>
      <c r="G35" s="39" t="n">
        <f aca="false">IF(('Inputs &amp; Assumptions'!$D$131+3)&lt;='Inputs &amp; Assumptions'!$C$13,INDEX('Inputs &amp; Assumptions'!$D$70:$D$98,'Inputs &amp; Assumptions'!$D$131+3+1),0)</f>
        <v>470246.015662618</v>
      </c>
      <c r="H35" s="39" t="n">
        <f aca="false">IF(('Inputs &amp; Assumptions'!$D$131+4)&lt;='Inputs &amp; Assumptions'!$C$13,INDEX('Inputs &amp; Assumptions'!$D$70:$D$98,'Inputs &amp; Assumptions'!$D$131+4+1),0)</f>
        <v>456138.635192739</v>
      </c>
      <c r="I35" s="39" t="n">
        <f aca="false">IF(('Inputs &amp; Assumptions'!$D$131+5)&lt;='Inputs &amp; Assumptions'!$C$13,INDEX('Inputs &amp; Assumptions'!$D$70:$D$98,'Inputs &amp; Assumptions'!$D$131+5+1),0)</f>
        <v>442454.476136957</v>
      </c>
      <c r="J35" s="39" t="n">
        <f aca="false">IF(('Inputs &amp; Assumptions'!$D$131+6)&lt;='Inputs &amp; Assumptions'!$C$13,INDEX('Inputs &amp; Assumptions'!$D$70:$D$98,'Inputs &amp; Assumptions'!$D$131+6+1),0)</f>
        <v>429180.841852848</v>
      </c>
      <c r="K35" s="39" t="n">
        <f aca="false">IF(('Inputs &amp; Assumptions'!$D$131+7)&lt;='Inputs &amp; Assumptions'!$C$13,INDEX('Inputs &amp; Assumptions'!$D$70:$D$98,'Inputs &amp; Assumptions'!$D$131+7+1),0)</f>
        <v>416305.416597263</v>
      </c>
      <c r="L35" s="39" t="n">
        <f aca="false">IF(('Inputs &amp; Assumptions'!$D$131+8)&lt;='Inputs &amp; Assumptions'!$C$13,INDEX('Inputs &amp; Assumptions'!$D$70:$D$98,'Inputs &amp; Assumptions'!$D$131+8+1),0)</f>
        <v>403816.254099345</v>
      </c>
      <c r="M35" s="39" t="n">
        <f aca="false">IF(('Inputs &amp; Assumptions'!$D$131+9)&lt;='Inputs &amp; Assumptions'!$C$13,INDEX('Inputs &amp; Assumptions'!$D$70:$D$98,'Inputs &amp; Assumptions'!$D$131+9+1),0)</f>
        <v>391701.766476365</v>
      </c>
      <c r="N35" s="39" t="n">
        <f aca="false">IF(('Inputs &amp; Assumptions'!$D$131+10)&lt;='Inputs &amp; Assumptions'!$C$13,INDEX('Inputs &amp; Assumptions'!$D$70:$D$98,'Inputs &amp; Assumptions'!$D$131+10+1),0)</f>
        <v>379950.713482074</v>
      </c>
      <c r="O35" s="39" t="n">
        <f aca="false">IF(('Inputs &amp; Assumptions'!$D$131+11)&lt;='Inputs &amp; Assumptions'!$C$13,INDEX('Inputs &amp; Assumptions'!$D$70:$D$98,'Inputs &amp; Assumptions'!$D$131+11+1),0)</f>
        <v>368552.192077611</v>
      </c>
      <c r="P35" s="39" t="n">
        <f aca="false">IF(('Inputs &amp; Assumptions'!$D$131+12)&lt;='Inputs &amp; Assumptions'!$C$13,INDEX('Inputs &amp; Assumptions'!$D$70:$D$98,'Inputs &amp; Assumptions'!$D$131+12+1),0)</f>
        <v>357495.626315283</v>
      </c>
      <c r="Q35" s="39" t="n">
        <f aca="false">IF(('Inputs &amp; Assumptions'!$D$131+13)&lt;='Inputs &amp; Assumptions'!$C$13,INDEX('Inputs &amp; Assumptions'!$D$70:$D$98,'Inputs &amp; Assumptions'!$D$131+13+1),0)</f>
        <v>346770.757525825</v>
      </c>
      <c r="R35" s="39" t="n">
        <f aca="false">IF(('Inputs &amp; Assumptions'!$D$131+14)&lt;='Inputs &amp; Assumptions'!$C$13,INDEX('Inputs &amp; Assumptions'!$D$70:$D$98,'Inputs &amp; Assumptions'!$D$131+14+1),0)</f>
        <v>336367.63480005</v>
      </c>
      <c r="S35" s="39" t="n">
        <f aca="false">IF(('Inputs &amp; Assumptions'!$D$131+15)&lt;='Inputs &amp; Assumptions'!$C$13,INDEX('Inputs &amp; Assumptions'!$D$70:$D$98,'Inputs &amp; Assumptions'!$D$131+15+1),0)</f>
        <v>326276.605756048</v>
      </c>
      <c r="T35" s="39" t="n">
        <f aca="false">IF(('Inputs &amp; Assumptions'!$D$131+16)&lt;='Inputs &amp; Assumptions'!$C$13,INDEX('Inputs &amp; Assumptions'!$D$70:$D$98,'Inputs &amp; Assumptions'!$D$131+16+1),0)</f>
        <v>316488.307583367</v>
      </c>
      <c r="U35" s="39" t="n">
        <f aca="false">IF(('Inputs &amp; Assumptions'!$D$131+17)&lt;='Inputs &amp; Assumptions'!$C$13,INDEX('Inputs &amp; Assumptions'!$D$70:$D$98,'Inputs &amp; Assumptions'!$D$131+17+1),0)</f>
        <v>306993.658355866</v>
      </c>
      <c r="V35" s="39" t="n">
        <f aca="false">IF(('Inputs &amp; Assumptions'!$D$131+18)&lt;='Inputs &amp; Assumptions'!$C$13,INDEX('Inputs &amp; Assumptions'!$D$70:$D$98,'Inputs &amp; Assumptions'!$D$131+18+1),0)</f>
        <v>9926128.28683967</v>
      </c>
      <c r="W35" s="39" t="n">
        <f aca="false">IF(('Inputs &amp; Assumptions'!$D$131+19)&lt;='Inputs &amp; Assumptions'!$C$13,INDEX('Inputs &amp; Assumptions'!$D$70:$D$98,'Inputs &amp; Assumptions'!$D$131+19+1),0)</f>
        <v>0</v>
      </c>
      <c r="X35" s="39" t="n">
        <f aca="false">IF(('Inputs &amp; Assumptions'!$D$131+20)&lt;='Inputs &amp; Assumptions'!$C$13,INDEX('Inputs &amp; Assumptions'!$D$70:$D$98,'Inputs &amp; Assumptions'!$D$131+20+1),0)</f>
        <v>0</v>
      </c>
      <c r="Y35" s="39" t="n">
        <f aca="false">IF(('Inputs &amp; Assumptions'!$D$131+21)&lt;='Inputs &amp; Assumptions'!$C$13,INDEX('Inputs &amp; Assumptions'!$D$70:$D$98,'Inputs &amp; Assumptions'!$D$131+21+1),0)</f>
        <v>0</v>
      </c>
      <c r="Z35" s="39" t="n">
        <f aca="false">IF(('Inputs &amp; Assumptions'!$D$131+22)&lt;='Inputs &amp; Assumptions'!$C$13,INDEX('Inputs &amp; Assumptions'!$D$70:$D$98,'Inputs &amp; Assumptions'!$D$131+22+1),0)</f>
        <v>0</v>
      </c>
      <c r="AA35" s="39" t="n">
        <f aca="false">IF(('Inputs &amp; Assumptions'!$D$131+23)&lt;='Inputs &amp; Assumptions'!$C$13,INDEX('Inputs &amp; Assumptions'!$D$70:$D$98,'Inputs &amp; Assumptions'!$D$131+23+1),0)</f>
        <v>0</v>
      </c>
      <c r="AB35" s="39" t="n">
        <f aca="false">IF(('Inputs &amp; Assumptions'!$D$131+24)&lt;='Inputs &amp; Assumptions'!$C$13,INDEX('Inputs &amp; Assumptions'!$D$70:$D$98,'Inputs &amp; Assumptions'!$D$131+24+1),0)</f>
        <v>0</v>
      </c>
      <c r="AC35" s="39" t="n">
        <f aca="false">IF(('Inputs &amp; Assumptions'!$D$131+25)&lt;='Inputs &amp; Assumptions'!$C$13,INDEX('Inputs &amp; Assumptions'!$D$70:$D$98,'Inputs &amp; Assumptions'!$D$131+25+1),0)</f>
        <v>0</v>
      </c>
      <c r="AD35" s="39" t="n">
        <f aca="false">IF(('Inputs &amp; Assumptions'!$D$131+26)&lt;='Inputs &amp; Assumptions'!$C$13,INDEX('Inputs &amp; Assumptions'!$D$70:$D$98,'Inputs &amp; Assumptions'!$D$131+26+1),0)</f>
        <v>0</v>
      </c>
      <c r="AE35" s="39" t="n">
        <f aca="false">IF(('Inputs &amp; Assumptions'!$D$131+27)&lt;='Inputs &amp; Assumptions'!$C$13,INDEX('Inputs &amp; Assumptions'!$D$70:$D$98,'Inputs &amp; Assumptions'!$D$131+27+1),0)</f>
        <v>0</v>
      </c>
      <c r="AF35" s="39" t="n">
        <f aca="false">IF(('Inputs &amp; Assumptions'!$D$131+28)&lt;='Inputs &amp; Assumptions'!$C$13,INDEX('Inputs &amp; Assumptions'!$D$70:$D$98,'Inputs &amp; Assumptions'!$D$131+28+1),0)</f>
        <v>0</v>
      </c>
      <c r="AG35" s="39" t="n">
        <f aca="false">IF(('Inputs &amp; Assumptions'!$D$131+29)&lt;='Inputs &amp; Assumptions'!$C$13,INDEX('Inputs &amp; Assumptions'!$D$70:$D$98,'Inputs &amp; Assumptions'!$D$131+29+1),0)</f>
        <v>0</v>
      </c>
      <c r="AH35" s="39" t="n">
        <f aca="false">IF(('Inputs &amp; Assumptions'!$D$131+30)&lt;='Inputs &amp; Assumptions'!$C$13,INDEX('Inputs &amp; Assumptions'!$D$70:$D$98,'Inputs &amp; Assumptions'!$D$131+30+1),0)</f>
        <v>0</v>
      </c>
      <c r="AI35" s="39" t="n">
        <f aca="false">IF(('Inputs &amp; Assumptions'!$D$131+31)&lt;='Inputs &amp; Assumptions'!$C$13,INDEX('Inputs &amp; Assumptions'!$D$70:$D$98,'Inputs &amp; Assumptions'!$D$131+31+1),0)</f>
        <v>0</v>
      </c>
      <c r="AJ35" s="39" t="n">
        <f aca="false">IF(('Inputs &amp; Assumptions'!$D$131+32)&lt;='Inputs &amp; Assumptions'!$C$13,INDEX('Inputs &amp; Assumptions'!$D$70:$D$98,'Inputs &amp; Assumptions'!$D$131+32+1),0)</f>
        <v>0</v>
      </c>
      <c r="AK35" s="39" t="n">
        <f aca="false">IF(('Inputs &amp; Assumptions'!$D$131+33)&lt;='Inputs &amp; Assumptions'!$C$13,INDEX('Inputs &amp; Assumptions'!$D$70:$D$98,'Inputs &amp; Assumptions'!$D$131+33+1),0)</f>
        <v>0</v>
      </c>
      <c r="AL35" s="39" t="n">
        <f aca="false">IF(('Inputs &amp; Assumptions'!$D$131+34)&lt;='Inputs &amp; Assumptions'!$C$13,INDEX('Inputs &amp; Assumptions'!$D$70:$D$98,'Inputs &amp; Assumptions'!$D$131+34+1),0)</f>
        <v>0</v>
      </c>
      <c r="AM35" s="39" t="n">
        <f aca="false">IF(('Inputs &amp; Assumptions'!$D$131+35)&lt;='Inputs &amp; Assumptions'!$C$13,INDEX('Inputs &amp; Assumptions'!$D$70:$D$98,'Inputs &amp; Assumptions'!$D$131+35+1),0)</f>
        <v>0</v>
      </c>
      <c r="AN35" s="39" t="n">
        <f aca="false">IF(('Inputs &amp; Assumptions'!$D$131+36)&lt;='Inputs &amp; Assumptions'!$C$13,INDEX('Inputs &amp; Assumptions'!$D$70:$D$98,'Inputs &amp; Assumptions'!$D$131+36+1),0)</f>
        <v>0</v>
      </c>
    </row>
    <row r="36" customFormat="false" ht="15" hidden="false" customHeight="false" outlineLevel="0" collapsed="false">
      <c r="A36" s="14" t="s">
        <v>115</v>
      </c>
      <c r="B36" s="38" t="n">
        <f aca="false">'Inputs &amp; Assumptions'!$B$102</f>
        <v>1</v>
      </c>
      <c r="E36" s="39" t="n">
        <f aca="false">IF(AND(('Inputs &amp; Assumptions'!$D$102+1)&gt;=1,('Inputs &amp; Assumptions'!$D$102+1)&lt;='Inputs &amp; Assumptions'!$C$13),'Inputs &amp; Assumptions'!E$51/4*INDEX('Inputs &amp; Assumptions'!$E$70:$E$98,'Inputs &amp; Assumptions'!$D$102+1),0)</f>
        <v>366200</v>
      </c>
      <c r="F36" s="39" t="n">
        <f aca="false">IF(AND(('Inputs &amp; Assumptions'!$D$102+2)&gt;=1,('Inputs &amp; Assumptions'!$D$102+2)&lt;='Inputs &amp; Assumptions'!$C$13),'Inputs &amp; Assumptions'!F$51/4*INDEX('Inputs &amp; Assumptions'!$E$70:$E$98,'Inputs &amp; Assumptions'!$D$102+2),0)</f>
        <v>366200</v>
      </c>
      <c r="G36" s="39" t="n">
        <f aca="false">IF(AND(('Inputs &amp; Assumptions'!$D$102+3)&gt;=1,('Inputs &amp; Assumptions'!$D$102+3)&lt;='Inputs &amp; Assumptions'!$C$13),'Inputs &amp; Assumptions'!G$51/4*INDEX('Inputs &amp; Assumptions'!$E$70:$E$98,'Inputs &amp; Assumptions'!$D$102+3),0)</f>
        <v>366200</v>
      </c>
      <c r="H36" s="39" t="n">
        <f aca="false">IF(AND(('Inputs &amp; Assumptions'!$D$102+4)&gt;=1,('Inputs &amp; Assumptions'!$D$102+4)&lt;='Inputs &amp; Assumptions'!$C$13),'Inputs &amp; Assumptions'!H$51/4*INDEX('Inputs &amp; Assumptions'!$E$70:$E$98,'Inputs &amp; Assumptions'!$D$102+4),0)</f>
        <v>366200</v>
      </c>
      <c r="I36" s="39" t="n">
        <f aca="false">IF(AND(('Inputs &amp; Assumptions'!$D$102+5)&gt;=1,('Inputs &amp; Assumptions'!$D$102+5)&lt;='Inputs &amp; Assumptions'!$C$13),'Inputs &amp; Assumptions'!I$51/4*INDEX('Inputs &amp; Assumptions'!$E$70:$E$98,'Inputs &amp; Assumptions'!$D$102+5),0)</f>
        <v>366200</v>
      </c>
      <c r="J36" s="39" t="n">
        <f aca="false">IF(AND(('Inputs &amp; Assumptions'!$D$102+6)&gt;=1,('Inputs &amp; Assumptions'!$D$102+6)&lt;='Inputs &amp; Assumptions'!$C$13),'Inputs &amp; Assumptions'!J$51/4*INDEX('Inputs &amp; Assumptions'!$E$70:$E$98,'Inputs &amp; Assumptions'!$D$102+6),0)</f>
        <v>355214</v>
      </c>
      <c r="K36" s="39" t="n">
        <f aca="false">IF(AND(('Inputs &amp; Assumptions'!$D$102+7)&gt;=1,('Inputs &amp; Assumptions'!$D$102+7)&lt;='Inputs &amp; Assumptions'!$C$13),'Inputs &amp; Assumptions'!K$51/4*INDEX('Inputs &amp; Assumptions'!$E$70:$E$98,'Inputs &amp; Assumptions'!$D$102+7),0)</f>
        <v>344557.58</v>
      </c>
      <c r="L36" s="39" t="n">
        <f aca="false">IF(AND(('Inputs &amp; Assumptions'!$D$102+8)&gt;=1,('Inputs &amp; Assumptions'!$D$102+8)&lt;='Inputs &amp; Assumptions'!$C$13),'Inputs &amp; Assumptions'!L$51/4*INDEX('Inputs &amp; Assumptions'!$E$70:$E$98,'Inputs &amp; Assumptions'!$D$102+8),0)</f>
        <v>334220.8526</v>
      </c>
      <c r="M36" s="39" t="n">
        <f aca="false">IF(AND(('Inputs &amp; Assumptions'!$D$102+9)&gt;=1,('Inputs &amp; Assumptions'!$D$102+9)&lt;='Inputs &amp; Assumptions'!$C$13),'Inputs &amp; Assumptions'!M$51/4*INDEX('Inputs &amp; Assumptions'!$E$70:$E$98,'Inputs &amp; Assumptions'!$D$102+9),0)</f>
        <v>324194.227022</v>
      </c>
      <c r="N36" s="39" t="n">
        <f aca="false">IF(AND(('Inputs &amp; Assumptions'!$D$102+10)&gt;=1,('Inputs &amp; Assumptions'!$D$102+10)&lt;='Inputs &amp; Assumptions'!$C$13),'Inputs &amp; Assumptions'!N$51/4*INDEX('Inputs &amp; Assumptions'!$E$70:$E$98,'Inputs &amp; Assumptions'!$D$102+10),0)</f>
        <v>314468.40021134</v>
      </c>
      <c r="O36" s="39" t="n">
        <f aca="false">IF(AND(('Inputs &amp; Assumptions'!$D$102+11)&gt;=1,('Inputs &amp; Assumptions'!$D$102+11)&lt;='Inputs &amp; Assumptions'!$C$13),'Inputs &amp; Assumptions'!O$51/4*INDEX('Inputs &amp; Assumptions'!$E$70:$E$98,'Inputs &amp; Assumptions'!$D$102+11),0)</f>
        <v>305034.348205</v>
      </c>
      <c r="P36" s="39" t="n">
        <f aca="false">IF(AND(('Inputs &amp; Assumptions'!$D$102+12)&gt;=1,('Inputs &amp; Assumptions'!$D$102+12)&lt;='Inputs &amp; Assumptions'!$C$13),'Inputs &amp; Assumptions'!P$51/4*INDEX('Inputs &amp; Assumptions'!$E$70:$E$98,'Inputs &amp; Assumptions'!$D$102+12),0)</f>
        <v>295883.31775885</v>
      </c>
      <c r="Q36" s="39" t="n">
        <f aca="false">IF(AND(('Inputs &amp; Assumptions'!$D$102+13)&gt;=1,('Inputs &amp; Assumptions'!$D$102+13)&lt;='Inputs &amp; Assumptions'!$C$13),'Inputs &amp; Assumptions'!Q$51/4*INDEX('Inputs &amp; Assumptions'!$E$70:$E$98,'Inputs &amp; Assumptions'!$D$102+13),0)</f>
        <v>287006.818226084</v>
      </c>
      <c r="R36" s="39" t="n">
        <f aca="false">IF(AND(('Inputs &amp; Assumptions'!$D$102+14)&gt;=1,('Inputs &amp; Assumptions'!$D$102+14)&lt;='Inputs &amp; Assumptions'!$C$13),'Inputs &amp; Assumptions'!R$51/4*INDEX('Inputs &amp; Assumptions'!$E$70:$E$98,'Inputs &amp; Assumptions'!$D$102+14),0)</f>
        <v>278396.613679302</v>
      </c>
      <c r="S36" s="39" t="n">
        <f aca="false">IF(AND(('Inputs &amp; Assumptions'!$D$102+15)&gt;=1,('Inputs &amp; Assumptions'!$D$102+15)&lt;='Inputs &amp; Assumptions'!$C$13),'Inputs &amp; Assumptions'!S$51/4*INDEX('Inputs &amp; Assumptions'!$E$70:$E$98,'Inputs &amp; Assumptions'!$D$102+15),0)</f>
        <v>270044.715268923</v>
      </c>
      <c r="T36" s="39" t="n">
        <f aca="false">IF(AND(('Inputs &amp; Assumptions'!$D$102+16)&gt;=1,('Inputs &amp; Assumptions'!$D$102+16)&lt;='Inputs &amp; Assumptions'!$C$13),'Inputs &amp; Assumptions'!T$51/4*INDEX('Inputs &amp; Assumptions'!$E$70:$E$98,'Inputs &amp; Assumptions'!$D$102+16),0)</f>
        <v>261943.373810855</v>
      </c>
      <c r="U36" s="39" t="n">
        <f aca="false">IF(AND(('Inputs &amp; Assumptions'!$D$102+17)&gt;=1,('Inputs &amp; Assumptions'!$D$102+17)&lt;='Inputs &amp; Assumptions'!$C$13),'Inputs &amp; Assumptions'!U$51/4*INDEX('Inputs &amp; Assumptions'!$E$70:$E$98,'Inputs &amp; Assumptions'!$D$102+17),0)</f>
        <v>254085.072596529</v>
      </c>
      <c r="V36" s="39" t="n">
        <f aca="false">IF(AND(('Inputs &amp; Assumptions'!$D$102+18)&gt;=1,('Inputs &amp; Assumptions'!$D$102+18)&lt;='Inputs &amp; Assumptions'!$C$13),'Inputs &amp; Assumptions'!V$51/4*INDEX('Inputs &amp; Assumptions'!$E$70:$E$98,'Inputs &amp; Assumptions'!$D$102+18),0)</f>
        <v>246462.520418634</v>
      </c>
      <c r="W36" s="39" t="n">
        <f aca="false">IF(AND(('Inputs &amp; Assumptions'!$D$102+19)&gt;=1,('Inputs &amp; Assumptions'!$D$102+19)&lt;='Inputs &amp; Assumptions'!$C$13),'Inputs &amp; Assumptions'!W$51/4*INDEX('Inputs &amp; Assumptions'!$E$70:$E$98,'Inputs &amp; Assumptions'!$D$102+19),0)</f>
        <v>239068.644806075</v>
      </c>
      <c r="X36" s="39" t="n">
        <f aca="false">IF(AND(('Inputs &amp; Assumptions'!$D$102+20)&gt;=1,('Inputs &amp; Assumptions'!$D$102+20)&lt;='Inputs &amp; Assumptions'!$C$13),'Inputs &amp; Assumptions'!X$51/4*INDEX('Inputs &amp; Assumptions'!$E$70:$E$98,'Inputs &amp; Assumptions'!$D$102+20),0)</f>
        <v>231896.585461892</v>
      </c>
      <c r="Y36" s="39" t="n">
        <f aca="false">IF(AND(('Inputs &amp; Assumptions'!$D$102+21)&gt;=1,('Inputs &amp; Assumptions'!$D$102+21)&lt;='Inputs &amp; Assumptions'!$C$13),'Inputs &amp; Assumptions'!Y$51/4*INDEX('Inputs &amp; Assumptions'!$E$70:$E$98,'Inputs &amp; Assumptions'!$D$102+21),0)</f>
        <v>224939.687898036</v>
      </c>
      <c r="Z36" s="39" t="n">
        <f aca="false">IF(AND(('Inputs &amp; Assumptions'!$D$102+22)&gt;=1,('Inputs &amp; Assumptions'!$D$102+22)&lt;='Inputs &amp; Assumptions'!$C$13),'Inputs &amp; Assumptions'!Z$51/4*INDEX('Inputs &amp; Assumptions'!$E$70:$E$98,'Inputs &amp; Assumptions'!$D$102+22),0)</f>
        <v>218191.497261094</v>
      </c>
      <c r="AA36" s="39" t="n">
        <f aca="false">IF(AND(('Inputs &amp; Assumptions'!$D$102+23)&gt;=1,('Inputs &amp; Assumptions'!$D$102+23)&lt;='Inputs &amp; Assumptions'!$C$13),'Inputs &amp; Assumptions'!AA$51/4*INDEX('Inputs &amp; Assumptions'!$E$70:$E$98,'Inputs &amp; Assumptions'!$D$102+23),0)</f>
        <v>211645.752343262</v>
      </c>
      <c r="AB36" s="39" t="n">
        <f aca="false">IF(AND(('Inputs &amp; Assumptions'!$D$102+24)&gt;=1,('Inputs &amp; Assumptions'!$D$102+24)&lt;='Inputs &amp; Assumptions'!$C$13),'Inputs &amp; Assumptions'!AB$51/4*INDEX('Inputs &amp; Assumptions'!$E$70:$E$98,'Inputs &amp; Assumptions'!$D$102+24),0)</f>
        <v>205296.379772964</v>
      </c>
      <c r="AC36" s="39" t="n">
        <f aca="false">IF(AND(('Inputs &amp; Assumptions'!$D$102+25)&gt;=1,('Inputs &amp; Assumptions'!$D$102+25)&lt;='Inputs &amp; Assumptions'!$C$13),'Inputs &amp; Assumptions'!AC$51/4*INDEX('Inputs &amp; Assumptions'!$E$70:$E$98,'Inputs &amp; Assumptions'!$D$102+25),0)</f>
        <v>199137.488379775</v>
      </c>
      <c r="AD36" s="39" t="n">
        <f aca="false">IF(AND(('Inputs &amp; Assumptions'!$D$102+26)&gt;=1,('Inputs &amp; Assumptions'!$D$102+26)&lt;='Inputs &amp; Assumptions'!$C$13),'Inputs &amp; Assumptions'!AD$51/4*INDEX('Inputs &amp; Assumptions'!$E$70:$E$98,'Inputs &amp; Assumptions'!$D$102+26),0)</f>
        <v>193163.363728382</v>
      </c>
      <c r="AE36" s="39" t="n">
        <f aca="false">IF(AND(('Inputs &amp; Assumptions'!$D$102+27)&gt;=1,('Inputs &amp; Assumptions'!$D$102+27)&lt;='Inputs &amp; Assumptions'!$C$13),'Inputs &amp; Assumptions'!AE$51/4*INDEX('Inputs &amp; Assumptions'!$E$70:$E$98,'Inputs &amp; Assumptions'!$D$102+27),0)</f>
        <v>187368.46281653</v>
      </c>
      <c r="AF36" s="39" t="n">
        <f aca="false">IF(AND(('Inputs &amp; Assumptions'!$D$102+28)&gt;=1,('Inputs &amp; Assumptions'!$D$102+28)&lt;='Inputs &amp; Assumptions'!$C$13),'Inputs &amp; Assumptions'!AF$51/4*INDEX('Inputs &amp; Assumptions'!$E$70:$E$98,'Inputs &amp; Assumptions'!$D$102+28),0)</f>
        <v>181747.408932034</v>
      </c>
      <c r="AG36" s="39" t="n">
        <f aca="false">IF(AND(('Inputs &amp; Assumptions'!$D$102+29)&gt;=1,('Inputs &amp; Assumptions'!$D$102+29)&lt;='Inputs &amp; Assumptions'!$C$13),'Inputs &amp; Assumptions'!AG$51/4*INDEX('Inputs &amp; Assumptions'!$E$70:$E$98,'Inputs &amp; Assumptions'!$D$102+29),0)</f>
        <v>0</v>
      </c>
      <c r="AH36" s="39" t="n">
        <f aca="false">IF(AND(('Inputs &amp; Assumptions'!$D$102+30)&gt;=1,('Inputs &amp; Assumptions'!$D$102+30)&lt;='Inputs &amp; Assumptions'!$C$13),'Inputs &amp; Assumptions'!AH$51/4*INDEX('Inputs &amp; Assumptions'!$E$70:$E$98,'Inputs &amp; Assumptions'!$D$102+30),0)</f>
        <v>0</v>
      </c>
      <c r="AI36" s="39" t="n">
        <f aca="false">IF(AND(('Inputs &amp; Assumptions'!$D$102+31)&gt;=1,('Inputs &amp; Assumptions'!$D$102+31)&lt;='Inputs &amp; Assumptions'!$C$13),'Inputs &amp; Assumptions'!AI$51/4*INDEX('Inputs &amp; Assumptions'!$E$70:$E$98,'Inputs &amp; Assumptions'!$D$102+31),0)</f>
        <v>0</v>
      </c>
      <c r="AJ36" s="39" t="n">
        <f aca="false">IF(AND(('Inputs &amp; Assumptions'!$D$102+32)&gt;=1,('Inputs &amp; Assumptions'!$D$102+32)&lt;='Inputs &amp; Assumptions'!$C$13),'Inputs &amp; Assumptions'!AJ$51/4*INDEX('Inputs &amp; Assumptions'!$E$70:$E$98,'Inputs &amp; Assumptions'!$D$102+32),0)</f>
        <v>0</v>
      </c>
      <c r="AK36" s="39" t="n">
        <f aca="false">IF(AND(('Inputs &amp; Assumptions'!$D$102+33)&gt;=1,('Inputs &amp; Assumptions'!$D$102+33)&lt;='Inputs &amp; Assumptions'!$C$13),'Inputs &amp; Assumptions'!AK$51/4*INDEX('Inputs &amp; Assumptions'!$E$70:$E$98,'Inputs &amp; Assumptions'!$D$102+33),0)</f>
        <v>0</v>
      </c>
      <c r="AL36" s="39" t="n">
        <f aca="false">IF(AND(('Inputs &amp; Assumptions'!$D$102+34)&gt;=1,('Inputs &amp; Assumptions'!$D$102+34)&lt;='Inputs &amp; Assumptions'!$C$13),'Inputs &amp; Assumptions'!AL$51/4*INDEX('Inputs &amp; Assumptions'!$E$70:$E$98,'Inputs &amp; Assumptions'!$D$102+34),0)</f>
        <v>0</v>
      </c>
      <c r="AM36" s="39" t="n">
        <f aca="false">IF(AND(('Inputs &amp; Assumptions'!$D$102+35)&gt;=1,('Inputs &amp; Assumptions'!$D$102+35)&lt;='Inputs &amp; Assumptions'!$C$13),'Inputs &amp; Assumptions'!AM$51/4*INDEX('Inputs &amp; Assumptions'!$E$70:$E$98,'Inputs &amp; Assumptions'!$D$102+35),0)</f>
        <v>0</v>
      </c>
      <c r="AN36" s="39" t="n">
        <f aca="false">IF(AND(('Inputs &amp; Assumptions'!$D$102+36)&gt;=1,('Inputs &amp; Assumptions'!$D$102+36)&lt;='Inputs &amp; Assumptions'!$C$13),'Inputs &amp; Assumptions'!AN$51/4*INDEX('Inputs &amp; Assumptions'!$E$70:$E$98,'Inputs &amp; Assumptions'!$D$102+36),0)</f>
        <v>0</v>
      </c>
    </row>
    <row r="37" customFormat="false" ht="15" hidden="false" customHeight="false" outlineLevel="0" collapsed="false">
      <c r="B37" s="38" t="n">
        <f aca="false">'Inputs &amp; Assumptions'!$B$103</f>
        <v>2</v>
      </c>
      <c r="E37" s="39" t="n">
        <f aca="false">IF(AND(('Inputs &amp; Assumptions'!$D$103+1)&gt;=1,('Inputs &amp; Assumptions'!$D$103+1)&lt;='Inputs &amp; Assumptions'!$C$13),'Inputs &amp; Assumptions'!E$51/4*INDEX('Inputs &amp; Assumptions'!$E$70:$E$98,'Inputs &amp; Assumptions'!$D$103+1),0)</f>
        <v>366200</v>
      </c>
      <c r="F37" s="39" t="n">
        <f aca="false">IF(AND(('Inputs &amp; Assumptions'!$D$103+2)&gt;=1,('Inputs &amp; Assumptions'!$D$103+2)&lt;='Inputs &amp; Assumptions'!$C$13),'Inputs &amp; Assumptions'!F$51/4*INDEX('Inputs &amp; Assumptions'!$E$70:$E$98,'Inputs &amp; Assumptions'!$D$103+2),0)</f>
        <v>366200</v>
      </c>
      <c r="G37" s="39" t="n">
        <f aca="false">IF(AND(('Inputs &amp; Assumptions'!$D$103+3)&gt;=1,('Inputs &amp; Assumptions'!$D$103+3)&lt;='Inputs &amp; Assumptions'!$C$13),'Inputs &amp; Assumptions'!G$51/4*INDEX('Inputs &amp; Assumptions'!$E$70:$E$98,'Inputs &amp; Assumptions'!$D$103+3),0)</f>
        <v>366200</v>
      </c>
      <c r="H37" s="39" t="n">
        <f aca="false">IF(AND(('Inputs &amp; Assumptions'!$D$103+4)&gt;=1,('Inputs &amp; Assumptions'!$D$103+4)&lt;='Inputs &amp; Assumptions'!$C$13),'Inputs &amp; Assumptions'!H$51/4*INDEX('Inputs &amp; Assumptions'!$E$70:$E$98,'Inputs &amp; Assumptions'!$D$103+4),0)</f>
        <v>366200</v>
      </c>
      <c r="I37" s="39" t="n">
        <f aca="false">IF(AND(('Inputs &amp; Assumptions'!$D$103+5)&gt;=1,('Inputs &amp; Assumptions'!$D$103+5)&lt;='Inputs &amp; Assumptions'!$C$13),'Inputs &amp; Assumptions'!I$51/4*INDEX('Inputs &amp; Assumptions'!$E$70:$E$98,'Inputs &amp; Assumptions'!$D$103+5),0)</f>
        <v>355214</v>
      </c>
      <c r="J37" s="39" t="n">
        <f aca="false">IF(AND(('Inputs &amp; Assumptions'!$D$103+6)&gt;=1,('Inputs &amp; Assumptions'!$D$103+6)&lt;='Inputs &amp; Assumptions'!$C$13),'Inputs &amp; Assumptions'!J$51/4*INDEX('Inputs &amp; Assumptions'!$E$70:$E$98,'Inputs &amp; Assumptions'!$D$103+6),0)</f>
        <v>344557.58</v>
      </c>
      <c r="K37" s="39" t="n">
        <f aca="false">IF(AND(('Inputs &amp; Assumptions'!$D$103+7)&gt;=1,('Inputs &amp; Assumptions'!$D$103+7)&lt;='Inputs &amp; Assumptions'!$C$13),'Inputs &amp; Assumptions'!K$51/4*INDEX('Inputs &amp; Assumptions'!$E$70:$E$98,'Inputs &amp; Assumptions'!$D$103+7),0)</f>
        <v>334220.8526</v>
      </c>
      <c r="L37" s="39" t="n">
        <f aca="false">IF(AND(('Inputs &amp; Assumptions'!$D$103+8)&gt;=1,('Inputs &amp; Assumptions'!$D$103+8)&lt;='Inputs &amp; Assumptions'!$C$13),'Inputs &amp; Assumptions'!L$51/4*INDEX('Inputs &amp; Assumptions'!$E$70:$E$98,'Inputs &amp; Assumptions'!$D$103+8),0)</f>
        <v>324194.227022</v>
      </c>
      <c r="M37" s="39" t="n">
        <f aca="false">IF(AND(('Inputs &amp; Assumptions'!$D$103+9)&gt;=1,('Inputs &amp; Assumptions'!$D$103+9)&lt;='Inputs &amp; Assumptions'!$C$13),'Inputs &amp; Assumptions'!M$51/4*INDEX('Inputs &amp; Assumptions'!$E$70:$E$98,'Inputs &amp; Assumptions'!$D$103+9),0)</f>
        <v>314468.40021134</v>
      </c>
      <c r="N37" s="39" t="n">
        <f aca="false">IF(AND(('Inputs &amp; Assumptions'!$D$103+10)&gt;=1,('Inputs &amp; Assumptions'!$D$103+10)&lt;='Inputs &amp; Assumptions'!$C$13),'Inputs &amp; Assumptions'!N$51/4*INDEX('Inputs &amp; Assumptions'!$E$70:$E$98,'Inputs &amp; Assumptions'!$D$103+10),0)</f>
        <v>305034.348205</v>
      </c>
      <c r="O37" s="39" t="n">
        <f aca="false">IF(AND(('Inputs &amp; Assumptions'!$D$103+11)&gt;=1,('Inputs &amp; Assumptions'!$D$103+11)&lt;='Inputs &amp; Assumptions'!$C$13),'Inputs &amp; Assumptions'!O$51/4*INDEX('Inputs &amp; Assumptions'!$E$70:$E$98,'Inputs &amp; Assumptions'!$D$103+11),0)</f>
        <v>295883.31775885</v>
      </c>
      <c r="P37" s="39" t="n">
        <f aca="false">IF(AND(('Inputs &amp; Assumptions'!$D$103+12)&gt;=1,('Inputs &amp; Assumptions'!$D$103+12)&lt;='Inputs &amp; Assumptions'!$C$13),'Inputs &amp; Assumptions'!P$51/4*INDEX('Inputs &amp; Assumptions'!$E$70:$E$98,'Inputs &amp; Assumptions'!$D$103+12),0)</f>
        <v>287006.818226084</v>
      </c>
      <c r="Q37" s="39" t="n">
        <f aca="false">IF(AND(('Inputs &amp; Assumptions'!$D$103+13)&gt;=1,('Inputs &amp; Assumptions'!$D$103+13)&lt;='Inputs &amp; Assumptions'!$C$13),'Inputs &amp; Assumptions'!Q$51/4*INDEX('Inputs &amp; Assumptions'!$E$70:$E$98,'Inputs &amp; Assumptions'!$D$103+13),0)</f>
        <v>278396.613679302</v>
      </c>
      <c r="R37" s="39" t="n">
        <f aca="false">IF(AND(('Inputs &amp; Assumptions'!$D$103+14)&gt;=1,('Inputs &amp; Assumptions'!$D$103+14)&lt;='Inputs &amp; Assumptions'!$C$13),'Inputs &amp; Assumptions'!R$51/4*INDEX('Inputs &amp; Assumptions'!$E$70:$E$98,'Inputs &amp; Assumptions'!$D$103+14),0)</f>
        <v>270044.715268923</v>
      </c>
      <c r="S37" s="39" t="n">
        <f aca="false">IF(AND(('Inputs &amp; Assumptions'!$D$103+15)&gt;=1,('Inputs &amp; Assumptions'!$D$103+15)&lt;='Inputs &amp; Assumptions'!$C$13),'Inputs &amp; Assumptions'!S$51/4*INDEX('Inputs &amp; Assumptions'!$E$70:$E$98,'Inputs &amp; Assumptions'!$D$103+15),0)</f>
        <v>261943.373810855</v>
      </c>
      <c r="T37" s="39" t="n">
        <f aca="false">IF(AND(('Inputs &amp; Assumptions'!$D$103+16)&gt;=1,('Inputs &amp; Assumptions'!$D$103+16)&lt;='Inputs &amp; Assumptions'!$C$13),'Inputs &amp; Assumptions'!T$51/4*INDEX('Inputs &amp; Assumptions'!$E$70:$E$98,'Inputs &amp; Assumptions'!$D$103+16),0)</f>
        <v>254085.072596529</v>
      </c>
      <c r="U37" s="39" t="n">
        <f aca="false">IF(AND(('Inputs &amp; Assumptions'!$D$103+17)&gt;=1,('Inputs &amp; Assumptions'!$D$103+17)&lt;='Inputs &amp; Assumptions'!$C$13),'Inputs &amp; Assumptions'!U$51/4*INDEX('Inputs &amp; Assumptions'!$E$70:$E$98,'Inputs &amp; Assumptions'!$D$103+17),0)</f>
        <v>246462.520418634</v>
      </c>
      <c r="V37" s="39" t="n">
        <f aca="false">IF(AND(('Inputs &amp; Assumptions'!$D$103+18)&gt;=1,('Inputs &amp; Assumptions'!$D$103+18)&lt;='Inputs &amp; Assumptions'!$C$13),'Inputs &amp; Assumptions'!V$51/4*INDEX('Inputs &amp; Assumptions'!$E$70:$E$98,'Inputs &amp; Assumptions'!$D$103+18),0)</f>
        <v>239068.644806075</v>
      </c>
      <c r="W37" s="39" t="n">
        <f aca="false">IF(AND(('Inputs &amp; Assumptions'!$D$103+19)&gt;=1,('Inputs &amp; Assumptions'!$D$103+19)&lt;='Inputs &amp; Assumptions'!$C$13),'Inputs &amp; Assumptions'!W$51/4*INDEX('Inputs &amp; Assumptions'!$E$70:$E$98,'Inputs &amp; Assumptions'!$D$103+19),0)</f>
        <v>231896.585461892</v>
      </c>
      <c r="X37" s="39" t="n">
        <f aca="false">IF(AND(('Inputs &amp; Assumptions'!$D$103+20)&gt;=1,('Inputs &amp; Assumptions'!$D$103+20)&lt;='Inputs &amp; Assumptions'!$C$13),'Inputs &amp; Assumptions'!X$51/4*INDEX('Inputs &amp; Assumptions'!$E$70:$E$98,'Inputs &amp; Assumptions'!$D$103+20),0)</f>
        <v>224939.687898036</v>
      </c>
      <c r="Y37" s="39" t="n">
        <f aca="false">IF(AND(('Inputs &amp; Assumptions'!$D$103+21)&gt;=1,('Inputs &amp; Assumptions'!$D$103+21)&lt;='Inputs &amp; Assumptions'!$C$13),'Inputs &amp; Assumptions'!Y$51/4*INDEX('Inputs &amp; Assumptions'!$E$70:$E$98,'Inputs &amp; Assumptions'!$D$103+21),0)</f>
        <v>218191.497261094</v>
      </c>
      <c r="Z37" s="39" t="n">
        <f aca="false">IF(AND(('Inputs &amp; Assumptions'!$D$103+22)&gt;=1,('Inputs &amp; Assumptions'!$D$103+22)&lt;='Inputs &amp; Assumptions'!$C$13),'Inputs &amp; Assumptions'!Z$51/4*INDEX('Inputs &amp; Assumptions'!$E$70:$E$98,'Inputs &amp; Assumptions'!$D$103+22),0)</f>
        <v>211645.752343262</v>
      </c>
      <c r="AA37" s="39" t="n">
        <f aca="false">IF(AND(('Inputs &amp; Assumptions'!$D$103+23)&gt;=1,('Inputs &amp; Assumptions'!$D$103+23)&lt;='Inputs &amp; Assumptions'!$C$13),'Inputs &amp; Assumptions'!AA$51/4*INDEX('Inputs &amp; Assumptions'!$E$70:$E$98,'Inputs &amp; Assumptions'!$D$103+23),0)</f>
        <v>205296.379772964</v>
      </c>
      <c r="AB37" s="39" t="n">
        <f aca="false">IF(AND(('Inputs &amp; Assumptions'!$D$103+24)&gt;=1,('Inputs &amp; Assumptions'!$D$103+24)&lt;='Inputs &amp; Assumptions'!$C$13),'Inputs &amp; Assumptions'!AB$51/4*INDEX('Inputs &amp; Assumptions'!$E$70:$E$98,'Inputs &amp; Assumptions'!$D$103+24),0)</f>
        <v>199137.488379775</v>
      </c>
      <c r="AC37" s="39" t="n">
        <f aca="false">IF(AND(('Inputs &amp; Assumptions'!$D$103+25)&gt;=1,('Inputs &amp; Assumptions'!$D$103+25)&lt;='Inputs &amp; Assumptions'!$C$13),'Inputs &amp; Assumptions'!AC$51/4*INDEX('Inputs &amp; Assumptions'!$E$70:$E$98,'Inputs &amp; Assumptions'!$D$103+25),0)</f>
        <v>193163.363728382</v>
      </c>
      <c r="AD37" s="39" t="n">
        <f aca="false">IF(AND(('Inputs &amp; Assumptions'!$D$103+26)&gt;=1,('Inputs &amp; Assumptions'!$D$103+26)&lt;='Inputs &amp; Assumptions'!$C$13),'Inputs &amp; Assumptions'!AD$51/4*INDEX('Inputs &amp; Assumptions'!$E$70:$E$98,'Inputs &amp; Assumptions'!$D$103+26),0)</f>
        <v>187368.46281653</v>
      </c>
      <c r="AE37" s="39" t="n">
        <f aca="false">IF(AND(('Inputs &amp; Assumptions'!$D$103+27)&gt;=1,('Inputs &amp; Assumptions'!$D$103+27)&lt;='Inputs &amp; Assumptions'!$C$13),'Inputs &amp; Assumptions'!AE$51/4*INDEX('Inputs &amp; Assumptions'!$E$70:$E$98,'Inputs &amp; Assumptions'!$D$103+27),0)</f>
        <v>181747.408932034</v>
      </c>
      <c r="AF37" s="39" t="n">
        <f aca="false">IF(AND(('Inputs &amp; Assumptions'!$D$103+28)&gt;=1,('Inputs &amp; Assumptions'!$D$103+28)&lt;='Inputs &amp; Assumptions'!$C$13),'Inputs &amp; Assumptions'!AF$51/4*INDEX('Inputs &amp; Assumptions'!$E$70:$E$98,'Inputs &amp; Assumptions'!$D$103+28),0)</f>
        <v>0</v>
      </c>
      <c r="AG37" s="39" t="n">
        <f aca="false">IF(AND(('Inputs &amp; Assumptions'!$D$103+29)&gt;=1,('Inputs &amp; Assumptions'!$D$103+29)&lt;='Inputs &amp; Assumptions'!$C$13),'Inputs &amp; Assumptions'!AG$51/4*INDEX('Inputs &amp; Assumptions'!$E$70:$E$98,'Inputs &amp; Assumptions'!$D$103+29),0)</f>
        <v>0</v>
      </c>
      <c r="AH37" s="39" t="n">
        <f aca="false">IF(AND(('Inputs &amp; Assumptions'!$D$103+30)&gt;=1,('Inputs &amp; Assumptions'!$D$103+30)&lt;='Inputs &amp; Assumptions'!$C$13),'Inputs &amp; Assumptions'!AH$51/4*INDEX('Inputs &amp; Assumptions'!$E$70:$E$98,'Inputs &amp; Assumptions'!$D$103+30),0)</f>
        <v>0</v>
      </c>
      <c r="AI37" s="39" t="n">
        <f aca="false">IF(AND(('Inputs &amp; Assumptions'!$D$103+31)&gt;=1,('Inputs &amp; Assumptions'!$D$103+31)&lt;='Inputs &amp; Assumptions'!$C$13),'Inputs &amp; Assumptions'!AI$51/4*INDEX('Inputs &amp; Assumptions'!$E$70:$E$98,'Inputs &amp; Assumptions'!$D$103+31),0)</f>
        <v>0</v>
      </c>
      <c r="AJ37" s="39" t="n">
        <f aca="false">IF(AND(('Inputs &amp; Assumptions'!$D$103+32)&gt;=1,('Inputs &amp; Assumptions'!$D$103+32)&lt;='Inputs &amp; Assumptions'!$C$13),'Inputs &amp; Assumptions'!AJ$51/4*INDEX('Inputs &amp; Assumptions'!$E$70:$E$98,'Inputs &amp; Assumptions'!$D$103+32),0)</f>
        <v>0</v>
      </c>
      <c r="AK37" s="39" t="n">
        <f aca="false">IF(AND(('Inputs &amp; Assumptions'!$D$103+33)&gt;=1,('Inputs &amp; Assumptions'!$D$103+33)&lt;='Inputs &amp; Assumptions'!$C$13),'Inputs &amp; Assumptions'!AK$51/4*INDEX('Inputs &amp; Assumptions'!$E$70:$E$98,'Inputs &amp; Assumptions'!$D$103+33),0)</f>
        <v>0</v>
      </c>
      <c r="AL37" s="39" t="n">
        <f aca="false">IF(AND(('Inputs &amp; Assumptions'!$D$103+34)&gt;=1,('Inputs &amp; Assumptions'!$D$103+34)&lt;='Inputs &amp; Assumptions'!$C$13),'Inputs &amp; Assumptions'!AL$51/4*INDEX('Inputs &amp; Assumptions'!$E$70:$E$98,'Inputs &amp; Assumptions'!$D$103+34),0)</f>
        <v>0</v>
      </c>
      <c r="AM37" s="39" t="n">
        <f aca="false">IF(AND(('Inputs &amp; Assumptions'!$D$103+35)&gt;=1,('Inputs &amp; Assumptions'!$D$103+35)&lt;='Inputs &amp; Assumptions'!$C$13),'Inputs &amp; Assumptions'!AM$51/4*INDEX('Inputs &amp; Assumptions'!$E$70:$E$98,'Inputs &amp; Assumptions'!$D$103+35),0)</f>
        <v>0</v>
      </c>
      <c r="AN37" s="39" t="n">
        <f aca="false">IF(AND(('Inputs &amp; Assumptions'!$D$103+36)&gt;=1,('Inputs &amp; Assumptions'!$D$103+36)&lt;='Inputs &amp; Assumptions'!$C$13),'Inputs &amp; Assumptions'!AN$51/4*INDEX('Inputs &amp; Assumptions'!$E$70:$E$98,'Inputs &amp; Assumptions'!$D$103+36),0)</f>
        <v>0</v>
      </c>
    </row>
    <row r="38" customFormat="false" ht="15" hidden="false" customHeight="false" outlineLevel="0" collapsed="false">
      <c r="B38" s="38" t="n">
        <f aca="false">'Inputs &amp; Assumptions'!$B$104</f>
        <v>3</v>
      </c>
      <c r="E38" s="39" t="n">
        <f aca="false">IF(AND(('Inputs &amp; Assumptions'!$D$104+1)&gt;=1,('Inputs &amp; Assumptions'!$D$104+1)&lt;='Inputs &amp; Assumptions'!$C$13),'Inputs &amp; Assumptions'!E$51/4*INDEX('Inputs &amp; Assumptions'!$E$70:$E$98,'Inputs &amp; Assumptions'!$D$104+1),0)</f>
        <v>366200</v>
      </c>
      <c r="F38" s="39" t="n">
        <f aca="false">IF(AND(('Inputs &amp; Assumptions'!$D$104+2)&gt;=1,('Inputs &amp; Assumptions'!$D$104+2)&lt;='Inputs &amp; Assumptions'!$C$13),'Inputs &amp; Assumptions'!F$51/4*INDEX('Inputs &amp; Assumptions'!$E$70:$E$98,'Inputs &amp; Assumptions'!$D$104+2),0)</f>
        <v>366200</v>
      </c>
      <c r="G38" s="39" t="n">
        <f aca="false">IF(AND(('Inputs &amp; Assumptions'!$D$104+3)&gt;=1,('Inputs &amp; Assumptions'!$D$104+3)&lt;='Inputs &amp; Assumptions'!$C$13),'Inputs &amp; Assumptions'!G$51/4*INDEX('Inputs &amp; Assumptions'!$E$70:$E$98,'Inputs &amp; Assumptions'!$D$104+3),0)</f>
        <v>366200</v>
      </c>
      <c r="H38" s="39" t="n">
        <f aca="false">IF(AND(('Inputs &amp; Assumptions'!$D$104+4)&gt;=1,('Inputs &amp; Assumptions'!$D$104+4)&lt;='Inputs &amp; Assumptions'!$C$13),'Inputs &amp; Assumptions'!H$51/4*INDEX('Inputs &amp; Assumptions'!$E$70:$E$98,'Inputs &amp; Assumptions'!$D$104+4),0)</f>
        <v>366200</v>
      </c>
      <c r="I38" s="39" t="n">
        <f aca="false">IF(AND(('Inputs &amp; Assumptions'!$D$104+5)&gt;=1,('Inputs &amp; Assumptions'!$D$104+5)&lt;='Inputs &amp; Assumptions'!$C$13),'Inputs &amp; Assumptions'!I$51/4*INDEX('Inputs &amp; Assumptions'!$E$70:$E$98,'Inputs &amp; Assumptions'!$D$104+5),0)</f>
        <v>355214</v>
      </c>
      <c r="J38" s="39" t="n">
        <f aca="false">IF(AND(('Inputs &amp; Assumptions'!$D$104+6)&gt;=1,('Inputs &amp; Assumptions'!$D$104+6)&lt;='Inputs &amp; Assumptions'!$C$13),'Inputs &amp; Assumptions'!J$51/4*INDEX('Inputs &amp; Assumptions'!$E$70:$E$98,'Inputs &amp; Assumptions'!$D$104+6),0)</f>
        <v>344557.58</v>
      </c>
      <c r="K38" s="39" t="n">
        <f aca="false">IF(AND(('Inputs &amp; Assumptions'!$D$104+7)&gt;=1,('Inputs &amp; Assumptions'!$D$104+7)&lt;='Inputs &amp; Assumptions'!$C$13),'Inputs &amp; Assumptions'!K$51/4*INDEX('Inputs &amp; Assumptions'!$E$70:$E$98,'Inputs &amp; Assumptions'!$D$104+7),0)</f>
        <v>334220.8526</v>
      </c>
      <c r="L38" s="39" t="n">
        <f aca="false">IF(AND(('Inputs &amp; Assumptions'!$D$104+8)&gt;=1,('Inputs &amp; Assumptions'!$D$104+8)&lt;='Inputs &amp; Assumptions'!$C$13),'Inputs &amp; Assumptions'!L$51/4*INDEX('Inputs &amp; Assumptions'!$E$70:$E$98,'Inputs &amp; Assumptions'!$D$104+8),0)</f>
        <v>324194.227022</v>
      </c>
      <c r="M38" s="39" t="n">
        <f aca="false">IF(AND(('Inputs &amp; Assumptions'!$D$104+9)&gt;=1,('Inputs &amp; Assumptions'!$D$104+9)&lt;='Inputs &amp; Assumptions'!$C$13),'Inputs &amp; Assumptions'!M$51/4*INDEX('Inputs &amp; Assumptions'!$E$70:$E$98,'Inputs &amp; Assumptions'!$D$104+9),0)</f>
        <v>314468.40021134</v>
      </c>
      <c r="N38" s="39" t="n">
        <f aca="false">IF(AND(('Inputs &amp; Assumptions'!$D$104+10)&gt;=1,('Inputs &amp; Assumptions'!$D$104+10)&lt;='Inputs &amp; Assumptions'!$C$13),'Inputs &amp; Assumptions'!N$51/4*INDEX('Inputs &amp; Assumptions'!$E$70:$E$98,'Inputs &amp; Assumptions'!$D$104+10),0)</f>
        <v>305034.348205</v>
      </c>
      <c r="O38" s="39" t="n">
        <f aca="false">IF(AND(('Inputs &amp; Assumptions'!$D$104+11)&gt;=1,('Inputs &amp; Assumptions'!$D$104+11)&lt;='Inputs &amp; Assumptions'!$C$13),'Inputs &amp; Assumptions'!O$51/4*INDEX('Inputs &amp; Assumptions'!$E$70:$E$98,'Inputs &amp; Assumptions'!$D$104+11),0)</f>
        <v>295883.31775885</v>
      </c>
      <c r="P38" s="39" t="n">
        <f aca="false">IF(AND(('Inputs &amp; Assumptions'!$D$104+12)&gt;=1,('Inputs &amp; Assumptions'!$D$104+12)&lt;='Inputs &amp; Assumptions'!$C$13),'Inputs &amp; Assumptions'!P$51/4*INDEX('Inputs &amp; Assumptions'!$E$70:$E$98,'Inputs &amp; Assumptions'!$D$104+12),0)</f>
        <v>287006.818226084</v>
      </c>
      <c r="Q38" s="39" t="n">
        <f aca="false">IF(AND(('Inputs &amp; Assumptions'!$D$104+13)&gt;=1,('Inputs &amp; Assumptions'!$D$104+13)&lt;='Inputs &amp; Assumptions'!$C$13),'Inputs &amp; Assumptions'!Q$51/4*INDEX('Inputs &amp; Assumptions'!$E$70:$E$98,'Inputs &amp; Assumptions'!$D$104+13),0)</f>
        <v>278396.613679302</v>
      </c>
      <c r="R38" s="39" t="n">
        <f aca="false">IF(AND(('Inputs &amp; Assumptions'!$D$104+14)&gt;=1,('Inputs &amp; Assumptions'!$D$104+14)&lt;='Inputs &amp; Assumptions'!$C$13),'Inputs &amp; Assumptions'!R$51/4*INDEX('Inputs &amp; Assumptions'!$E$70:$E$98,'Inputs &amp; Assumptions'!$D$104+14),0)</f>
        <v>270044.715268923</v>
      </c>
      <c r="S38" s="39" t="n">
        <f aca="false">IF(AND(('Inputs &amp; Assumptions'!$D$104+15)&gt;=1,('Inputs &amp; Assumptions'!$D$104+15)&lt;='Inputs &amp; Assumptions'!$C$13),'Inputs &amp; Assumptions'!S$51/4*INDEX('Inputs &amp; Assumptions'!$E$70:$E$98,'Inputs &amp; Assumptions'!$D$104+15),0)</f>
        <v>261943.373810855</v>
      </c>
      <c r="T38" s="39" t="n">
        <f aca="false">IF(AND(('Inputs &amp; Assumptions'!$D$104+16)&gt;=1,('Inputs &amp; Assumptions'!$D$104+16)&lt;='Inputs &amp; Assumptions'!$C$13),'Inputs &amp; Assumptions'!T$51/4*INDEX('Inputs &amp; Assumptions'!$E$70:$E$98,'Inputs &amp; Assumptions'!$D$104+16),0)</f>
        <v>254085.072596529</v>
      </c>
      <c r="U38" s="39" t="n">
        <f aca="false">IF(AND(('Inputs &amp; Assumptions'!$D$104+17)&gt;=1,('Inputs &amp; Assumptions'!$D$104+17)&lt;='Inputs &amp; Assumptions'!$C$13),'Inputs &amp; Assumptions'!U$51/4*INDEX('Inputs &amp; Assumptions'!$E$70:$E$98,'Inputs &amp; Assumptions'!$D$104+17),0)</f>
        <v>246462.520418634</v>
      </c>
      <c r="V38" s="39" t="n">
        <f aca="false">IF(AND(('Inputs &amp; Assumptions'!$D$104+18)&gt;=1,('Inputs &amp; Assumptions'!$D$104+18)&lt;='Inputs &amp; Assumptions'!$C$13),'Inputs &amp; Assumptions'!V$51/4*INDEX('Inputs &amp; Assumptions'!$E$70:$E$98,'Inputs &amp; Assumptions'!$D$104+18),0)</f>
        <v>239068.644806075</v>
      </c>
      <c r="W38" s="39" t="n">
        <f aca="false">IF(AND(('Inputs &amp; Assumptions'!$D$104+19)&gt;=1,('Inputs &amp; Assumptions'!$D$104+19)&lt;='Inputs &amp; Assumptions'!$C$13),'Inputs &amp; Assumptions'!W$51/4*INDEX('Inputs &amp; Assumptions'!$E$70:$E$98,'Inputs &amp; Assumptions'!$D$104+19),0)</f>
        <v>231896.585461892</v>
      </c>
      <c r="X38" s="39" t="n">
        <f aca="false">IF(AND(('Inputs &amp; Assumptions'!$D$104+20)&gt;=1,('Inputs &amp; Assumptions'!$D$104+20)&lt;='Inputs &amp; Assumptions'!$C$13),'Inputs &amp; Assumptions'!X$51/4*INDEX('Inputs &amp; Assumptions'!$E$70:$E$98,'Inputs &amp; Assumptions'!$D$104+20),0)</f>
        <v>224939.687898036</v>
      </c>
      <c r="Y38" s="39" t="n">
        <f aca="false">IF(AND(('Inputs &amp; Assumptions'!$D$104+21)&gt;=1,('Inputs &amp; Assumptions'!$D$104+21)&lt;='Inputs &amp; Assumptions'!$C$13),'Inputs &amp; Assumptions'!Y$51/4*INDEX('Inputs &amp; Assumptions'!$E$70:$E$98,'Inputs &amp; Assumptions'!$D$104+21),0)</f>
        <v>218191.497261094</v>
      </c>
      <c r="Z38" s="39" t="n">
        <f aca="false">IF(AND(('Inputs &amp; Assumptions'!$D$104+22)&gt;=1,('Inputs &amp; Assumptions'!$D$104+22)&lt;='Inputs &amp; Assumptions'!$C$13),'Inputs &amp; Assumptions'!Z$51/4*INDEX('Inputs &amp; Assumptions'!$E$70:$E$98,'Inputs &amp; Assumptions'!$D$104+22),0)</f>
        <v>211645.752343262</v>
      </c>
      <c r="AA38" s="39" t="n">
        <f aca="false">IF(AND(('Inputs &amp; Assumptions'!$D$104+23)&gt;=1,('Inputs &amp; Assumptions'!$D$104+23)&lt;='Inputs &amp; Assumptions'!$C$13),'Inputs &amp; Assumptions'!AA$51/4*INDEX('Inputs &amp; Assumptions'!$E$70:$E$98,'Inputs &amp; Assumptions'!$D$104+23),0)</f>
        <v>205296.379772964</v>
      </c>
      <c r="AB38" s="39" t="n">
        <f aca="false">IF(AND(('Inputs &amp; Assumptions'!$D$104+24)&gt;=1,('Inputs &amp; Assumptions'!$D$104+24)&lt;='Inputs &amp; Assumptions'!$C$13),'Inputs &amp; Assumptions'!AB$51/4*INDEX('Inputs &amp; Assumptions'!$E$70:$E$98,'Inputs &amp; Assumptions'!$D$104+24),0)</f>
        <v>199137.488379775</v>
      </c>
      <c r="AC38" s="39" t="n">
        <f aca="false">IF(AND(('Inputs &amp; Assumptions'!$D$104+25)&gt;=1,('Inputs &amp; Assumptions'!$D$104+25)&lt;='Inputs &amp; Assumptions'!$C$13),'Inputs &amp; Assumptions'!AC$51/4*INDEX('Inputs &amp; Assumptions'!$E$70:$E$98,'Inputs &amp; Assumptions'!$D$104+25),0)</f>
        <v>193163.363728382</v>
      </c>
      <c r="AD38" s="39" t="n">
        <f aca="false">IF(AND(('Inputs &amp; Assumptions'!$D$104+26)&gt;=1,('Inputs &amp; Assumptions'!$D$104+26)&lt;='Inputs &amp; Assumptions'!$C$13),'Inputs &amp; Assumptions'!AD$51/4*INDEX('Inputs &amp; Assumptions'!$E$70:$E$98,'Inputs &amp; Assumptions'!$D$104+26),0)</f>
        <v>187368.46281653</v>
      </c>
      <c r="AE38" s="39" t="n">
        <f aca="false">IF(AND(('Inputs &amp; Assumptions'!$D$104+27)&gt;=1,('Inputs &amp; Assumptions'!$D$104+27)&lt;='Inputs &amp; Assumptions'!$C$13),'Inputs &amp; Assumptions'!AE$51/4*INDEX('Inputs &amp; Assumptions'!$E$70:$E$98,'Inputs &amp; Assumptions'!$D$104+27),0)</f>
        <v>181747.408932034</v>
      </c>
      <c r="AF38" s="39" t="n">
        <f aca="false">IF(AND(('Inputs &amp; Assumptions'!$D$104+28)&gt;=1,('Inputs &amp; Assumptions'!$D$104+28)&lt;='Inputs &amp; Assumptions'!$C$13),'Inputs &amp; Assumptions'!AF$51/4*INDEX('Inputs &amp; Assumptions'!$E$70:$E$98,'Inputs &amp; Assumptions'!$D$104+28),0)</f>
        <v>0</v>
      </c>
      <c r="AG38" s="39" t="n">
        <f aca="false">IF(AND(('Inputs &amp; Assumptions'!$D$104+29)&gt;=1,('Inputs &amp; Assumptions'!$D$104+29)&lt;='Inputs &amp; Assumptions'!$C$13),'Inputs &amp; Assumptions'!AG$51/4*INDEX('Inputs &amp; Assumptions'!$E$70:$E$98,'Inputs &amp; Assumptions'!$D$104+29),0)</f>
        <v>0</v>
      </c>
      <c r="AH38" s="39" t="n">
        <f aca="false">IF(AND(('Inputs &amp; Assumptions'!$D$104+30)&gt;=1,('Inputs &amp; Assumptions'!$D$104+30)&lt;='Inputs &amp; Assumptions'!$C$13),'Inputs &amp; Assumptions'!AH$51/4*INDEX('Inputs &amp; Assumptions'!$E$70:$E$98,'Inputs &amp; Assumptions'!$D$104+30),0)</f>
        <v>0</v>
      </c>
      <c r="AI38" s="39" t="n">
        <f aca="false">IF(AND(('Inputs &amp; Assumptions'!$D$104+31)&gt;=1,('Inputs &amp; Assumptions'!$D$104+31)&lt;='Inputs &amp; Assumptions'!$C$13),'Inputs &amp; Assumptions'!AI$51/4*INDEX('Inputs &amp; Assumptions'!$E$70:$E$98,'Inputs &amp; Assumptions'!$D$104+31),0)</f>
        <v>0</v>
      </c>
      <c r="AJ38" s="39" t="n">
        <f aca="false">IF(AND(('Inputs &amp; Assumptions'!$D$104+32)&gt;=1,('Inputs &amp; Assumptions'!$D$104+32)&lt;='Inputs &amp; Assumptions'!$C$13),'Inputs &amp; Assumptions'!AJ$51/4*INDEX('Inputs &amp; Assumptions'!$E$70:$E$98,'Inputs &amp; Assumptions'!$D$104+32),0)</f>
        <v>0</v>
      </c>
      <c r="AK38" s="39" t="n">
        <f aca="false">IF(AND(('Inputs &amp; Assumptions'!$D$104+33)&gt;=1,('Inputs &amp; Assumptions'!$D$104+33)&lt;='Inputs &amp; Assumptions'!$C$13),'Inputs &amp; Assumptions'!AK$51/4*INDEX('Inputs &amp; Assumptions'!$E$70:$E$98,'Inputs &amp; Assumptions'!$D$104+33),0)</f>
        <v>0</v>
      </c>
      <c r="AL38" s="39" t="n">
        <f aca="false">IF(AND(('Inputs &amp; Assumptions'!$D$104+34)&gt;=1,('Inputs &amp; Assumptions'!$D$104+34)&lt;='Inputs &amp; Assumptions'!$C$13),'Inputs &amp; Assumptions'!AL$51/4*INDEX('Inputs &amp; Assumptions'!$E$70:$E$98,'Inputs &amp; Assumptions'!$D$104+34),0)</f>
        <v>0</v>
      </c>
      <c r="AM38" s="39" t="n">
        <f aca="false">IF(AND(('Inputs &amp; Assumptions'!$D$104+35)&gt;=1,('Inputs &amp; Assumptions'!$D$104+35)&lt;='Inputs &amp; Assumptions'!$C$13),'Inputs &amp; Assumptions'!AM$51/4*INDEX('Inputs &amp; Assumptions'!$E$70:$E$98,'Inputs &amp; Assumptions'!$D$104+35),0)</f>
        <v>0</v>
      </c>
      <c r="AN38" s="39" t="n">
        <f aca="false">IF(AND(('Inputs &amp; Assumptions'!$D$104+36)&gt;=1,('Inputs &amp; Assumptions'!$D$104+36)&lt;='Inputs &amp; Assumptions'!$C$13),'Inputs &amp; Assumptions'!AN$51/4*INDEX('Inputs &amp; Assumptions'!$E$70:$E$98,'Inputs &amp; Assumptions'!$D$104+36),0)</f>
        <v>0</v>
      </c>
    </row>
    <row r="39" customFormat="false" ht="15" hidden="false" customHeight="false" outlineLevel="0" collapsed="false">
      <c r="B39" s="38" t="n">
        <f aca="false">'Inputs &amp; Assumptions'!$B$105</f>
        <v>4</v>
      </c>
      <c r="E39" s="39" t="n">
        <f aca="false">IF(AND(('Inputs &amp; Assumptions'!$D$105+1)&gt;=1,('Inputs &amp; Assumptions'!$D$105+1)&lt;='Inputs &amp; Assumptions'!$C$13),'Inputs &amp; Assumptions'!E$51/4*INDEX('Inputs &amp; Assumptions'!$E$70:$E$98,'Inputs &amp; Assumptions'!$D$105+1),0)</f>
        <v>366200</v>
      </c>
      <c r="F39" s="39" t="n">
        <f aca="false">IF(AND(('Inputs &amp; Assumptions'!$D$105+2)&gt;=1,('Inputs &amp; Assumptions'!$D$105+2)&lt;='Inputs &amp; Assumptions'!$C$13),'Inputs &amp; Assumptions'!F$51/4*INDEX('Inputs &amp; Assumptions'!$E$70:$E$98,'Inputs &amp; Assumptions'!$D$105+2),0)</f>
        <v>366200</v>
      </c>
      <c r="G39" s="39" t="n">
        <f aca="false">IF(AND(('Inputs &amp; Assumptions'!$D$105+3)&gt;=1,('Inputs &amp; Assumptions'!$D$105+3)&lt;='Inputs &amp; Assumptions'!$C$13),'Inputs &amp; Assumptions'!G$51/4*INDEX('Inputs &amp; Assumptions'!$E$70:$E$98,'Inputs &amp; Assumptions'!$D$105+3),0)</f>
        <v>366200</v>
      </c>
      <c r="H39" s="39" t="n">
        <f aca="false">IF(AND(('Inputs &amp; Assumptions'!$D$105+4)&gt;=1,('Inputs &amp; Assumptions'!$D$105+4)&lt;='Inputs &amp; Assumptions'!$C$13),'Inputs &amp; Assumptions'!H$51/4*INDEX('Inputs &amp; Assumptions'!$E$70:$E$98,'Inputs &amp; Assumptions'!$D$105+4),0)</f>
        <v>366200</v>
      </c>
      <c r="I39" s="39" t="n">
        <f aca="false">IF(AND(('Inputs &amp; Assumptions'!$D$105+5)&gt;=1,('Inputs &amp; Assumptions'!$D$105+5)&lt;='Inputs &amp; Assumptions'!$C$13),'Inputs &amp; Assumptions'!I$51/4*INDEX('Inputs &amp; Assumptions'!$E$70:$E$98,'Inputs &amp; Assumptions'!$D$105+5),0)</f>
        <v>355214</v>
      </c>
      <c r="J39" s="39" t="n">
        <f aca="false">IF(AND(('Inputs &amp; Assumptions'!$D$105+6)&gt;=1,('Inputs &amp; Assumptions'!$D$105+6)&lt;='Inputs &amp; Assumptions'!$C$13),'Inputs &amp; Assumptions'!J$51/4*INDEX('Inputs &amp; Assumptions'!$E$70:$E$98,'Inputs &amp; Assumptions'!$D$105+6),0)</f>
        <v>344557.58</v>
      </c>
      <c r="K39" s="39" t="n">
        <f aca="false">IF(AND(('Inputs &amp; Assumptions'!$D$105+7)&gt;=1,('Inputs &amp; Assumptions'!$D$105+7)&lt;='Inputs &amp; Assumptions'!$C$13),'Inputs &amp; Assumptions'!K$51/4*INDEX('Inputs &amp; Assumptions'!$E$70:$E$98,'Inputs &amp; Assumptions'!$D$105+7),0)</f>
        <v>334220.8526</v>
      </c>
      <c r="L39" s="39" t="n">
        <f aca="false">IF(AND(('Inputs &amp; Assumptions'!$D$105+8)&gt;=1,('Inputs &amp; Assumptions'!$D$105+8)&lt;='Inputs &amp; Assumptions'!$C$13),'Inputs &amp; Assumptions'!L$51/4*INDEX('Inputs &amp; Assumptions'!$E$70:$E$98,'Inputs &amp; Assumptions'!$D$105+8),0)</f>
        <v>324194.227022</v>
      </c>
      <c r="M39" s="39" t="n">
        <f aca="false">IF(AND(('Inputs &amp; Assumptions'!$D$105+9)&gt;=1,('Inputs &amp; Assumptions'!$D$105+9)&lt;='Inputs &amp; Assumptions'!$C$13),'Inputs &amp; Assumptions'!M$51/4*INDEX('Inputs &amp; Assumptions'!$E$70:$E$98,'Inputs &amp; Assumptions'!$D$105+9),0)</f>
        <v>314468.40021134</v>
      </c>
      <c r="N39" s="39" t="n">
        <f aca="false">IF(AND(('Inputs &amp; Assumptions'!$D$105+10)&gt;=1,('Inputs &amp; Assumptions'!$D$105+10)&lt;='Inputs &amp; Assumptions'!$C$13),'Inputs &amp; Assumptions'!N$51/4*INDEX('Inputs &amp; Assumptions'!$E$70:$E$98,'Inputs &amp; Assumptions'!$D$105+10),0)</f>
        <v>305034.348205</v>
      </c>
      <c r="O39" s="39" t="n">
        <f aca="false">IF(AND(('Inputs &amp; Assumptions'!$D$105+11)&gt;=1,('Inputs &amp; Assumptions'!$D$105+11)&lt;='Inputs &amp; Assumptions'!$C$13),'Inputs &amp; Assumptions'!O$51/4*INDEX('Inputs &amp; Assumptions'!$E$70:$E$98,'Inputs &amp; Assumptions'!$D$105+11),0)</f>
        <v>295883.31775885</v>
      </c>
      <c r="P39" s="39" t="n">
        <f aca="false">IF(AND(('Inputs &amp; Assumptions'!$D$105+12)&gt;=1,('Inputs &amp; Assumptions'!$D$105+12)&lt;='Inputs &amp; Assumptions'!$C$13),'Inputs &amp; Assumptions'!P$51/4*INDEX('Inputs &amp; Assumptions'!$E$70:$E$98,'Inputs &amp; Assumptions'!$D$105+12),0)</f>
        <v>287006.818226084</v>
      </c>
      <c r="Q39" s="39" t="n">
        <f aca="false">IF(AND(('Inputs &amp; Assumptions'!$D$105+13)&gt;=1,('Inputs &amp; Assumptions'!$D$105+13)&lt;='Inputs &amp; Assumptions'!$C$13),'Inputs &amp; Assumptions'!Q$51/4*INDEX('Inputs &amp; Assumptions'!$E$70:$E$98,'Inputs &amp; Assumptions'!$D$105+13),0)</f>
        <v>278396.613679302</v>
      </c>
      <c r="R39" s="39" t="n">
        <f aca="false">IF(AND(('Inputs &amp; Assumptions'!$D$105+14)&gt;=1,('Inputs &amp; Assumptions'!$D$105+14)&lt;='Inputs &amp; Assumptions'!$C$13),'Inputs &amp; Assumptions'!R$51/4*INDEX('Inputs &amp; Assumptions'!$E$70:$E$98,'Inputs &amp; Assumptions'!$D$105+14),0)</f>
        <v>270044.715268923</v>
      </c>
      <c r="S39" s="39" t="n">
        <f aca="false">IF(AND(('Inputs &amp; Assumptions'!$D$105+15)&gt;=1,('Inputs &amp; Assumptions'!$D$105+15)&lt;='Inputs &amp; Assumptions'!$C$13),'Inputs &amp; Assumptions'!S$51/4*INDEX('Inputs &amp; Assumptions'!$E$70:$E$98,'Inputs &amp; Assumptions'!$D$105+15),0)</f>
        <v>261943.373810855</v>
      </c>
      <c r="T39" s="39" t="n">
        <f aca="false">IF(AND(('Inputs &amp; Assumptions'!$D$105+16)&gt;=1,('Inputs &amp; Assumptions'!$D$105+16)&lt;='Inputs &amp; Assumptions'!$C$13),'Inputs &amp; Assumptions'!T$51/4*INDEX('Inputs &amp; Assumptions'!$E$70:$E$98,'Inputs &amp; Assumptions'!$D$105+16),0)</f>
        <v>254085.072596529</v>
      </c>
      <c r="U39" s="39" t="n">
        <f aca="false">IF(AND(('Inputs &amp; Assumptions'!$D$105+17)&gt;=1,('Inputs &amp; Assumptions'!$D$105+17)&lt;='Inputs &amp; Assumptions'!$C$13),'Inputs &amp; Assumptions'!U$51/4*INDEX('Inputs &amp; Assumptions'!$E$70:$E$98,'Inputs &amp; Assumptions'!$D$105+17),0)</f>
        <v>246462.520418634</v>
      </c>
      <c r="V39" s="39" t="n">
        <f aca="false">IF(AND(('Inputs &amp; Assumptions'!$D$105+18)&gt;=1,('Inputs &amp; Assumptions'!$D$105+18)&lt;='Inputs &amp; Assumptions'!$C$13),'Inputs &amp; Assumptions'!V$51/4*INDEX('Inputs &amp; Assumptions'!$E$70:$E$98,'Inputs &amp; Assumptions'!$D$105+18),0)</f>
        <v>239068.644806075</v>
      </c>
      <c r="W39" s="39" t="n">
        <f aca="false">IF(AND(('Inputs &amp; Assumptions'!$D$105+19)&gt;=1,('Inputs &amp; Assumptions'!$D$105+19)&lt;='Inputs &amp; Assumptions'!$C$13),'Inputs &amp; Assumptions'!W$51/4*INDEX('Inputs &amp; Assumptions'!$E$70:$E$98,'Inputs &amp; Assumptions'!$D$105+19),0)</f>
        <v>231896.585461892</v>
      </c>
      <c r="X39" s="39" t="n">
        <f aca="false">IF(AND(('Inputs &amp; Assumptions'!$D$105+20)&gt;=1,('Inputs &amp; Assumptions'!$D$105+20)&lt;='Inputs &amp; Assumptions'!$C$13),'Inputs &amp; Assumptions'!X$51/4*INDEX('Inputs &amp; Assumptions'!$E$70:$E$98,'Inputs &amp; Assumptions'!$D$105+20),0)</f>
        <v>224939.687898036</v>
      </c>
      <c r="Y39" s="39" t="n">
        <f aca="false">IF(AND(('Inputs &amp; Assumptions'!$D$105+21)&gt;=1,('Inputs &amp; Assumptions'!$D$105+21)&lt;='Inputs &amp; Assumptions'!$C$13),'Inputs &amp; Assumptions'!Y$51/4*INDEX('Inputs &amp; Assumptions'!$E$70:$E$98,'Inputs &amp; Assumptions'!$D$105+21),0)</f>
        <v>218191.497261094</v>
      </c>
      <c r="Z39" s="39" t="n">
        <f aca="false">IF(AND(('Inputs &amp; Assumptions'!$D$105+22)&gt;=1,('Inputs &amp; Assumptions'!$D$105+22)&lt;='Inputs &amp; Assumptions'!$C$13),'Inputs &amp; Assumptions'!Z$51/4*INDEX('Inputs &amp; Assumptions'!$E$70:$E$98,'Inputs &amp; Assumptions'!$D$105+22),0)</f>
        <v>211645.752343262</v>
      </c>
      <c r="AA39" s="39" t="n">
        <f aca="false">IF(AND(('Inputs &amp; Assumptions'!$D$105+23)&gt;=1,('Inputs &amp; Assumptions'!$D$105+23)&lt;='Inputs &amp; Assumptions'!$C$13),'Inputs &amp; Assumptions'!AA$51/4*INDEX('Inputs &amp; Assumptions'!$E$70:$E$98,'Inputs &amp; Assumptions'!$D$105+23),0)</f>
        <v>205296.379772964</v>
      </c>
      <c r="AB39" s="39" t="n">
        <f aca="false">IF(AND(('Inputs &amp; Assumptions'!$D$105+24)&gt;=1,('Inputs &amp; Assumptions'!$D$105+24)&lt;='Inputs &amp; Assumptions'!$C$13),'Inputs &amp; Assumptions'!AB$51/4*INDEX('Inputs &amp; Assumptions'!$E$70:$E$98,'Inputs &amp; Assumptions'!$D$105+24),0)</f>
        <v>199137.488379775</v>
      </c>
      <c r="AC39" s="39" t="n">
        <f aca="false">IF(AND(('Inputs &amp; Assumptions'!$D$105+25)&gt;=1,('Inputs &amp; Assumptions'!$D$105+25)&lt;='Inputs &amp; Assumptions'!$C$13),'Inputs &amp; Assumptions'!AC$51/4*INDEX('Inputs &amp; Assumptions'!$E$70:$E$98,'Inputs &amp; Assumptions'!$D$105+25),0)</f>
        <v>193163.363728382</v>
      </c>
      <c r="AD39" s="39" t="n">
        <f aca="false">IF(AND(('Inputs &amp; Assumptions'!$D$105+26)&gt;=1,('Inputs &amp; Assumptions'!$D$105+26)&lt;='Inputs &amp; Assumptions'!$C$13),'Inputs &amp; Assumptions'!AD$51/4*INDEX('Inputs &amp; Assumptions'!$E$70:$E$98,'Inputs &amp; Assumptions'!$D$105+26),0)</f>
        <v>187368.46281653</v>
      </c>
      <c r="AE39" s="39" t="n">
        <f aca="false">IF(AND(('Inputs &amp; Assumptions'!$D$105+27)&gt;=1,('Inputs &amp; Assumptions'!$D$105+27)&lt;='Inputs &amp; Assumptions'!$C$13),'Inputs &amp; Assumptions'!AE$51/4*INDEX('Inputs &amp; Assumptions'!$E$70:$E$98,'Inputs &amp; Assumptions'!$D$105+27),0)</f>
        <v>181747.408932034</v>
      </c>
      <c r="AF39" s="39" t="n">
        <f aca="false">IF(AND(('Inputs &amp; Assumptions'!$D$105+28)&gt;=1,('Inputs &amp; Assumptions'!$D$105+28)&lt;='Inputs &amp; Assumptions'!$C$13),'Inputs &amp; Assumptions'!AF$51/4*INDEX('Inputs &amp; Assumptions'!$E$70:$E$98,'Inputs &amp; Assumptions'!$D$105+28),0)</f>
        <v>0</v>
      </c>
      <c r="AG39" s="39" t="n">
        <f aca="false">IF(AND(('Inputs &amp; Assumptions'!$D$105+29)&gt;=1,('Inputs &amp; Assumptions'!$D$105+29)&lt;='Inputs &amp; Assumptions'!$C$13),'Inputs &amp; Assumptions'!AG$51/4*INDEX('Inputs &amp; Assumptions'!$E$70:$E$98,'Inputs &amp; Assumptions'!$D$105+29),0)</f>
        <v>0</v>
      </c>
      <c r="AH39" s="39" t="n">
        <f aca="false">IF(AND(('Inputs &amp; Assumptions'!$D$105+30)&gt;=1,('Inputs &amp; Assumptions'!$D$105+30)&lt;='Inputs &amp; Assumptions'!$C$13),'Inputs &amp; Assumptions'!AH$51/4*INDEX('Inputs &amp; Assumptions'!$E$70:$E$98,'Inputs &amp; Assumptions'!$D$105+30),0)</f>
        <v>0</v>
      </c>
      <c r="AI39" s="39" t="n">
        <f aca="false">IF(AND(('Inputs &amp; Assumptions'!$D$105+31)&gt;=1,('Inputs &amp; Assumptions'!$D$105+31)&lt;='Inputs &amp; Assumptions'!$C$13),'Inputs &amp; Assumptions'!AI$51/4*INDEX('Inputs &amp; Assumptions'!$E$70:$E$98,'Inputs &amp; Assumptions'!$D$105+31),0)</f>
        <v>0</v>
      </c>
      <c r="AJ39" s="39" t="n">
        <f aca="false">IF(AND(('Inputs &amp; Assumptions'!$D$105+32)&gt;=1,('Inputs &amp; Assumptions'!$D$105+32)&lt;='Inputs &amp; Assumptions'!$C$13),'Inputs &amp; Assumptions'!AJ$51/4*INDEX('Inputs &amp; Assumptions'!$E$70:$E$98,'Inputs &amp; Assumptions'!$D$105+32),0)</f>
        <v>0</v>
      </c>
      <c r="AK39" s="39" t="n">
        <f aca="false">IF(AND(('Inputs &amp; Assumptions'!$D$105+33)&gt;=1,('Inputs &amp; Assumptions'!$D$105+33)&lt;='Inputs &amp; Assumptions'!$C$13),'Inputs &amp; Assumptions'!AK$51/4*INDEX('Inputs &amp; Assumptions'!$E$70:$E$98,'Inputs &amp; Assumptions'!$D$105+33),0)</f>
        <v>0</v>
      </c>
      <c r="AL39" s="39" t="n">
        <f aca="false">IF(AND(('Inputs &amp; Assumptions'!$D$105+34)&gt;=1,('Inputs &amp; Assumptions'!$D$105+34)&lt;='Inputs &amp; Assumptions'!$C$13),'Inputs &amp; Assumptions'!AL$51/4*INDEX('Inputs &amp; Assumptions'!$E$70:$E$98,'Inputs &amp; Assumptions'!$D$105+34),0)</f>
        <v>0</v>
      </c>
      <c r="AM39" s="39" t="n">
        <f aca="false">IF(AND(('Inputs &amp; Assumptions'!$D$105+35)&gt;=1,('Inputs &amp; Assumptions'!$D$105+35)&lt;='Inputs &amp; Assumptions'!$C$13),'Inputs &amp; Assumptions'!AM$51/4*INDEX('Inputs &amp; Assumptions'!$E$70:$E$98,'Inputs &amp; Assumptions'!$D$105+35),0)</f>
        <v>0</v>
      </c>
      <c r="AN39" s="39" t="n">
        <f aca="false">IF(AND(('Inputs &amp; Assumptions'!$D$105+36)&gt;=1,('Inputs &amp; Assumptions'!$D$105+36)&lt;='Inputs &amp; Assumptions'!$C$13),'Inputs &amp; Assumptions'!AN$51/4*INDEX('Inputs &amp; Assumptions'!$E$70:$E$98,'Inputs &amp; Assumptions'!$D$105+36),0)</f>
        <v>0</v>
      </c>
    </row>
    <row r="40" customFormat="false" ht="15" hidden="false" customHeight="false" outlineLevel="0" collapsed="false">
      <c r="B40" s="38" t="n">
        <f aca="false">'Inputs &amp; Assumptions'!$B$106</f>
        <v>5</v>
      </c>
      <c r="E40" s="39" t="n">
        <f aca="false">IF(AND(('Inputs &amp; Assumptions'!$D$106+1)&gt;=1,('Inputs &amp; Assumptions'!$D$106+1)&lt;='Inputs &amp; Assumptions'!$C$13),'Inputs &amp; Assumptions'!E$51/4*INDEX('Inputs &amp; Assumptions'!$E$70:$E$98,'Inputs &amp; Assumptions'!$D$106+1),0)</f>
        <v>366200</v>
      </c>
      <c r="F40" s="39" t="n">
        <f aca="false">IF(AND(('Inputs &amp; Assumptions'!$D$106+2)&gt;=1,('Inputs &amp; Assumptions'!$D$106+2)&lt;='Inputs &amp; Assumptions'!$C$13),'Inputs &amp; Assumptions'!F$51/4*INDEX('Inputs &amp; Assumptions'!$E$70:$E$98,'Inputs &amp; Assumptions'!$D$106+2),0)</f>
        <v>366200</v>
      </c>
      <c r="G40" s="39" t="n">
        <f aca="false">IF(AND(('Inputs &amp; Assumptions'!$D$106+3)&gt;=1,('Inputs &amp; Assumptions'!$D$106+3)&lt;='Inputs &amp; Assumptions'!$C$13),'Inputs &amp; Assumptions'!G$51/4*INDEX('Inputs &amp; Assumptions'!$E$70:$E$98,'Inputs &amp; Assumptions'!$D$106+3),0)</f>
        <v>366200</v>
      </c>
      <c r="H40" s="39" t="n">
        <f aca="false">IF(AND(('Inputs &amp; Assumptions'!$D$106+4)&gt;=1,('Inputs &amp; Assumptions'!$D$106+4)&lt;='Inputs &amp; Assumptions'!$C$13),'Inputs &amp; Assumptions'!H$51/4*INDEX('Inputs &amp; Assumptions'!$E$70:$E$98,'Inputs &amp; Assumptions'!$D$106+4),0)</f>
        <v>355214</v>
      </c>
      <c r="I40" s="39" t="n">
        <f aca="false">IF(AND(('Inputs &amp; Assumptions'!$D$106+5)&gt;=1,('Inputs &amp; Assumptions'!$D$106+5)&lt;='Inputs &amp; Assumptions'!$C$13),'Inputs &amp; Assumptions'!I$51/4*INDEX('Inputs &amp; Assumptions'!$E$70:$E$98,'Inputs &amp; Assumptions'!$D$106+5),0)</f>
        <v>344557.58</v>
      </c>
      <c r="J40" s="39" t="n">
        <f aca="false">IF(AND(('Inputs &amp; Assumptions'!$D$106+6)&gt;=1,('Inputs &amp; Assumptions'!$D$106+6)&lt;='Inputs &amp; Assumptions'!$C$13),'Inputs &amp; Assumptions'!J$51/4*INDEX('Inputs &amp; Assumptions'!$E$70:$E$98,'Inputs &amp; Assumptions'!$D$106+6),0)</f>
        <v>334220.8526</v>
      </c>
      <c r="K40" s="39" t="n">
        <f aca="false">IF(AND(('Inputs &amp; Assumptions'!$D$106+7)&gt;=1,('Inputs &amp; Assumptions'!$D$106+7)&lt;='Inputs &amp; Assumptions'!$C$13),'Inputs &amp; Assumptions'!K$51/4*INDEX('Inputs &amp; Assumptions'!$E$70:$E$98,'Inputs &amp; Assumptions'!$D$106+7),0)</f>
        <v>324194.227022</v>
      </c>
      <c r="L40" s="39" t="n">
        <f aca="false">IF(AND(('Inputs &amp; Assumptions'!$D$106+8)&gt;=1,('Inputs &amp; Assumptions'!$D$106+8)&lt;='Inputs &amp; Assumptions'!$C$13),'Inputs &amp; Assumptions'!L$51/4*INDEX('Inputs &amp; Assumptions'!$E$70:$E$98,'Inputs &amp; Assumptions'!$D$106+8),0)</f>
        <v>314468.40021134</v>
      </c>
      <c r="M40" s="39" t="n">
        <f aca="false">IF(AND(('Inputs &amp; Assumptions'!$D$106+9)&gt;=1,('Inputs &amp; Assumptions'!$D$106+9)&lt;='Inputs &amp; Assumptions'!$C$13),'Inputs &amp; Assumptions'!M$51/4*INDEX('Inputs &amp; Assumptions'!$E$70:$E$98,'Inputs &amp; Assumptions'!$D$106+9),0)</f>
        <v>305034.348205</v>
      </c>
      <c r="N40" s="39" t="n">
        <f aca="false">IF(AND(('Inputs &amp; Assumptions'!$D$106+10)&gt;=1,('Inputs &amp; Assumptions'!$D$106+10)&lt;='Inputs &amp; Assumptions'!$C$13),'Inputs &amp; Assumptions'!N$51/4*INDEX('Inputs &amp; Assumptions'!$E$70:$E$98,'Inputs &amp; Assumptions'!$D$106+10),0)</f>
        <v>295883.31775885</v>
      </c>
      <c r="O40" s="39" t="n">
        <f aca="false">IF(AND(('Inputs &amp; Assumptions'!$D$106+11)&gt;=1,('Inputs &amp; Assumptions'!$D$106+11)&lt;='Inputs &amp; Assumptions'!$C$13),'Inputs &amp; Assumptions'!O$51/4*INDEX('Inputs &amp; Assumptions'!$E$70:$E$98,'Inputs &amp; Assumptions'!$D$106+11),0)</f>
        <v>287006.818226084</v>
      </c>
      <c r="P40" s="39" t="n">
        <f aca="false">IF(AND(('Inputs &amp; Assumptions'!$D$106+12)&gt;=1,('Inputs &amp; Assumptions'!$D$106+12)&lt;='Inputs &amp; Assumptions'!$C$13),'Inputs &amp; Assumptions'!P$51/4*INDEX('Inputs &amp; Assumptions'!$E$70:$E$98,'Inputs &amp; Assumptions'!$D$106+12),0)</f>
        <v>278396.613679302</v>
      </c>
      <c r="Q40" s="39" t="n">
        <f aca="false">IF(AND(('Inputs &amp; Assumptions'!$D$106+13)&gt;=1,('Inputs &amp; Assumptions'!$D$106+13)&lt;='Inputs &amp; Assumptions'!$C$13),'Inputs &amp; Assumptions'!Q$51/4*INDEX('Inputs &amp; Assumptions'!$E$70:$E$98,'Inputs &amp; Assumptions'!$D$106+13),0)</f>
        <v>270044.715268923</v>
      </c>
      <c r="R40" s="39" t="n">
        <f aca="false">IF(AND(('Inputs &amp; Assumptions'!$D$106+14)&gt;=1,('Inputs &amp; Assumptions'!$D$106+14)&lt;='Inputs &amp; Assumptions'!$C$13),'Inputs &amp; Assumptions'!R$51/4*INDEX('Inputs &amp; Assumptions'!$E$70:$E$98,'Inputs &amp; Assumptions'!$D$106+14),0)</f>
        <v>261943.373810855</v>
      </c>
      <c r="S40" s="39" t="n">
        <f aca="false">IF(AND(('Inputs &amp; Assumptions'!$D$106+15)&gt;=1,('Inputs &amp; Assumptions'!$D$106+15)&lt;='Inputs &amp; Assumptions'!$C$13),'Inputs &amp; Assumptions'!S$51/4*INDEX('Inputs &amp; Assumptions'!$E$70:$E$98,'Inputs &amp; Assumptions'!$D$106+15),0)</f>
        <v>254085.072596529</v>
      </c>
      <c r="T40" s="39" t="n">
        <f aca="false">IF(AND(('Inputs &amp; Assumptions'!$D$106+16)&gt;=1,('Inputs &amp; Assumptions'!$D$106+16)&lt;='Inputs &amp; Assumptions'!$C$13),'Inputs &amp; Assumptions'!T$51/4*INDEX('Inputs &amp; Assumptions'!$E$70:$E$98,'Inputs &amp; Assumptions'!$D$106+16),0)</f>
        <v>246462.520418634</v>
      </c>
      <c r="U40" s="39" t="n">
        <f aca="false">IF(AND(('Inputs &amp; Assumptions'!$D$106+17)&gt;=1,('Inputs &amp; Assumptions'!$D$106+17)&lt;='Inputs &amp; Assumptions'!$C$13),'Inputs &amp; Assumptions'!U$51/4*INDEX('Inputs &amp; Assumptions'!$E$70:$E$98,'Inputs &amp; Assumptions'!$D$106+17),0)</f>
        <v>239068.644806075</v>
      </c>
      <c r="V40" s="39" t="n">
        <f aca="false">IF(AND(('Inputs &amp; Assumptions'!$D$106+18)&gt;=1,('Inputs &amp; Assumptions'!$D$106+18)&lt;='Inputs &amp; Assumptions'!$C$13),'Inputs &amp; Assumptions'!V$51/4*INDEX('Inputs &amp; Assumptions'!$E$70:$E$98,'Inputs &amp; Assumptions'!$D$106+18),0)</f>
        <v>231896.585461892</v>
      </c>
      <c r="W40" s="39" t="n">
        <f aca="false">IF(AND(('Inputs &amp; Assumptions'!$D$106+19)&gt;=1,('Inputs &amp; Assumptions'!$D$106+19)&lt;='Inputs &amp; Assumptions'!$C$13),'Inputs &amp; Assumptions'!W$51/4*INDEX('Inputs &amp; Assumptions'!$E$70:$E$98,'Inputs &amp; Assumptions'!$D$106+19),0)</f>
        <v>224939.687898036</v>
      </c>
      <c r="X40" s="39" t="n">
        <f aca="false">IF(AND(('Inputs &amp; Assumptions'!$D$106+20)&gt;=1,('Inputs &amp; Assumptions'!$D$106+20)&lt;='Inputs &amp; Assumptions'!$C$13),'Inputs &amp; Assumptions'!X$51/4*INDEX('Inputs &amp; Assumptions'!$E$70:$E$98,'Inputs &amp; Assumptions'!$D$106+20),0)</f>
        <v>218191.497261094</v>
      </c>
      <c r="Y40" s="39" t="n">
        <f aca="false">IF(AND(('Inputs &amp; Assumptions'!$D$106+21)&gt;=1,('Inputs &amp; Assumptions'!$D$106+21)&lt;='Inputs &amp; Assumptions'!$C$13),'Inputs &amp; Assumptions'!Y$51/4*INDEX('Inputs &amp; Assumptions'!$E$70:$E$98,'Inputs &amp; Assumptions'!$D$106+21),0)</f>
        <v>211645.752343262</v>
      </c>
      <c r="Z40" s="39" t="n">
        <f aca="false">IF(AND(('Inputs &amp; Assumptions'!$D$106+22)&gt;=1,('Inputs &amp; Assumptions'!$D$106+22)&lt;='Inputs &amp; Assumptions'!$C$13),'Inputs &amp; Assumptions'!Z$51/4*INDEX('Inputs &amp; Assumptions'!$E$70:$E$98,'Inputs &amp; Assumptions'!$D$106+22),0)</f>
        <v>205296.379772964</v>
      </c>
      <c r="AA40" s="39" t="n">
        <f aca="false">IF(AND(('Inputs &amp; Assumptions'!$D$106+23)&gt;=1,('Inputs &amp; Assumptions'!$D$106+23)&lt;='Inputs &amp; Assumptions'!$C$13),'Inputs &amp; Assumptions'!AA$51/4*INDEX('Inputs &amp; Assumptions'!$E$70:$E$98,'Inputs &amp; Assumptions'!$D$106+23),0)</f>
        <v>199137.488379775</v>
      </c>
      <c r="AB40" s="39" t="n">
        <f aca="false">IF(AND(('Inputs &amp; Assumptions'!$D$106+24)&gt;=1,('Inputs &amp; Assumptions'!$D$106+24)&lt;='Inputs &amp; Assumptions'!$C$13),'Inputs &amp; Assumptions'!AB$51/4*INDEX('Inputs &amp; Assumptions'!$E$70:$E$98,'Inputs &amp; Assumptions'!$D$106+24),0)</f>
        <v>193163.363728382</v>
      </c>
      <c r="AC40" s="39" t="n">
        <f aca="false">IF(AND(('Inputs &amp; Assumptions'!$D$106+25)&gt;=1,('Inputs &amp; Assumptions'!$D$106+25)&lt;='Inputs &amp; Assumptions'!$C$13),'Inputs &amp; Assumptions'!AC$51/4*INDEX('Inputs &amp; Assumptions'!$E$70:$E$98,'Inputs &amp; Assumptions'!$D$106+25),0)</f>
        <v>187368.46281653</v>
      </c>
      <c r="AD40" s="39" t="n">
        <f aca="false">IF(AND(('Inputs &amp; Assumptions'!$D$106+26)&gt;=1,('Inputs &amp; Assumptions'!$D$106+26)&lt;='Inputs &amp; Assumptions'!$C$13),'Inputs &amp; Assumptions'!AD$51/4*INDEX('Inputs &amp; Assumptions'!$E$70:$E$98,'Inputs &amp; Assumptions'!$D$106+26),0)</f>
        <v>181747.408932034</v>
      </c>
      <c r="AE40" s="39" t="n">
        <f aca="false">IF(AND(('Inputs &amp; Assumptions'!$D$106+27)&gt;=1,('Inputs &amp; Assumptions'!$D$106+27)&lt;='Inputs &amp; Assumptions'!$C$13),'Inputs &amp; Assumptions'!AE$51/4*INDEX('Inputs &amp; Assumptions'!$E$70:$E$98,'Inputs &amp; Assumptions'!$D$106+27),0)</f>
        <v>0</v>
      </c>
      <c r="AF40" s="39" t="n">
        <f aca="false">IF(AND(('Inputs &amp; Assumptions'!$D$106+28)&gt;=1,('Inputs &amp; Assumptions'!$D$106+28)&lt;='Inputs &amp; Assumptions'!$C$13),'Inputs &amp; Assumptions'!AF$51/4*INDEX('Inputs &amp; Assumptions'!$E$70:$E$98,'Inputs &amp; Assumptions'!$D$106+28),0)</f>
        <v>0</v>
      </c>
      <c r="AG40" s="39" t="n">
        <f aca="false">IF(AND(('Inputs &amp; Assumptions'!$D$106+29)&gt;=1,('Inputs &amp; Assumptions'!$D$106+29)&lt;='Inputs &amp; Assumptions'!$C$13),'Inputs &amp; Assumptions'!AG$51/4*INDEX('Inputs &amp; Assumptions'!$E$70:$E$98,'Inputs &amp; Assumptions'!$D$106+29),0)</f>
        <v>0</v>
      </c>
      <c r="AH40" s="39" t="n">
        <f aca="false">IF(AND(('Inputs &amp; Assumptions'!$D$106+30)&gt;=1,('Inputs &amp; Assumptions'!$D$106+30)&lt;='Inputs &amp; Assumptions'!$C$13),'Inputs &amp; Assumptions'!AH$51/4*INDEX('Inputs &amp; Assumptions'!$E$70:$E$98,'Inputs &amp; Assumptions'!$D$106+30),0)</f>
        <v>0</v>
      </c>
      <c r="AI40" s="39" t="n">
        <f aca="false">IF(AND(('Inputs &amp; Assumptions'!$D$106+31)&gt;=1,('Inputs &amp; Assumptions'!$D$106+31)&lt;='Inputs &amp; Assumptions'!$C$13),'Inputs &amp; Assumptions'!AI$51/4*INDEX('Inputs &amp; Assumptions'!$E$70:$E$98,'Inputs &amp; Assumptions'!$D$106+31),0)</f>
        <v>0</v>
      </c>
      <c r="AJ40" s="39" t="n">
        <f aca="false">IF(AND(('Inputs &amp; Assumptions'!$D$106+32)&gt;=1,('Inputs &amp; Assumptions'!$D$106+32)&lt;='Inputs &amp; Assumptions'!$C$13),'Inputs &amp; Assumptions'!AJ$51/4*INDEX('Inputs &amp; Assumptions'!$E$70:$E$98,'Inputs &amp; Assumptions'!$D$106+32),0)</f>
        <v>0</v>
      </c>
      <c r="AK40" s="39" t="n">
        <f aca="false">IF(AND(('Inputs &amp; Assumptions'!$D$106+33)&gt;=1,('Inputs &amp; Assumptions'!$D$106+33)&lt;='Inputs &amp; Assumptions'!$C$13),'Inputs &amp; Assumptions'!AK$51/4*INDEX('Inputs &amp; Assumptions'!$E$70:$E$98,'Inputs &amp; Assumptions'!$D$106+33),0)</f>
        <v>0</v>
      </c>
      <c r="AL40" s="39" t="n">
        <f aca="false">IF(AND(('Inputs &amp; Assumptions'!$D$106+34)&gt;=1,('Inputs &amp; Assumptions'!$D$106+34)&lt;='Inputs &amp; Assumptions'!$C$13),'Inputs &amp; Assumptions'!AL$51/4*INDEX('Inputs &amp; Assumptions'!$E$70:$E$98,'Inputs &amp; Assumptions'!$D$106+34),0)</f>
        <v>0</v>
      </c>
      <c r="AM40" s="39" t="n">
        <f aca="false">IF(AND(('Inputs &amp; Assumptions'!$D$106+35)&gt;=1,('Inputs &amp; Assumptions'!$D$106+35)&lt;='Inputs &amp; Assumptions'!$C$13),'Inputs &amp; Assumptions'!AM$51/4*INDEX('Inputs &amp; Assumptions'!$E$70:$E$98,'Inputs &amp; Assumptions'!$D$106+35),0)</f>
        <v>0</v>
      </c>
      <c r="AN40" s="39" t="n">
        <f aca="false">IF(AND(('Inputs &amp; Assumptions'!$D$106+36)&gt;=1,('Inputs &amp; Assumptions'!$D$106+36)&lt;='Inputs &amp; Assumptions'!$C$13),'Inputs &amp; Assumptions'!AN$51/4*INDEX('Inputs &amp; Assumptions'!$E$70:$E$98,'Inputs &amp; Assumptions'!$D$106+36),0)</f>
        <v>0</v>
      </c>
    </row>
    <row r="41" customFormat="false" ht="15" hidden="false" customHeight="false" outlineLevel="0" collapsed="false">
      <c r="B41" s="38" t="n">
        <f aca="false">'Inputs &amp; Assumptions'!$B$107</f>
        <v>6</v>
      </c>
      <c r="E41" s="39" t="n">
        <f aca="false">IF(AND(('Inputs &amp; Assumptions'!$D$107+1)&gt;=1,('Inputs &amp; Assumptions'!$D$107+1)&lt;='Inputs &amp; Assumptions'!$C$13),'Inputs &amp; Assumptions'!E$51/4*INDEX('Inputs &amp; Assumptions'!$E$70:$E$98,'Inputs &amp; Assumptions'!$D$107+1),0)</f>
        <v>366200</v>
      </c>
      <c r="F41" s="39" t="n">
        <f aca="false">IF(AND(('Inputs &amp; Assumptions'!$D$107+2)&gt;=1,('Inputs &amp; Assumptions'!$D$107+2)&lt;='Inputs &amp; Assumptions'!$C$13),'Inputs &amp; Assumptions'!F$51/4*INDEX('Inputs &amp; Assumptions'!$E$70:$E$98,'Inputs &amp; Assumptions'!$D$107+2),0)</f>
        <v>366200</v>
      </c>
      <c r="G41" s="39" t="n">
        <f aca="false">IF(AND(('Inputs &amp; Assumptions'!$D$107+3)&gt;=1,('Inputs &amp; Assumptions'!$D$107+3)&lt;='Inputs &amp; Assumptions'!$C$13),'Inputs &amp; Assumptions'!G$51/4*INDEX('Inputs &amp; Assumptions'!$E$70:$E$98,'Inputs &amp; Assumptions'!$D$107+3),0)</f>
        <v>366200</v>
      </c>
      <c r="H41" s="39" t="n">
        <f aca="false">IF(AND(('Inputs &amp; Assumptions'!$D$107+4)&gt;=1,('Inputs &amp; Assumptions'!$D$107+4)&lt;='Inputs &amp; Assumptions'!$C$13),'Inputs &amp; Assumptions'!H$51/4*INDEX('Inputs &amp; Assumptions'!$E$70:$E$98,'Inputs &amp; Assumptions'!$D$107+4),0)</f>
        <v>355214</v>
      </c>
      <c r="I41" s="39" t="n">
        <f aca="false">IF(AND(('Inputs &amp; Assumptions'!$D$107+5)&gt;=1,('Inputs &amp; Assumptions'!$D$107+5)&lt;='Inputs &amp; Assumptions'!$C$13),'Inputs &amp; Assumptions'!I$51/4*INDEX('Inputs &amp; Assumptions'!$E$70:$E$98,'Inputs &amp; Assumptions'!$D$107+5),0)</f>
        <v>344557.58</v>
      </c>
      <c r="J41" s="39" t="n">
        <f aca="false">IF(AND(('Inputs &amp; Assumptions'!$D$107+6)&gt;=1,('Inputs &amp; Assumptions'!$D$107+6)&lt;='Inputs &amp; Assumptions'!$C$13),'Inputs &amp; Assumptions'!J$51/4*INDEX('Inputs &amp; Assumptions'!$E$70:$E$98,'Inputs &amp; Assumptions'!$D$107+6),0)</f>
        <v>334220.8526</v>
      </c>
      <c r="K41" s="39" t="n">
        <f aca="false">IF(AND(('Inputs &amp; Assumptions'!$D$107+7)&gt;=1,('Inputs &amp; Assumptions'!$D$107+7)&lt;='Inputs &amp; Assumptions'!$C$13),'Inputs &amp; Assumptions'!K$51/4*INDEX('Inputs &amp; Assumptions'!$E$70:$E$98,'Inputs &amp; Assumptions'!$D$107+7),0)</f>
        <v>324194.227022</v>
      </c>
      <c r="L41" s="39" t="n">
        <f aca="false">IF(AND(('Inputs &amp; Assumptions'!$D$107+8)&gt;=1,('Inputs &amp; Assumptions'!$D$107+8)&lt;='Inputs &amp; Assumptions'!$C$13),'Inputs &amp; Assumptions'!L$51/4*INDEX('Inputs &amp; Assumptions'!$E$70:$E$98,'Inputs &amp; Assumptions'!$D$107+8),0)</f>
        <v>314468.40021134</v>
      </c>
      <c r="M41" s="39" t="n">
        <f aca="false">IF(AND(('Inputs &amp; Assumptions'!$D$107+9)&gt;=1,('Inputs &amp; Assumptions'!$D$107+9)&lt;='Inputs &amp; Assumptions'!$C$13),'Inputs &amp; Assumptions'!M$51/4*INDEX('Inputs &amp; Assumptions'!$E$70:$E$98,'Inputs &amp; Assumptions'!$D$107+9),0)</f>
        <v>305034.348205</v>
      </c>
      <c r="N41" s="39" t="n">
        <f aca="false">IF(AND(('Inputs &amp; Assumptions'!$D$107+10)&gt;=1,('Inputs &amp; Assumptions'!$D$107+10)&lt;='Inputs &amp; Assumptions'!$C$13),'Inputs &amp; Assumptions'!N$51/4*INDEX('Inputs &amp; Assumptions'!$E$70:$E$98,'Inputs &amp; Assumptions'!$D$107+10),0)</f>
        <v>295883.31775885</v>
      </c>
      <c r="O41" s="39" t="n">
        <f aca="false">IF(AND(('Inputs &amp; Assumptions'!$D$107+11)&gt;=1,('Inputs &amp; Assumptions'!$D$107+11)&lt;='Inputs &amp; Assumptions'!$C$13),'Inputs &amp; Assumptions'!O$51/4*INDEX('Inputs &amp; Assumptions'!$E$70:$E$98,'Inputs &amp; Assumptions'!$D$107+11),0)</f>
        <v>287006.818226084</v>
      </c>
      <c r="P41" s="39" t="n">
        <f aca="false">IF(AND(('Inputs &amp; Assumptions'!$D$107+12)&gt;=1,('Inputs &amp; Assumptions'!$D$107+12)&lt;='Inputs &amp; Assumptions'!$C$13),'Inputs &amp; Assumptions'!P$51/4*INDEX('Inputs &amp; Assumptions'!$E$70:$E$98,'Inputs &amp; Assumptions'!$D$107+12),0)</f>
        <v>278396.613679302</v>
      </c>
      <c r="Q41" s="39" t="n">
        <f aca="false">IF(AND(('Inputs &amp; Assumptions'!$D$107+13)&gt;=1,('Inputs &amp; Assumptions'!$D$107+13)&lt;='Inputs &amp; Assumptions'!$C$13),'Inputs &amp; Assumptions'!Q$51/4*INDEX('Inputs &amp; Assumptions'!$E$70:$E$98,'Inputs &amp; Assumptions'!$D$107+13),0)</f>
        <v>270044.715268923</v>
      </c>
      <c r="R41" s="39" t="n">
        <f aca="false">IF(AND(('Inputs &amp; Assumptions'!$D$107+14)&gt;=1,('Inputs &amp; Assumptions'!$D$107+14)&lt;='Inputs &amp; Assumptions'!$C$13),'Inputs &amp; Assumptions'!R$51/4*INDEX('Inputs &amp; Assumptions'!$E$70:$E$98,'Inputs &amp; Assumptions'!$D$107+14),0)</f>
        <v>261943.373810855</v>
      </c>
      <c r="S41" s="39" t="n">
        <f aca="false">IF(AND(('Inputs &amp; Assumptions'!$D$107+15)&gt;=1,('Inputs &amp; Assumptions'!$D$107+15)&lt;='Inputs &amp; Assumptions'!$C$13),'Inputs &amp; Assumptions'!S$51/4*INDEX('Inputs &amp; Assumptions'!$E$70:$E$98,'Inputs &amp; Assumptions'!$D$107+15),0)</f>
        <v>254085.072596529</v>
      </c>
      <c r="T41" s="39" t="n">
        <f aca="false">IF(AND(('Inputs &amp; Assumptions'!$D$107+16)&gt;=1,('Inputs &amp; Assumptions'!$D$107+16)&lt;='Inputs &amp; Assumptions'!$C$13),'Inputs &amp; Assumptions'!T$51/4*INDEX('Inputs &amp; Assumptions'!$E$70:$E$98,'Inputs &amp; Assumptions'!$D$107+16),0)</f>
        <v>246462.520418634</v>
      </c>
      <c r="U41" s="39" t="n">
        <f aca="false">IF(AND(('Inputs &amp; Assumptions'!$D$107+17)&gt;=1,('Inputs &amp; Assumptions'!$D$107+17)&lt;='Inputs &amp; Assumptions'!$C$13),'Inputs &amp; Assumptions'!U$51/4*INDEX('Inputs &amp; Assumptions'!$E$70:$E$98,'Inputs &amp; Assumptions'!$D$107+17),0)</f>
        <v>239068.644806075</v>
      </c>
      <c r="V41" s="39" t="n">
        <f aca="false">IF(AND(('Inputs &amp; Assumptions'!$D$107+18)&gt;=1,('Inputs &amp; Assumptions'!$D$107+18)&lt;='Inputs &amp; Assumptions'!$C$13),'Inputs &amp; Assumptions'!V$51/4*INDEX('Inputs &amp; Assumptions'!$E$70:$E$98,'Inputs &amp; Assumptions'!$D$107+18),0)</f>
        <v>231896.585461892</v>
      </c>
      <c r="W41" s="39" t="n">
        <f aca="false">IF(AND(('Inputs &amp; Assumptions'!$D$107+19)&gt;=1,('Inputs &amp; Assumptions'!$D$107+19)&lt;='Inputs &amp; Assumptions'!$C$13),'Inputs &amp; Assumptions'!W$51/4*INDEX('Inputs &amp; Assumptions'!$E$70:$E$98,'Inputs &amp; Assumptions'!$D$107+19),0)</f>
        <v>224939.687898036</v>
      </c>
      <c r="X41" s="39" t="n">
        <f aca="false">IF(AND(('Inputs &amp; Assumptions'!$D$107+20)&gt;=1,('Inputs &amp; Assumptions'!$D$107+20)&lt;='Inputs &amp; Assumptions'!$C$13),'Inputs &amp; Assumptions'!X$51/4*INDEX('Inputs &amp; Assumptions'!$E$70:$E$98,'Inputs &amp; Assumptions'!$D$107+20),0)</f>
        <v>218191.497261094</v>
      </c>
      <c r="Y41" s="39" t="n">
        <f aca="false">IF(AND(('Inputs &amp; Assumptions'!$D$107+21)&gt;=1,('Inputs &amp; Assumptions'!$D$107+21)&lt;='Inputs &amp; Assumptions'!$C$13),'Inputs &amp; Assumptions'!Y$51/4*INDEX('Inputs &amp; Assumptions'!$E$70:$E$98,'Inputs &amp; Assumptions'!$D$107+21),0)</f>
        <v>211645.752343262</v>
      </c>
      <c r="Z41" s="39" t="n">
        <f aca="false">IF(AND(('Inputs &amp; Assumptions'!$D$107+22)&gt;=1,('Inputs &amp; Assumptions'!$D$107+22)&lt;='Inputs &amp; Assumptions'!$C$13),'Inputs &amp; Assumptions'!Z$51/4*INDEX('Inputs &amp; Assumptions'!$E$70:$E$98,'Inputs &amp; Assumptions'!$D$107+22),0)</f>
        <v>205296.379772964</v>
      </c>
      <c r="AA41" s="39" t="n">
        <f aca="false">IF(AND(('Inputs &amp; Assumptions'!$D$107+23)&gt;=1,('Inputs &amp; Assumptions'!$D$107+23)&lt;='Inputs &amp; Assumptions'!$C$13),'Inputs &amp; Assumptions'!AA$51/4*INDEX('Inputs &amp; Assumptions'!$E$70:$E$98,'Inputs &amp; Assumptions'!$D$107+23),0)</f>
        <v>199137.488379775</v>
      </c>
      <c r="AB41" s="39" t="n">
        <f aca="false">IF(AND(('Inputs &amp; Assumptions'!$D$107+24)&gt;=1,('Inputs &amp; Assumptions'!$D$107+24)&lt;='Inputs &amp; Assumptions'!$C$13),'Inputs &amp; Assumptions'!AB$51/4*INDEX('Inputs &amp; Assumptions'!$E$70:$E$98,'Inputs &amp; Assumptions'!$D$107+24),0)</f>
        <v>193163.363728382</v>
      </c>
      <c r="AC41" s="39" t="n">
        <f aca="false">IF(AND(('Inputs &amp; Assumptions'!$D$107+25)&gt;=1,('Inputs &amp; Assumptions'!$D$107+25)&lt;='Inputs &amp; Assumptions'!$C$13),'Inputs &amp; Assumptions'!AC$51/4*INDEX('Inputs &amp; Assumptions'!$E$70:$E$98,'Inputs &amp; Assumptions'!$D$107+25),0)</f>
        <v>187368.46281653</v>
      </c>
      <c r="AD41" s="39" t="n">
        <f aca="false">IF(AND(('Inputs &amp; Assumptions'!$D$107+26)&gt;=1,('Inputs &amp; Assumptions'!$D$107+26)&lt;='Inputs &amp; Assumptions'!$C$13),'Inputs &amp; Assumptions'!AD$51/4*INDEX('Inputs &amp; Assumptions'!$E$70:$E$98,'Inputs &amp; Assumptions'!$D$107+26),0)</f>
        <v>181747.408932034</v>
      </c>
      <c r="AE41" s="39" t="n">
        <f aca="false">IF(AND(('Inputs &amp; Assumptions'!$D$107+27)&gt;=1,('Inputs &amp; Assumptions'!$D$107+27)&lt;='Inputs &amp; Assumptions'!$C$13),'Inputs &amp; Assumptions'!AE$51/4*INDEX('Inputs &amp; Assumptions'!$E$70:$E$98,'Inputs &amp; Assumptions'!$D$107+27),0)</f>
        <v>0</v>
      </c>
      <c r="AF41" s="39" t="n">
        <f aca="false">IF(AND(('Inputs &amp; Assumptions'!$D$107+28)&gt;=1,('Inputs &amp; Assumptions'!$D$107+28)&lt;='Inputs &amp; Assumptions'!$C$13),'Inputs &amp; Assumptions'!AF$51/4*INDEX('Inputs &amp; Assumptions'!$E$70:$E$98,'Inputs &amp; Assumptions'!$D$107+28),0)</f>
        <v>0</v>
      </c>
      <c r="AG41" s="39" t="n">
        <f aca="false">IF(AND(('Inputs &amp; Assumptions'!$D$107+29)&gt;=1,('Inputs &amp; Assumptions'!$D$107+29)&lt;='Inputs &amp; Assumptions'!$C$13),'Inputs &amp; Assumptions'!AG$51/4*INDEX('Inputs &amp; Assumptions'!$E$70:$E$98,'Inputs &amp; Assumptions'!$D$107+29),0)</f>
        <v>0</v>
      </c>
      <c r="AH41" s="39" t="n">
        <f aca="false">IF(AND(('Inputs &amp; Assumptions'!$D$107+30)&gt;=1,('Inputs &amp; Assumptions'!$D$107+30)&lt;='Inputs &amp; Assumptions'!$C$13),'Inputs &amp; Assumptions'!AH$51/4*INDEX('Inputs &amp; Assumptions'!$E$70:$E$98,'Inputs &amp; Assumptions'!$D$107+30),0)</f>
        <v>0</v>
      </c>
      <c r="AI41" s="39" t="n">
        <f aca="false">IF(AND(('Inputs &amp; Assumptions'!$D$107+31)&gt;=1,('Inputs &amp; Assumptions'!$D$107+31)&lt;='Inputs &amp; Assumptions'!$C$13),'Inputs &amp; Assumptions'!AI$51/4*INDEX('Inputs &amp; Assumptions'!$E$70:$E$98,'Inputs &amp; Assumptions'!$D$107+31),0)</f>
        <v>0</v>
      </c>
      <c r="AJ41" s="39" t="n">
        <f aca="false">IF(AND(('Inputs &amp; Assumptions'!$D$107+32)&gt;=1,('Inputs &amp; Assumptions'!$D$107+32)&lt;='Inputs &amp; Assumptions'!$C$13),'Inputs &amp; Assumptions'!AJ$51/4*INDEX('Inputs &amp; Assumptions'!$E$70:$E$98,'Inputs &amp; Assumptions'!$D$107+32),0)</f>
        <v>0</v>
      </c>
      <c r="AK41" s="39" t="n">
        <f aca="false">IF(AND(('Inputs &amp; Assumptions'!$D$107+33)&gt;=1,('Inputs &amp; Assumptions'!$D$107+33)&lt;='Inputs &amp; Assumptions'!$C$13),'Inputs &amp; Assumptions'!AK$51/4*INDEX('Inputs &amp; Assumptions'!$E$70:$E$98,'Inputs &amp; Assumptions'!$D$107+33),0)</f>
        <v>0</v>
      </c>
      <c r="AL41" s="39" t="n">
        <f aca="false">IF(AND(('Inputs &amp; Assumptions'!$D$107+34)&gt;=1,('Inputs &amp; Assumptions'!$D$107+34)&lt;='Inputs &amp; Assumptions'!$C$13),'Inputs &amp; Assumptions'!AL$51/4*INDEX('Inputs &amp; Assumptions'!$E$70:$E$98,'Inputs &amp; Assumptions'!$D$107+34),0)</f>
        <v>0</v>
      </c>
      <c r="AM41" s="39" t="n">
        <f aca="false">IF(AND(('Inputs &amp; Assumptions'!$D$107+35)&gt;=1,('Inputs &amp; Assumptions'!$D$107+35)&lt;='Inputs &amp; Assumptions'!$C$13),'Inputs &amp; Assumptions'!AM$51/4*INDEX('Inputs &amp; Assumptions'!$E$70:$E$98,'Inputs &amp; Assumptions'!$D$107+35),0)</f>
        <v>0</v>
      </c>
      <c r="AN41" s="39" t="n">
        <f aca="false">IF(AND(('Inputs &amp; Assumptions'!$D$107+36)&gt;=1,('Inputs &amp; Assumptions'!$D$107+36)&lt;='Inputs &amp; Assumptions'!$C$13),'Inputs &amp; Assumptions'!AN$51/4*INDEX('Inputs &amp; Assumptions'!$E$70:$E$98,'Inputs &amp; Assumptions'!$D$107+36),0)</f>
        <v>0</v>
      </c>
    </row>
    <row r="42" customFormat="false" ht="15" hidden="false" customHeight="false" outlineLevel="0" collapsed="false">
      <c r="B42" s="38" t="n">
        <f aca="false">'Inputs &amp; Assumptions'!$B$108</f>
        <v>7</v>
      </c>
      <c r="E42" s="39" t="n">
        <f aca="false">IF(AND(('Inputs &amp; Assumptions'!$D$108+1)&gt;=1,('Inputs &amp; Assumptions'!$D$108+1)&lt;='Inputs &amp; Assumptions'!$C$13),'Inputs &amp; Assumptions'!E$51/4*INDEX('Inputs &amp; Assumptions'!$E$70:$E$98,'Inputs &amp; Assumptions'!$D$108+1),0)</f>
        <v>366200</v>
      </c>
      <c r="F42" s="39" t="n">
        <f aca="false">IF(AND(('Inputs &amp; Assumptions'!$D$108+2)&gt;=1,('Inputs &amp; Assumptions'!$D$108+2)&lt;='Inputs &amp; Assumptions'!$C$13),'Inputs &amp; Assumptions'!F$51/4*INDEX('Inputs &amp; Assumptions'!$E$70:$E$98,'Inputs &amp; Assumptions'!$D$108+2),0)</f>
        <v>366200</v>
      </c>
      <c r="G42" s="39" t="n">
        <f aca="false">IF(AND(('Inputs &amp; Assumptions'!$D$108+3)&gt;=1,('Inputs &amp; Assumptions'!$D$108+3)&lt;='Inputs &amp; Assumptions'!$C$13),'Inputs &amp; Assumptions'!G$51/4*INDEX('Inputs &amp; Assumptions'!$E$70:$E$98,'Inputs &amp; Assumptions'!$D$108+3),0)</f>
        <v>366200</v>
      </c>
      <c r="H42" s="39" t="n">
        <f aca="false">IF(AND(('Inputs &amp; Assumptions'!$D$108+4)&gt;=1,('Inputs &amp; Assumptions'!$D$108+4)&lt;='Inputs &amp; Assumptions'!$C$13),'Inputs &amp; Assumptions'!H$51/4*INDEX('Inputs &amp; Assumptions'!$E$70:$E$98,'Inputs &amp; Assumptions'!$D$108+4),0)</f>
        <v>355214</v>
      </c>
      <c r="I42" s="39" t="n">
        <f aca="false">IF(AND(('Inputs &amp; Assumptions'!$D$108+5)&gt;=1,('Inputs &amp; Assumptions'!$D$108+5)&lt;='Inputs &amp; Assumptions'!$C$13),'Inputs &amp; Assumptions'!I$51/4*INDEX('Inputs &amp; Assumptions'!$E$70:$E$98,'Inputs &amp; Assumptions'!$D$108+5),0)</f>
        <v>344557.58</v>
      </c>
      <c r="J42" s="39" t="n">
        <f aca="false">IF(AND(('Inputs &amp; Assumptions'!$D$108+6)&gt;=1,('Inputs &amp; Assumptions'!$D$108+6)&lt;='Inputs &amp; Assumptions'!$C$13),'Inputs &amp; Assumptions'!J$51/4*INDEX('Inputs &amp; Assumptions'!$E$70:$E$98,'Inputs &amp; Assumptions'!$D$108+6),0)</f>
        <v>334220.8526</v>
      </c>
      <c r="K42" s="39" t="n">
        <f aca="false">IF(AND(('Inputs &amp; Assumptions'!$D$108+7)&gt;=1,('Inputs &amp; Assumptions'!$D$108+7)&lt;='Inputs &amp; Assumptions'!$C$13),'Inputs &amp; Assumptions'!K$51/4*INDEX('Inputs &amp; Assumptions'!$E$70:$E$98,'Inputs &amp; Assumptions'!$D$108+7),0)</f>
        <v>324194.227022</v>
      </c>
      <c r="L42" s="39" t="n">
        <f aca="false">IF(AND(('Inputs &amp; Assumptions'!$D$108+8)&gt;=1,('Inputs &amp; Assumptions'!$D$108+8)&lt;='Inputs &amp; Assumptions'!$C$13),'Inputs &amp; Assumptions'!L$51/4*INDEX('Inputs &amp; Assumptions'!$E$70:$E$98,'Inputs &amp; Assumptions'!$D$108+8),0)</f>
        <v>314468.40021134</v>
      </c>
      <c r="M42" s="39" t="n">
        <f aca="false">IF(AND(('Inputs &amp; Assumptions'!$D$108+9)&gt;=1,('Inputs &amp; Assumptions'!$D$108+9)&lt;='Inputs &amp; Assumptions'!$C$13),'Inputs &amp; Assumptions'!M$51/4*INDEX('Inputs &amp; Assumptions'!$E$70:$E$98,'Inputs &amp; Assumptions'!$D$108+9),0)</f>
        <v>305034.348205</v>
      </c>
      <c r="N42" s="39" t="n">
        <f aca="false">IF(AND(('Inputs &amp; Assumptions'!$D$108+10)&gt;=1,('Inputs &amp; Assumptions'!$D$108+10)&lt;='Inputs &amp; Assumptions'!$C$13),'Inputs &amp; Assumptions'!N$51/4*INDEX('Inputs &amp; Assumptions'!$E$70:$E$98,'Inputs &amp; Assumptions'!$D$108+10),0)</f>
        <v>295883.31775885</v>
      </c>
      <c r="O42" s="39" t="n">
        <f aca="false">IF(AND(('Inputs &amp; Assumptions'!$D$108+11)&gt;=1,('Inputs &amp; Assumptions'!$D$108+11)&lt;='Inputs &amp; Assumptions'!$C$13),'Inputs &amp; Assumptions'!O$51/4*INDEX('Inputs &amp; Assumptions'!$E$70:$E$98,'Inputs &amp; Assumptions'!$D$108+11),0)</f>
        <v>287006.818226084</v>
      </c>
      <c r="P42" s="39" t="n">
        <f aca="false">IF(AND(('Inputs &amp; Assumptions'!$D$108+12)&gt;=1,('Inputs &amp; Assumptions'!$D$108+12)&lt;='Inputs &amp; Assumptions'!$C$13),'Inputs &amp; Assumptions'!P$51/4*INDEX('Inputs &amp; Assumptions'!$E$70:$E$98,'Inputs &amp; Assumptions'!$D$108+12),0)</f>
        <v>278396.613679302</v>
      </c>
      <c r="Q42" s="39" t="n">
        <f aca="false">IF(AND(('Inputs &amp; Assumptions'!$D$108+13)&gt;=1,('Inputs &amp; Assumptions'!$D$108+13)&lt;='Inputs &amp; Assumptions'!$C$13),'Inputs &amp; Assumptions'!Q$51/4*INDEX('Inputs &amp; Assumptions'!$E$70:$E$98,'Inputs &amp; Assumptions'!$D$108+13),0)</f>
        <v>270044.715268923</v>
      </c>
      <c r="R42" s="39" t="n">
        <f aca="false">IF(AND(('Inputs &amp; Assumptions'!$D$108+14)&gt;=1,('Inputs &amp; Assumptions'!$D$108+14)&lt;='Inputs &amp; Assumptions'!$C$13),'Inputs &amp; Assumptions'!R$51/4*INDEX('Inputs &amp; Assumptions'!$E$70:$E$98,'Inputs &amp; Assumptions'!$D$108+14),0)</f>
        <v>261943.373810855</v>
      </c>
      <c r="S42" s="39" t="n">
        <f aca="false">IF(AND(('Inputs &amp; Assumptions'!$D$108+15)&gt;=1,('Inputs &amp; Assumptions'!$D$108+15)&lt;='Inputs &amp; Assumptions'!$C$13),'Inputs &amp; Assumptions'!S$51/4*INDEX('Inputs &amp; Assumptions'!$E$70:$E$98,'Inputs &amp; Assumptions'!$D$108+15),0)</f>
        <v>254085.072596529</v>
      </c>
      <c r="T42" s="39" t="n">
        <f aca="false">IF(AND(('Inputs &amp; Assumptions'!$D$108+16)&gt;=1,('Inputs &amp; Assumptions'!$D$108+16)&lt;='Inputs &amp; Assumptions'!$C$13),'Inputs &amp; Assumptions'!T$51/4*INDEX('Inputs &amp; Assumptions'!$E$70:$E$98,'Inputs &amp; Assumptions'!$D$108+16),0)</f>
        <v>246462.520418634</v>
      </c>
      <c r="U42" s="39" t="n">
        <f aca="false">IF(AND(('Inputs &amp; Assumptions'!$D$108+17)&gt;=1,('Inputs &amp; Assumptions'!$D$108+17)&lt;='Inputs &amp; Assumptions'!$C$13),'Inputs &amp; Assumptions'!U$51/4*INDEX('Inputs &amp; Assumptions'!$E$70:$E$98,'Inputs &amp; Assumptions'!$D$108+17),0)</f>
        <v>239068.644806075</v>
      </c>
      <c r="V42" s="39" t="n">
        <f aca="false">IF(AND(('Inputs &amp; Assumptions'!$D$108+18)&gt;=1,('Inputs &amp; Assumptions'!$D$108+18)&lt;='Inputs &amp; Assumptions'!$C$13),'Inputs &amp; Assumptions'!V$51/4*INDEX('Inputs &amp; Assumptions'!$E$70:$E$98,'Inputs &amp; Assumptions'!$D$108+18),0)</f>
        <v>231896.585461892</v>
      </c>
      <c r="W42" s="39" t="n">
        <f aca="false">IF(AND(('Inputs &amp; Assumptions'!$D$108+19)&gt;=1,('Inputs &amp; Assumptions'!$D$108+19)&lt;='Inputs &amp; Assumptions'!$C$13),'Inputs &amp; Assumptions'!W$51/4*INDEX('Inputs &amp; Assumptions'!$E$70:$E$98,'Inputs &amp; Assumptions'!$D$108+19),0)</f>
        <v>224939.687898036</v>
      </c>
      <c r="X42" s="39" t="n">
        <f aca="false">IF(AND(('Inputs &amp; Assumptions'!$D$108+20)&gt;=1,('Inputs &amp; Assumptions'!$D$108+20)&lt;='Inputs &amp; Assumptions'!$C$13),'Inputs &amp; Assumptions'!X$51/4*INDEX('Inputs &amp; Assumptions'!$E$70:$E$98,'Inputs &amp; Assumptions'!$D$108+20),0)</f>
        <v>218191.497261094</v>
      </c>
      <c r="Y42" s="39" t="n">
        <f aca="false">IF(AND(('Inputs &amp; Assumptions'!$D$108+21)&gt;=1,('Inputs &amp; Assumptions'!$D$108+21)&lt;='Inputs &amp; Assumptions'!$C$13),'Inputs &amp; Assumptions'!Y$51/4*INDEX('Inputs &amp; Assumptions'!$E$70:$E$98,'Inputs &amp; Assumptions'!$D$108+21),0)</f>
        <v>211645.752343262</v>
      </c>
      <c r="Z42" s="39" t="n">
        <f aca="false">IF(AND(('Inputs &amp; Assumptions'!$D$108+22)&gt;=1,('Inputs &amp; Assumptions'!$D$108+22)&lt;='Inputs &amp; Assumptions'!$C$13),'Inputs &amp; Assumptions'!Z$51/4*INDEX('Inputs &amp; Assumptions'!$E$70:$E$98,'Inputs &amp; Assumptions'!$D$108+22),0)</f>
        <v>205296.379772964</v>
      </c>
      <c r="AA42" s="39" t="n">
        <f aca="false">IF(AND(('Inputs &amp; Assumptions'!$D$108+23)&gt;=1,('Inputs &amp; Assumptions'!$D$108+23)&lt;='Inputs &amp; Assumptions'!$C$13),'Inputs &amp; Assumptions'!AA$51/4*INDEX('Inputs &amp; Assumptions'!$E$70:$E$98,'Inputs &amp; Assumptions'!$D$108+23),0)</f>
        <v>199137.488379775</v>
      </c>
      <c r="AB42" s="39" t="n">
        <f aca="false">IF(AND(('Inputs &amp; Assumptions'!$D$108+24)&gt;=1,('Inputs &amp; Assumptions'!$D$108+24)&lt;='Inputs &amp; Assumptions'!$C$13),'Inputs &amp; Assumptions'!AB$51/4*INDEX('Inputs &amp; Assumptions'!$E$70:$E$98,'Inputs &amp; Assumptions'!$D$108+24),0)</f>
        <v>193163.363728382</v>
      </c>
      <c r="AC42" s="39" t="n">
        <f aca="false">IF(AND(('Inputs &amp; Assumptions'!$D$108+25)&gt;=1,('Inputs &amp; Assumptions'!$D$108+25)&lt;='Inputs &amp; Assumptions'!$C$13),'Inputs &amp; Assumptions'!AC$51/4*INDEX('Inputs &amp; Assumptions'!$E$70:$E$98,'Inputs &amp; Assumptions'!$D$108+25),0)</f>
        <v>187368.46281653</v>
      </c>
      <c r="AD42" s="39" t="n">
        <f aca="false">IF(AND(('Inputs &amp; Assumptions'!$D$108+26)&gt;=1,('Inputs &amp; Assumptions'!$D$108+26)&lt;='Inputs &amp; Assumptions'!$C$13),'Inputs &amp; Assumptions'!AD$51/4*INDEX('Inputs &amp; Assumptions'!$E$70:$E$98,'Inputs &amp; Assumptions'!$D$108+26),0)</f>
        <v>181747.408932034</v>
      </c>
      <c r="AE42" s="39" t="n">
        <f aca="false">IF(AND(('Inputs &amp; Assumptions'!$D$108+27)&gt;=1,('Inputs &amp; Assumptions'!$D$108+27)&lt;='Inputs &amp; Assumptions'!$C$13),'Inputs &amp; Assumptions'!AE$51/4*INDEX('Inputs &amp; Assumptions'!$E$70:$E$98,'Inputs &amp; Assumptions'!$D$108+27),0)</f>
        <v>0</v>
      </c>
      <c r="AF42" s="39" t="n">
        <f aca="false">IF(AND(('Inputs &amp; Assumptions'!$D$108+28)&gt;=1,('Inputs &amp; Assumptions'!$D$108+28)&lt;='Inputs &amp; Assumptions'!$C$13),'Inputs &amp; Assumptions'!AF$51/4*INDEX('Inputs &amp; Assumptions'!$E$70:$E$98,'Inputs &amp; Assumptions'!$D$108+28),0)</f>
        <v>0</v>
      </c>
      <c r="AG42" s="39" t="n">
        <f aca="false">IF(AND(('Inputs &amp; Assumptions'!$D$108+29)&gt;=1,('Inputs &amp; Assumptions'!$D$108+29)&lt;='Inputs &amp; Assumptions'!$C$13),'Inputs &amp; Assumptions'!AG$51/4*INDEX('Inputs &amp; Assumptions'!$E$70:$E$98,'Inputs &amp; Assumptions'!$D$108+29),0)</f>
        <v>0</v>
      </c>
      <c r="AH42" s="39" t="n">
        <f aca="false">IF(AND(('Inputs &amp; Assumptions'!$D$108+30)&gt;=1,('Inputs &amp; Assumptions'!$D$108+30)&lt;='Inputs &amp; Assumptions'!$C$13),'Inputs &amp; Assumptions'!AH$51/4*INDEX('Inputs &amp; Assumptions'!$E$70:$E$98,'Inputs &amp; Assumptions'!$D$108+30),0)</f>
        <v>0</v>
      </c>
      <c r="AI42" s="39" t="n">
        <f aca="false">IF(AND(('Inputs &amp; Assumptions'!$D$108+31)&gt;=1,('Inputs &amp; Assumptions'!$D$108+31)&lt;='Inputs &amp; Assumptions'!$C$13),'Inputs &amp; Assumptions'!AI$51/4*INDEX('Inputs &amp; Assumptions'!$E$70:$E$98,'Inputs &amp; Assumptions'!$D$108+31),0)</f>
        <v>0</v>
      </c>
      <c r="AJ42" s="39" t="n">
        <f aca="false">IF(AND(('Inputs &amp; Assumptions'!$D$108+32)&gt;=1,('Inputs &amp; Assumptions'!$D$108+32)&lt;='Inputs &amp; Assumptions'!$C$13),'Inputs &amp; Assumptions'!AJ$51/4*INDEX('Inputs &amp; Assumptions'!$E$70:$E$98,'Inputs &amp; Assumptions'!$D$108+32),0)</f>
        <v>0</v>
      </c>
      <c r="AK42" s="39" t="n">
        <f aca="false">IF(AND(('Inputs &amp; Assumptions'!$D$108+33)&gt;=1,('Inputs &amp; Assumptions'!$D$108+33)&lt;='Inputs &amp; Assumptions'!$C$13),'Inputs &amp; Assumptions'!AK$51/4*INDEX('Inputs &amp; Assumptions'!$E$70:$E$98,'Inputs &amp; Assumptions'!$D$108+33),0)</f>
        <v>0</v>
      </c>
      <c r="AL42" s="39" t="n">
        <f aca="false">IF(AND(('Inputs &amp; Assumptions'!$D$108+34)&gt;=1,('Inputs &amp; Assumptions'!$D$108+34)&lt;='Inputs &amp; Assumptions'!$C$13),'Inputs &amp; Assumptions'!AL$51/4*INDEX('Inputs &amp; Assumptions'!$E$70:$E$98,'Inputs &amp; Assumptions'!$D$108+34),0)</f>
        <v>0</v>
      </c>
      <c r="AM42" s="39" t="n">
        <f aca="false">IF(AND(('Inputs &amp; Assumptions'!$D$108+35)&gt;=1,('Inputs &amp; Assumptions'!$D$108+35)&lt;='Inputs &amp; Assumptions'!$C$13),'Inputs &amp; Assumptions'!AM$51/4*INDEX('Inputs &amp; Assumptions'!$E$70:$E$98,'Inputs &amp; Assumptions'!$D$108+35),0)</f>
        <v>0</v>
      </c>
      <c r="AN42" s="39" t="n">
        <f aca="false">IF(AND(('Inputs &amp; Assumptions'!$D$108+36)&gt;=1,('Inputs &amp; Assumptions'!$D$108+36)&lt;='Inputs &amp; Assumptions'!$C$13),'Inputs &amp; Assumptions'!AN$51/4*INDEX('Inputs &amp; Assumptions'!$E$70:$E$98,'Inputs &amp; Assumptions'!$D$108+36),0)</f>
        <v>0</v>
      </c>
    </row>
    <row r="43" customFormat="false" ht="15" hidden="false" customHeight="false" outlineLevel="0" collapsed="false">
      <c r="B43" s="38" t="n">
        <f aca="false">'Inputs &amp; Assumptions'!$B$109</f>
        <v>8</v>
      </c>
      <c r="E43" s="39" t="n">
        <f aca="false">IF(AND(('Inputs &amp; Assumptions'!$D$109+1)&gt;=1,('Inputs &amp; Assumptions'!$D$109+1)&lt;='Inputs &amp; Assumptions'!$C$13),'Inputs &amp; Assumptions'!E$51/4*INDEX('Inputs &amp; Assumptions'!$E$70:$E$98,'Inputs &amp; Assumptions'!$D$109+1),0)</f>
        <v>366200</v>
      </c>
      <c r="F43" s="39" t="n">
        <f aca="false">IF(AND(('Inputs &amp; Assumptions'!$D$109+2)&gt;=1,('Inputs &amp; Assumptions'!$D$109+2)&lt;='Inputs &amp; Assumptions'!$C$13),'Inputs &amp; Assumptions'!F$51/4*INDEX('Inputs &amp; Assumptions'!$E$70:$E$98,'Inputs &amp; Assumptions'!$D$109+2),0)</f>
        <v>366200</v>
      </c>
      <c r="G43" s="39" t="n">
        <f aca="false">IF(AND(('Inputs &amp; Assumptions'!$D$109+3)&gt;=1,('Inputs &amp; Assumptions'!$D$109+3)&lt;='Inputs &amp; Assumptions'!$C$13),'Inputs &amp; Assumptions'!G$51/4*INDEX('Inputs &amp; Assumptions'!$E$70:$E$98,'Inputs &amp; Assumptions'!$D$109+3),0)</f>
        <v>355214</v>
      </c>
      <c r="H43" s="39" t="n">
        <f aca="false">IF(AND(('Inputs &amp; Assumptions'!$D$109+4)&gt;=1,('Inputs &amp; Assumptions'!$D$109+4)&lt;='Inputs &amp; Assumptions'!$C$13),'Inputs &amp; Assumptions'!H$51/4*INDEX('Inputs &amp; Assumptions'!$E$70:$E$98,'Inputs &amp; Assumptions'!$D$109+4),0)</f>
        <v>344557.58</v>
      </c>
      <c r="I43" s="39" t="n">
        <f aca="false">IF(AND(('Inputs &amp; Assumptions'!$D$109+5)&gt;=1,('Inputs &amp; Assumptions'!$D$109+5)&lt;='Inputs &amp; Assumptions'!$C$13),'Inputs &amp; Assumptions'!I$51/4*INDEX('Inputs &amp; Assumptions'!$E$70:$E$98,'Inputs &amp; Assumptions'!$D$109+5),0)</f>
        <v>334220.8526</v>
      </c>
      <c r="J43" s="39" t="n">
        <f aca="false">IF(AND(('Inputs &amp; Assumptions'!$D$109+6)&gt;=1,('Inputs &amp; Assumptions'!$D$109+6)&lt;='Inputs &amp; Assumptions'!$C$13),'Inputs &amp; Assumptions'!J$51/4*INDEX('Inputs &amp; Assumptions'!$E$70:$E$98,'Inputs &amp; Assumptions'!$D$109+6),0)</f>
        <v>324194.227022</v>
      </c>
      <c r="K43" s="39" t="n">
        <f aca="false">IF(AND(('Inputs &amp; Assumptions'!$D$109+7)&gt;=1,('Inputs &amp; Assumptions'!$D$109+7)&lt;='Inputs &amp; Assumptions'!$C$13),'Inputs &amp; Assumptions'!K$51/4*INDEX('Inputs &amp; Assumptions'!$E$70:$E$98,'Inputs &amp; Assumptions'!$D$109+7),0)</f>
        <v>314468.40021134</v>
      </c>
      <c r="L43" s="39" t="n">
        <f aca="false">IF(AND(('Inputs &amp; Assumptions'!$D$109+8)&gt;=1,('Inputs &amp; Assumptions'!$D$109+8)&lt;='Inputs &amp; Assumptions'!$C$13),'Inputs &amp; Assumptions'!L$51/4*INDEX('Inputs &amp; Assumptions'!$E$70:$E$98,'Inputs &amp; Assumptions'!$D$109+8),0)</f>
        <v>305034.348205</v>
      </c>
      <c r="M43" s="39" t="n">
        <f aca="false">IF(AND(('Inputs &amp; Assumptions'!$D$109+9)&gt;=1,('Inputs &amp; Assumptions'!$D$109+9)&lt;='Inputs &amp; Assumptions'!$C$13),'Inputs &amp; Assumptions'!M$51/4*INDEX('Inputs &amp; Assumptions'!$E$70:$E$98,'Inputs &amp; Assumptions'!$D$109+9),0)</f>
        <v>295883.31775885</v>
      </c>
      <c r="N43" s="39" t="n">
        <f aca="false">IF(AND(('Inputs &amp; Assumptions'!$D$109+10)&gt;=1,('Inputs &amp; Assumptions'!$D$109+10)&lt;='Inputs &amp; Assumptions'!$C$13),'Inputs &amp; Assumptions'!N$51/4*INDEX('Inputs &amp; Assumptions'!$E$70:$E$98,'Inputs &amp; Assumptions'!$D$109+10),0)</f>
        <v>287006.818226084</v>
      </c>
      <c r="O43" s="39" t="n">
        <f aca="false">IF(AND(('Inputs &amp; Assumptions'!$D$109+11)&gt;=1,('Inputs &amp; Assumptions'!$D$109+11)&lt;='Inputs &amp; Assumptions'!$C$13),'Inputs &amp; Assumptions'!O$51/4*INDEX('Inputs &amp; Assumptions'!$E$70:$E$98,'Inputs &amp; Assumptions'!$D$109+11),0)</f>
        <v>278396.613679302</v>
      </c>
      <c r="P43" s="39" t="n">
        <f aca="false">IF(AND(('Inputs &amp; Assumptions'!$D$109+12)&gt;=1,('Inputs &amp; Assumptions'!$D$109+12)&lt;='Inputs &amp; Assumptions'!$C$13),'Inputs &amp; Assumptions'!P$51/4*INDEX('Inputs &amp; Assumptions'!$E$70:$E$98,'Inputs &amp; Assumptions'!$D$109+12),0)</f>
        <v>270044.715268923</v>
      </c>
      <c r="Q43" s="39" t="n">
        <f aca="false">IF(AND(('Inputs &amp; Assumptions'!$D$109+13)&gt;=1,('Inputs &amp; Assumptions'!$D$109+13)&lt;='Inputs &amp; Assumptions'!$C$13),'Inputs &amp; Assumptions'!Q$51/4*INDEX('Inputs &amp; Assumptions'!$E$70:$E$98,'Inputs &amp; Assumptions'!$D$109+13),0)</f>
        <v>261943.373810855</v>
      </c>
      <c r="R43" s="39" t="n">
        <f aca="false">IF(AND(('Inputs &amp; Assumptions'!$D$109+14)&gt;=1,('Inputs &amp; Assumptions'!$D$109+14)&lt;='Inputs &amp; Assumptions'!$C$13),'Inputs &amp; Assumptions'!R$51/4*INDEX('Inputs &amp; Assumptions'!$E$70:$E$98,'Inputs &amp; Assumptions'!$D$109+14),0)</f>
        <v>254085.072596529</v>
      </c>
      <c r="S43" s="39" t="n">
        <f aca="false">IF(AND(('Inputs &amp; Assumptions'!$D$109+15)&gt;=1,('Inputs &amp; Assumptions'!$D$109+15)&lt;='Inputs &amp; Assumptions'!$C$13),'Inputs &amp; Assumptions'!S$51/4*INDEX('Inputs &amp; Assumptions'!$E$70:$E$98,'Inputs &amp; Assumptions'!$D$109+15),0)</f>
        <v>246462.520418634</v>
      </c>
      <c r="T43" s="39" t="n">
        <f aca="false">IF(AND(('Inputs &amp; Assumptions'!$D$109+16)&gt;=1,('Inputs &amp; Assumptions'!$D$109+16)&lt;='Inputs &amp; Assumptions'!$C$13),'Inputs &amp; Assumptions'!T$51/4*INDEX('Inputs &amp; Assumptions'!$E$70:$E$98,'Inputs &amp; Assumptions'!$D$109+16),0)</f>
        <v>239068.644806075</v>
      </c>
      <c r="U43" s="39" t="n">
        <f aca="false">IF(AND(('Inputs &amp; Assumptions'!$D$109+17)&gt;=1,('Inputs &amp; Assumptions'!$D$109+17)&lt;='Inputs &amp; Assumptions'!$C$13),'Inputs &amp; Assumptions'!U$51/4*INDEX('Inputs &amp; Assumptions'!$E$70:$E$98,'Inputs &amp; Assumptions'!$D$109+17),0)</f>
        <v>231896.585461892</v>
      </c>
      <c r="V43" s="39" t="n">
        <f aca="false">IF(AND(('Inputs &amp; Assumptions'!$D$109+18)&gt;=1,('Inputs &amp; Assumptions'!$D$109+18)&lt;='Inputs &amp; Assumptions'!$C$13),'Inputs &amp; Assumptions'!V$51/4*INDEX('Inputs &amp; Assumptions'!$E$70:$E$98,'Inputs &amp; Assumptions'!$D$109+18),0)</f>
        <v>224939.687898036</v>
      </c>
      <c r="W43" s="39" t="n">
        <f aca="false">IF(AND(('Inputs &amp; Assumptions'!$D$109+19)&gt;=1,('Inputs &amp; Assumptions'!$D$109+19)&lt;='Inputs &amp; Assumptions'!$C$13),'Inputs &amp; Assumptions'!W$51/4*INDEX('Inputs &amp; Assumptions'!$E$70:$E$98,'Inputs &amp; Assumptions'!$D$109+19),0)</f>
        <v>218191.497261094</v>
      </c>
      <c r="X43" s="39" t="n">
        <f aca="false">IF(AND(('Inputs &amp; Assumptions'!$D$109+20)&gt;=1,('Inputs &amp; Assumptions'!$D$109+20)&lt;='Inputs &amp; Assumptions'!$C$13),'Inputs &amp; Assumptions'!X$51/4*INDEX('Inputs &amp; Assumptions'!$E$70:$E$98,'Inputs &amp; Assumptions'!$D$109+20),0)</f>
        <v>211645.752343262</v>
      </c>
      <c r="Y43" s="39" t="n">
        <f aca="false">IF(AND(('Inputs &amp; Assumptions'!$D$109+21)&gt;=1,('Inputs &amp; Assumptions'!$D$109+21)&lt;='Inputs &amp; Assumptions'!$C$13),'Inputs &amp; Assumptions'!Y$51/4*INDEX('Inputs &amp; Assumptions'!$E$70:$E$98,'Inputs &amp; Assumptions'!$D$109+21),0)</f>
        <v>205296.379772964</v>
      </c>
      <c r="Z43" s="39" t="n">
        <f aca="false">IF(AND(('Inputs &amp; Assumptions'!$D$109+22)&gt;=1,('Inputs &amp; Assumptions'!$D$109+22)&lt;='Inputs &amp; Assumptions'!$C$13),'Inputs &amp; Assumptions'!Z$51/4*INDEX('Inputs &amp; Assumptions'!$E$70:$E$98,'Inputs &amp; Assumptions'!$D$109+22),0)</f>
        <v>199137.488379775</v>
      </c>
      <c r="AA43" s="39" t="n">
        <f aca="false">IF(AND(('Inputs &amp; Assumptions'!$D$109+23)&gt;=1,('Inputs &amp; Assumptions'!$D$109+23)&lt;='Inputs &amp; Assumptions'!$C$13),'Inputs &amp; Assumptions'!AA$51/4*INDEX('Inputs &amp; Assumptions'!$E$70:$E$98,'Inputs &amp; Assumptions'!$D$109+23),0)</f>
        <v>193163.363728382</v>
      </c>
      <c r="AB43" s="39" t="n">
        <f aca="false">IF(AND(('Inputs &amp; Assumptions'!$D$109+24)&gt;=1,('Inputs &amp; Assumptions'!$D$109+24)&lt;='Inputs &amp; Assumptions'!$C$13),'Inputs &amp; Assumptions'!AB$51/4*INDEX('Inputs &amp; Assumptions'!$E$70:$E$98,'Inputs &amp; Assumptions'!$D$109+24),0)</f>
        <v>187368.46281653</v>
      </c>
      <c r="AC43" s="39" t="n">
        <f aca="false">IF(AND(('Inputs &amp; Assumptions'!$D$109+25)&gt;=1,('Inputs &amp; Assumptions'!$D$109+25)&lt;='Inputs &amp; Assumptions'!$C$13),'Inputs &amp; Assumptions'!AC$51/4*INDEX('Inputs &amp; Assumptions'!$E$70:$E$98,'Inputs &amp; Assumptions'!$D$109+25),0)</f>
        <v>181747.408932034</v>
      </c>
      <c r="AD43" s="39" t="n">
        <f aca="false">IF(AND(('Inputs &amp; Assumptions'!$D$109+26)&gt;=1,('Inputs &amp; Assumptions'!$D$109+26)&lt;='Inputs &amp; Assumptions'!$C$13),'Inputs &amp; Assumptions'!AD$51/4*INDEX('Inputs &amp; Assumptions'!$E$70:$E$98,'Inputs &amp; Assumptions'!$D$109+26),0)</f>
        <v>0</v>
      </c>
      <c r="AE43" s="39" t="n">
        <f aca="false">IF(AND(('Inputs &amp; Assumptions'!$D$109+27)&gt;=1,('Inputs &amp; Assumptions'!$D$109+27)&lt;='Inputs &amp; Assumptions'!$C$13),'Inputs &amp; Assumptions'!AE$51/4*INDEX('Inputs &amp; Assumptions'!$E$70:$E$98,'Inputs &amp; Assumptions'!$D$109+27),0)</f>
        <v>0</v>
      </c>
      <c r="AF43" s="39" t="n">
        <f aca="false">IF(AND(('Inputs &amp; Assumptions'!$D$109+28)&gt;=1,('Inputs &amp; Assumptions'!$D$109+28)&lt;='Inputs &amp; Assumptions'!$C$13),'Inputs &amp; Assumptions'!AF$51/4*INDEX('Inputs &amp; Assumptions'!$E$70:$E$98,'Inputs &amp; Assumptions'!$D$109+28),0)</f>
        <v>0</v>
      </c>
      <c r="AG43" s="39" t="n">
        <f aca="false">IF(AND(('Inputs &amp; Assumptions'!$D$109+29)&gt;=1,('Inputs &amp; Assumptions'!$D$109+29)&lt;='Inputs &amp; Assumptions'!$C$13),'Inputs &amp; Assumptions'!AG$51/4*INDEX('Inputs &amp; Assumptions'!$E$70:$E$98,'Inputs &amp; Assumptions'!$D$109+29),0)</f>
        <v>0</v>
      </c>
      <c r="AH43" s="39" t="n">
        <f aca="false">IF(AND(('Inputs &amp; Assumptions'!$D$109+30)&gt;=1,('Inputs &amp; Assumptions'!$D$109+30)&lt;='Inputs &amp; Assumptions'!$C$13),'Inputs &amp; Assumptions'!AH$51/4*INDEX('Inputs &amp; Assumptions'!$E$70:$E$98,'Inputs &amp; Assumptions'!$D$109+30),0)</f>
        <v>0</v>
      </c>
      <c r="AI43" s="39" t="n">
        <f aca="false">IF(AND(('Inputs &amp; Assumptions'!$D$109+31)&gt;=1,('Inputs &amp; Assumptions'!$D$109+31)&lt;='Inputs &amp; Assumptions'!$C$13),'Inputs &amp; Assumptions'!AI$51/4*INDEX('Inputs &amp; Assumptions'!$E$70:$E$98,'Inputs &amp; Assumptions'!$D$109+31),0)</f>
        <v>0</v>
      </c>
      <c r="AJ43" s="39" t="n">
        <f aca="false">IF(AND(('Inputs &amp; Assumptions'!$D$109+32)&gt;=1,('Inputs &amp; Assumptions'!$D$109+32)&lt;='Inputs &amp; Assumptions'!$C$13),'Inputs &amp; Assumptions'!AJ$51/4*INDEX('Inputs &amp; Assumptions'!$E$70:$E$98,'Inputs &amp; Assumptions'!$D$109+32),0)</f>
        <v>0</v>
      </c>
      <c r="AK43" s="39" t="n">
        <f aca="false">IF(AND(('Inputs &amp; Assumptions'!$D$109+33)&gt;=1,('Inputs &amp; Assumptions'!$D$109+33)&lt;='Inputs &amp; Assumptions'!$C$13),'Inputs &amp; Assumptions'!AK$51/4*INDEX('Inputs &amp; Assumptions'!$E$70:$E$98,'Inputs &amp; Assumptions'!$D$109+33),0)</f>
        <v>0</v>
      </c>
      <c r="AL43" s="39" t="n">
        <f aca="false">IF(AND(('Inputs &amp; Assumptions'!$D$109+34)&gt;=1,('Inputs &amp; Assumptions'!$D$109+34)&lt;='Inputs &amp; Assumptions'!$C$13),'Inputs &amp; Assumptions'!AL$51/4*INDEX('Inputs &amp; Assumptions'!$E$70:$E$98,'Inputs &amp; Assumptions'!$D$109+34),0)</f>
        <v>0</v>
      </c>
      <c r="AM43" s="39" t="n">
        <f aca="false">IF(AND(('Inputs &amp; Assumptions'!$D$109+35)&gt;=1,('Inputs &amp; Assumptions'!$D$109+35)&lt;='Inputs &amp; Assumptions'!$C$13),'Inputs &amp; Assumptions'!AM$51/4*INDEX('Inputs &amp; Assumptions'!$E$70:$E$98,'Inputs &amp; Assumptions'!$D$109+35),0)</f>
        <v>0</v>
      </c>
      <c r="AN43" s="39" t="n">
        <f aca="false">IF(AND(('Inputs &amp; Assumptions'!$D$109+36)&gt;=1,('Inputs &amp; Assumptions'!$D$109+36)&lt;='Inputs &amp; Assumptions'!$C$13),'Inputs &amp; Assumptions'!AN$51/4*INDEX('Inputs &amp; Assumptions'!$E$70:$E$98,'Inputs &amp; Assumptions'!$D$109+36),0)</f>
        <v>0</v>
      </c>
    </row>
    <row r="44" customFormat="false" ht="15" hidden="false" customHeight="false" outlineLevel="0" collapsed="false">
      <c r="B44" s="38" t="n">
        <f aca="false">'Inputs &amp; Assumptions'!$B$110</f>
        <v>9</v>
      </c>
      <c r="E44" s="39" t="n">
        <f aca="false">IF(AND(('Inputs &amp; Assumptions'!$D$110+1)&gt;=1,('Inputs &amp; Assumptions'!$D$110+1)&lt;='Inputs &amp; Assumptions'!$C$13),'Inputs &amp; Assumptions'!E$51/4*INDEX('Inputs &amp; Assumptions'!$E$70:$E$98,'Inputs &amp; Assumptions'!$D$110+1),0)</f>
        <v>366200</v>
      </c>
      <c r="F44" s="39" t="n">
        <f aca="false">IF(AND(('Inputs &amp; Assumptions'!$D$110+2)&gt;=1,('Inputs &amp; Assumptions'!$D$110+2)&lt;='Inputs &amp; Assumptions'!$C$13),'Inputs &amp; Assumptions'!F$51/4*INDEX('Inputs &amp; Assumptions'!$E$70:$E$98,'Inputs &amp; Assumptions'!$D$110+2),0)</f>
        <v>366200</v>
      </c>
      <c r="G44" s="39" t="n">
        <f aca="false">IF(AND(('Inputs &amp; Assumptions'!$D$110+3)&gt;=1,('Inputs &amp; Assumptions'!$D$110+3)&lt;='Inputs &amp; Assumptions'!$C$13),'Inputs &amp; Assumptions'!G$51/4*INDEX('Inputs &amp; Assumptions'!$E$70:$E$98,'Inputs &amp; Assumptions'!$D$110+3),0)</f>
        <v>355214</v>
      </c>
      <c r="H44" s="39" t="n">
        <f aca="false">IF(AND(('Inputs &amp; Assumptions'!$D$110+4)&gt;=1,('Inputs &amp; Assumptions'!$D$110+4)&lt;='Inputs &amp; Assumptions'!$C$13),'Inputs &amp; Assumptions'!H$51/4*INDEX('Inputs &amp; Assumptions'!$E$70:$E$98,'Inputs &amp; Assumptions'!$D$110+4),0)</f>
        <v>344557.58</v>
      </c>
      <c r="I44" s="39" t="n">
        <f aca="false">IF(AND(('Inputs &amp; Assumptions'!$D$110+5)&gt;=1,('Inputs &amp; Assumptions'!$D$110+5)&lt;='Inputs &amp; Assumptions'!$C$13),'Inputs &amp; Assumptions'!I$51/4*INDEX('Inputs &amp; Assumptions'!$E$70:$E$98,'Inputs &amp; Assumptions'!$D$110+5),0)</f>
        <v>334220.8526</v>
      </c>
      <c r="J44" s="39" t="n">
        <f aca="false">IF(AND(('Inputs &amp; Assumptions'!$D$110+6)&gt;=1,('Inputs &amp; Assumptions'!$D$110+6)&lt;='Inputs &amp; Assumptions'!$C$13),'Inputs &amp; Assumptions'!J$51/4*INDEX('Inputs &amp; Assumptions'!$E$70:$E$98,'Inputs &amp; Assumptions'!$D$110+6),0)</f>
        <v>324194.227022</v>
      </c>
      <c r="K44" s="39" t="n">
        <f aca="false">IF(AND(('Inputs &amp; Assumptions'!$D$110+7)&gt;=1,('Inputs &amp; Assumptions'!$D$110+7)&lt;='Inputs &amp; Assumptions'!$C$13),'Inputs &amp; Assumptions'!K$51/4*INDEX('Inputs &amp; Assumptions'!$E$70:$E$98,'Inputs &amp; Assumptions'!$D$110+7),0)</f>
        <v>314468.40021134</v>
      </c>
      <c r="L44" s="39" t="n">
        <f aca="false">IF(AND(('Inputs &amp; Assumptions'!$D$110+8)&gt;=1,('Inputs &amp; Assumptions'!$D$110+8)&lt;='Inputs &amp; Assumptions'!$C$13),'Inputs &amp; Assumptions'!L$51/4*INDEX('Inputs &amp; Assumptions'!$E$70:$E$98,'Inputs &amp; Assumptions'!$D$110+8),0)</f>
        <v>305034.348205</v>
      </c>
      <c r="M44" s="39" t="n">
        <f aca="false">IF(AND(('Inputs &amp; Assumptions'!$D$110+9)&gt;=1,('Inputs &amp; Assumptions'!$D$110+9)&lt;='Inputs &amp; Assumptions'!$C$13),'Inputs &amp; Assumptions'!M$51/4*INDEX('Inputs &amp; Assumptions'!$E$70:$E$98,'Inputs &amp; Assumptions'!$D$110+9),0)</f>
        <v>295883.31775885</v>
      </c>
      <c r="N44" s="39" t="n">
        <f aca="false">IF(AND(('Inputs &amp; Assumptions'!$D$110+10)&gt;=1,('Inputs &amp; Assumptions'!$D$110+10)&lt;='Inputs &amp; Assumptions'!$C$13),'Inputs &amp; Assumptions'!N$51/4*INDEX('Inputs &amp; Assumptions'!$E$70:$E$98,'Inputs &amp; Assumptions'!$D$110+10),0)</f>
        <v>287006.818226084</v>
      </c>
      <c r="O44" s="39" t="n">
        <f aca="false">IF(AND(('Inputs &amp; Assumptions'!$D$110+11)&gt;=1,('Inputs &amp; Assumptions'!$D$110+11)&lt;='Inputs &amp; Assumptions'!$C$13),'Inputs &amp; Assumptions'!O$51/4*INDEX('Inputs &amp; Assumptions'!$E$70:$E$98,'Inputs &amp; Assumptions'!$D$110+11),0)</f>
        <v>278396.613679302</v>
      </c>
      <c r="P44" s="39" t="n">
        <f aca="false">IF(AND(('Inputs &amp; Assumptions'!$D$110+12)&gt;=1,('Inputs &amp; Assumptions'!$D$110+12)&lt;='Inputs &amp; Assumptions'!$C$13),'Inputs &amp; Assumptions'!P$51/4*INDEX('Inputs &amp; Assumptions'!$E$70:$E$98,'Inputs &amp; Assumptions'!$D$110+12),0)</f>
        <v>270044.715268923</v>
      </c>
      <c r="Q44" s="39" t="n">
        <f aca="false">IF(AND(('Inputs &amp; Assumptions'!$D$110+13)&gt;=1,('Inputs &amp; Assumptions'!$D$110+13)&lt;='Inputs &amp; Assumptions'!$C$13),'Inputs &amp; Assumptions'!Q$51/4*INDEX('Inputs &amp; Assumptions'!$E$70:$E$98,'Inputs &amp; Assumptions'!$D$110+13),0)</f>
        <v>261943.373810855</v>
      </c>
      <c r="R44" s="39" t="n">
        <f aca="false">IF(AND(('Inputs &amp; Assumptions'!$D$110+14)&gt;=1,('Inputs &amp; Assumptions'!$D$110+14)&lt;='Inputs &amp; Assumptions'!$C$13),'Inputs &amp; Assumptions'!R$51/4*INDEX('Inputs &amp; Assumptions'!$E$70:$E$98,'Inputs &amp; Assumptions'!$D$110+14),0)</f>
        <v>254085.072596529</v>
      </c>
      <c r="S44" s="39" t="n">
        <f aca="false">IF(AND(('Inputs &amp; Assumptions'!$D$110+15)&gt;=1,('Inputs &amp; Assumptions'!$D$110+15)&lt;='Inputs &amp; Assumptions'!$C$13),'Inputs &amp; Assumptions'!S$51/4*INDEX('Inputs &amp; Assumptions'!$E$70:$E$98,'Inputs &amp; Assumptions'!$D$110+15),0)</f>
        <v>246462.520418634</v>
      </c>
      <c r="T44" s="39" t="n">
        <f aca="false">IF(AND(('Inputs &amp; Assumptions'!$D$110+16)&gt;=1,('Inputs &amp; Assumptions'!$D$110+16)&lt;='Inputs &amp; Assumptions'!$C$13),'Inputs &amp; Assumptions'!T$51/4*INDEX('Inputs &amp; Assumptions'!$E$70:$E$98,'Inputs &amp; Assumptions'!$D$110+16),0)</f>
        <v>239068.644806075</v>
      </c>
      <c r="U44" s="39" t="n">
        <f aca="false">IF(AND(('Inputs &amp; Assumptions'!$D$110+17)&gt;=1,('Inputs &amp; Assumptions'!$D$110+17)&lt;='Inputs &amp; Assumptions'!$C$13),'Inputs &amp; Assumptions'!U$51/4*INDEX('Inputs &amp; Assumptions'!$E$70:$E$98,'Inputs &amp; Assumptions'!$D$110+17),0)</f>
        <v>231896.585461892</v>
      </c>
      <c r="V44" s="39" t="n">
        <f aca="false">IF(AND(('Inputs &amp; Assumptions'!$D$110+18)&gt;=1,('Inputs &amp; Assumptions'!$D$110+18)&lt;='Inputs &amp; Assumptions'!$C$13),'Inputs &amp; Assumptions'!V$51/4*INDEX('Inputs &amp; Assumptions'!$E$70:$E$98,'Inputs &amp; Assumptions'!$D$110+18),0)</f>
        <v>224939.687898036</v>
      </c>
      <c r="W44" s="39" t="n">
        <f aca="false">IF(AND(('Inputs &amp; Assumptions'!$D$110+19)&gt;=1,('Inputs &amp; Assumptions'!$D$110+19)&lt;='Inputs &amp; Assumptions'!$C$13),'Inputs &amp; Assumptions'!W$51/4*INDEX('Inputs &amp; Assumptions'!$E$70:$E$98,'Inputs &amp; Assumptions'!$D$110+19),0)</f>
        <v>218191.497261094</v>
      </c>
      <c r="X44" s="39" t="n">
        <f aca="false">IF(AND(('Inputs &amp; Assumptions'!$D$110+20)&gt;=1,('Inputs &amp; Assumptions'!$D$110+20)&lt;='Inputs &amp; Assumptions'!$C$13),'Inputs &amp; Assumptions'!X$51/4*INDEX('Inputs &amp; Assumptions'!$E$70:$E$98,'Inputs &amp; Assumptions'!$D$110+20),0)</f>
        <v>211645.752343262</v>
      </c>
      <c r="Y44" s="39" t="n">
        <f aca="false">IF(AND(('Inputs &amp; Assumptions'!$D$110+21)&gt;=1,('Inputs &amp; Assumptions'!$D$110+21)&lt;='Inputs &amp; Assumptions'!$C$13),'Inputs &amp; Assumptions'!Y$51/4*INDEX('Inputs &amp; Assumptions'!$E$70:$E$98,'Inputs &amp; Assumptions'!$D$110+21),0)</f>
        <v>205296.379772964</v>
      </c>
      <c r="Z44" s="39" t="n">
        <f aca="false">IF(AND(('Inputs &amp; Assumptions'!$D$110+22)&gt;=1,('Inputs &amp; Assumptions'!$D$110+22)&lt;='Inputs &amp; Assumptions'!$C$13),'Inputs &amp; Assumptions'!Z$51/4*INDEX('Inputs &amp; Assumptions'!$E$70:$E$98,'Inputs &amp; Assumptions'!$D$110+22),0)</f>
        <v>199137.488379775</v>
      </c>
      <c r="AA44" s="39" t="n">
        <f aca="false">IF(AND(('Inputs &amp; Assumptions'!$D$110+23)&gt;=1,('Inputs &amp; Assumptions'!$D$110+23)&lt;='Inputs &amp; Assumptions'!$C$13),'Inputs &amp; Assumptions'!AA$51/4*INDEX('Inputs &amp; Assumptions'!$E$70:$E$98,'Inputs &amp; Assumptions'!$D$110+23),0)</f>
        <v>193163.363728382</v>
      </c>
      <c r="AB44" s="39" t="n">
        <f aca="false">IF(AND(('Inputs &amp; Assumptions'!$D$110+24)&gt;=1,('Inputs &amp; Assumptions'!$D$110+24)&lt;='Inputs &amp; Assumptions'!$C$13),'Inputs &amp; Assumptions'!AB$51/4*INDEX('Inputs &amp; Assumptions'!$E$70:$E$98,'Inputs &amp; Assumptions'!$D$110+24),0)</f>
        <v>187368.46281653</v>
      </c>
      <c r="AC44" s="39" t="n">
        <f aca="false">IF(AND(('Inputs &amp; Assumptions'!$D$110+25)&gt;=1,('Inputs &amp; Assumptions'!$D$110+25)&lt;='Inputs &amp; Assumptions'!$C$13),'Inputs &amp; Assumptions'!AC$51/4*INDEX('Inputs &amp; Assumptions'!$E$70:$E$98,'Inputs &amp; Assumptions'!$D$110+25),0)</f>
        <v>181747.408932034</v>
      </c>
      <c r="AD44" s="39" t="n">
        <f aca="false">IF(AND(('Inputs &amp; Assumptions'!$D$110+26)&gt;=1,('Inputs &amp; Assumptions'!$D$110+26)&lt;='Inputs &amp; Assumptions'!$C$13),'Inputs &amp; Assumptions'!AD$51/4*INDEX('Inputs &amp; Assumptions'!$E$70:$E$98,'Inputs &amp; Assumptions'!$D$110+26),0)</f>
        <v>0</v>
      </c>
      <c r="AE44" s="39" t="n">
        <f aca="false">IF(AND(('Inputs &amp; Assumptions'!$D$110+27)&gt;=1,('Inputs &amp; Assumptions'!$D$110+27)&lt;='Inputs &amp; Assumptions'!$C$13),'Inputs &amp; Assumptions'!AE$51/4*INDEX('Inputs &amp; Assumptions'!$E$70:$E$98,'Inputs &amp; Assumptions'!$D$110+27),0)</f>
        <v>0</v>
      </c>
      <c r="AF44" s="39" t="n">
        <f aca="false">IF(AND(('Inputs &amp; Assumptions'!$D$110+28)&gt;=1,('Inputs &amp; Assumptions'!$D$110+28)&lt;='Inputs &amp; Assumptions'!$C$13),'Inputs &amp; Assumptions'!AF$51/4*INDEX('Inputs &amp; Assumptions'!$E$70:$E$98,'Inputs &amp; Assumptions'!$D$110+28),0)</f>
        <v>0</v>
      </c>
      <c r="AG44" s="39" t="n">
        <f aca="false">IF(AND(('Inputs &amp; Assumptions'!$D$110+29)&gt;=1,('Inputs &amp; Assumptions'!$D$110+29)&lt;='Inputs &amp; Assumptions'!$C$13),'Inputs &amp; Assumptions'!AG$51/4*INDEX('Inputs &amp; Assumptions'!$E$70:$E$98,'Inputs &amp; Assumptions'!$D$110+29),0)</f>
        <v>0</v>
      </c>
      <c r="AH44" s="39" t="n">
        <f aca="false">IF(AND(('Inputs &amp; Assumptions'!$D$110+30)&gt;=1,('Inputs &amp; Assumptions'!$D$110+30)&lt;='Inputs &amp; Assumptions'!$C$13),'Inputs &amp; Assumptions'!AH$51/4*INDEX('Inputs &amp; Assumptions'!$E$70:$E$98,'Inputs &amp; Assumptions'!$D$110+30),0)</f>
        <v>0</v>
      </c>
      <c r="AI44" s="39" t="n">
        <f aca="false">IF(AND(('Inputs &amp; Assumptions'!$D$110+31)&gt;=1,('Inputs &amp; Assumptions'!$D$110+31)&lt;='Inputs &amp; Assumptions'!$C$13),'Inputs &amp; Assumptions'!AI$51/4*INDEX('Inputs &amp; Assumptions'!$E$70:$E$98,'Inputs &amp; Assumptions'!$D$110+31),0)</f>
        <v>0</v>
      </c>
      <c r="AJ44" s="39" t="n">
        <f aca="false">IF(AND(('Inputs &amp; Assumptions'!$D$110+32)&gt;=1,('Inputs &amp; Assumptions'!$D$110+32)&lt;='Inputs &amp; Assumptions'!$C$13),'Inputs &amp; Assumptions'!AJ$51/4*INDEX('Inputs &amp; Assumptions'!$E$70:$E$98,'Inputs &amp; Assumptions'!$D$110+32),0)</f>
        <v>0</v>
      </c>
      <c r="AK44" s="39" t="n">
        <f aca="false">IF(AND(('Inputs &amp; Assumptions'!$D$110+33)&gt;=1,('Inputs &amp; Assumptions'!$D$110+33)&lt;='Inputs &amp; Assumptions'!$C$13),'Inputs &amp; Assumptions'!AK$51/4*INDEX('Inputs &amp; Assumptions'!$E$70:$E$98,'Inputs &amp; Assumptions'!$D$110+33),0)</f>
        <v>0</v>
      </c>
      <c r="AL44" s="39" t="n">
        <f aca="false">IF(AND(('Inputs &amp; Assumptions'!$D$110+34)&gt;=1,('Inputs &amp; Assumptions'!$D$110+34)&lt;='Inputs &amp; Assumptions'!$C$13),'Inputs &amp; Assumptions'!AL$51/4*INDEX('Inputs &amp; Assumptions'!$E$70:$E$98,'Inputs &amp; Assumptions'!$D$110+34),0)</f>
        <v>0</v>
      </c>
      <c r="AM44" s="39" t="n">
        <f aca="false">IF(AND(('Inputs &amp; Assumptions'!$D$110+35)&gt;=1,('Inputs &amp; Assumptions'!$D$110+35)&lt;='Inputs &amp; Assumptions'!$C$13),'Inputs &amp; Assumptions'!AM$51/4*INDEX('Inputs &amp; Assumptions'!$E$70:$E$98,'Inputs &amp; Assumptions'!$D$110+35),0)</f>
        <v>0</v>
      </c>
      <c r="AN44" s="39" t="n">
        <f aca="false">IF(AND(('Inputs &amp; Assumptions'!$D$110+36)&gt;=1,('Inputs &amp; Assumptions'!$D$110+36)&lt;='Inputs &amp; Assumptions'!$C$13),'Inputs &amp; Assumptions'!AN$51/4*INDEX('Inputs &amp; Assumptions'!$E$70:$E$98,'Inputs &amp; Assumptions'!$D$110+36),0)</f>
        <v>0</v>
      </c>
    </row>
    <row r="45" customFormat="false" ht="15" hidden="false" customHeight="false" outlineLevel="0" collapsed="false">
      <c r="B45" s="38" t="n">
        <f aca="false">'Inputs &amp; Assumptions'!$B$111</f>
        <v>10</v>
      </c>
      <c r="E45" s="39" t="n">
        <f aca="false">IF(AND(('Inputs &amp; Assumptions'!$D$111+1)&gt;=1,('Inputs &amp; Assumptions'!$D$111+1)&lt;='Inputs &amp; Assumptions'!$C$13),'Inputs &amp; Assumptions'!E$51/4*INDEX('Inputs &amp; Assumptions'!$E$70:$E$98,'Inputs &amp; Assumptions'!$D$111+1),0)</f>
        <v>366200</v>
      </c>
      <c r="F45" s="39" t="n">
        <f aca="false">IF(AND(('Inputs &amp; Assumptions'!$D$111+2)&gt;=1,('Inputs &amp; Assumptions'!$D$111+2)&lt;='Inputs &amp; Assumptions'!$C$13),'Inputs &amp; Assumptions'!F$51/4*INDEX('Inputs &amp; Assumptions'!$E$70:$E$98,'Inputs &amp; Assumptions'!$D$111+2),0)</f>
        <v>366200</v>
      </c>
      <c r="G45" s="39" t="n">
        <f aca="false">IF(AND(('Inputs &amp; Assumptions'!$D$111+3)&gt;=1,('Inputs &amp; Assumptions'!$D$111+3)&lt;='Inputs &amp; Assumptions'!$C$13),'Inputs &amp; Assumptions'!G$51/4*INDEX('Inputs &amp; Assumptions'!$E$70:$E$98,'Inputs &amp; Assumptions'!$D$111+3),0)</f>
        <v>355214</v>
      </c>
      <c r="H45" s="39" t="n">
        <f aca="false">IF(AND(('Inputs &amp; Assumptions'!$D$111+4)&gt;=1,('Inputs &amp; Assumptions'!$D$111+4)&lt;='Inputs &amp; Assumptions'!$C$13),'Inputs &amp; Assumptions'!H$51/4*INDEX('Inputs &amp; Assumptions'!$E$70:$E$98,'Inputs &amp; Assumptions'!$D$111+4),0)</f>
        <v>344557.58</v>
      </c>
      <c r="I45" s="39" t="n">
        <f aca="false">IF(AND(('Inputs &amp; Assumptions'!$D$111+5)&gt;=1,('Inputs &amp; Assumptions'!$D$111+5)&lt;='Inputs &amp; Assumptions'!$C$13),'Inputs &amp; Assumptions'!I$51/4*INDEX('Inputs &amp; Assumptions'!$E$70:$E$98,'Inputs &amp; Assumptions'!$D$111+5),0)</f>
        <v>334220.8526</v>
      </c>
      <c r="J45" s="39" t="n">
        <f aca="false">IF(AND(('Inputs &amp; Assumptions'!$D$111+6)&gt;=1,('Inputs &amp; Assumptions'!$D$111+6)&lt;='Inputs &amp; Assumptions'!$C$13),'Inputs &amp; Assumptions'!J$51/4*INDEX('Inputs &amp; Assumptions'!$E$70:$E$98,'Inputs &amp; Assumptions'!$D$111+6),0)</f>
        <v>324194.227022</v>
      </c>
      <c r="K45" s="39" t="n">
        <f aca="false">IF(AND(('Inputs &amp; Assumptions'!$D$111+7)&gt;=1,('Inputs &amp; Assumptions'!$D$111+7)&lt;='Inputs &amp; Assumptions'!$C$13),'Inputs &amp; Assumptions'!K$51/4*INDEX('Inputs &amp; Assumptions'!$E$70:$E$98,'Inputs &amp; Assumptions'!$D$111+7),0)</f>
        <v>314468.40021134</v>
      </c>
      <c r="L45" s="39" t="n">
        <f aca="false">IF(AND(('Inputs &amp; Assumptions'!$D$111+8)&gt;=1,('Inputs &amp; Assumptions'!$D$111+8)&lt;='Inputs &amp; Assumptions'!$C$13),'Inputs &amp; Assumptions'!L$51/4*INDEX('Inputs &amp; Assumptions'!$E$70:$E$98,'Inputs &amp; Assumptions'!$D$111+8),0)</f>
        <v>305034.348205</v>
      </c>
      <c r="M45" s="39" t="n">
        <f aca="false">IF(AND(('Inputs &amp; Assumptions'!$D$111+9)&gt;=1,('Inputs &amp; Assumptions'!$D$111+9)&lt;='Inputs &amp; Assumptions'!$C$13),'Inputs &amp; Assumptions'!M$51/4*INDEX('Inputs &amp; Assumptions'!$E$70:$E$98,'Inputs &amp; Assumptions'!$D$111+9),0)</f>
        <v>295883.31775885</v>
      </c>
      <c r="N45" s="39" t="n">
        <f aca="false">IF(AND(('Inputs &amp; Assumptions'!$D$111+10)&gt;=1,('Inputs &amp; Assumptions'!$D$111+10)&lt;='Inputs &amp; Assumptions'!$C$13),'Inputs &amp; Assumptions'!N$51/4*INDEX('Inputs &amp; Assumptions'!$E$70:$E$98,'Inputs &amp; Assumptions'!$D$111+10),0)</f>
        <v>287006.818226084</v>
      </c>
      <c r="O45" s="39" t="n">
        <f aca="false">IF(AND(('Inputs &amp; Assumptions'!$D$111+11)&gt;=1,('Inputs &amp; Assumptions'!$D$111+11)&lt;='Inputs &amp; Assumptions'!$C$13),'Inputs &amp; Assumptions'!O$51/4*INDEX('Inputs &amp; Assumptions'!$E$70:$E$98,'Inputs &amp; Assumptions'!$D$111+11),0)</f>
        <v>278396.613679302</v>
      </c>
      <c r="P45" s="39" t="n">
        <f aca="false">IF(AND(('Inputs &amp; Assumptions'!$D$111+12)&gt;=1,('Inputs &amp; Assumptions'!$D$111+12)&lt;='Inputs &amp; Assumptions'!$C$13),'Inputs &amp; Assumptions'!P$51/4*INDEX('Inputs &amp; Assumptions'!$E$70:$E$98,'Inputs &amp; Assumptions'!$D$111+12),0)</f>
        <v>270044.715268923</v>
      </c>
      <c r="Q45" s="39" t="n">
        <f aca="false">IF(AND(('Inputs &amp; Assumptions'!$D$111+13)&gt;=1,('Inputs &amp; Assumptions'!$D$111+13)&lt;='Inputs &amp; Assumptions'!$C$13),'Inputs &amp; Assumptions'!Q$51/4*INDEX('Inputs &amp; Assumptions'!$E$70:$E$98,'Inputs &amp; Assumptions'!$D$111+13),0)</f>
        <v>261943.373810855</v>
      </c>
      <c r="R45" s="39" t="n">
        <f aca="false">IF(AND(('Inputs &amp; Assumptions'!$D$111+14)&gt;=1,('Inputs &amp; Assumptions'!$D$111+14)&lt;='Inputs &amp; Assumptions'!$C$13),'Inputs &amp; Assumptions'!R$51/4*INDEX('Inputs &amp; Assumptions'!$E$70:$E$98,'Inputs &amp; Assumptions'!$D$111+14),0)</f>
        <v>254085.072596529</v>
      </c>
      <c r="S45" s="39" t="n">
        <f aca="false">IF(AND(('Inputs &amp; Assumptions'!$D$111+15)&gt;=1,('Inputs &amp; Assumptions'!$D$111+15)&lt;='Inputs &amp; Assumptions'!$C$13),'Inputs &amp; Assumptions'!S$51/4*INDEX('Inputs &amp; Assumptions'!$E$70:$E$98,'Inputs &amp; Assumptions'!$D$111+15),0)</f>
        <v>246462.520418634</v>
      </c>
      <c r="T45" s="39" t="n">
        <f aca="false">IF(AND(('Inputs &amp; Assumptions'!$D$111+16)&gt;=1,('Inputs &amp; Assumptions'!$D$111+16)&lt;='Inputs &amp; Assumptions'!$C$13),'Inputs &amp; Assumptions'!T$51/4*INDEX('Inputs &amp; Assumptions'!$E$70:$E$98,'Inputs &amp; Assumptions'!$D$111+16),0)</f>
        <v>239068.644806075</v>
      </c>
      <c r="U45" s="39" t="n">
        <f aca="false">IF(AND(('Inputs &amp; Assumptions'!$D$111+17)&gt;=1,('Inputs &amp; Assumptions'!$D$111+17)&lt;='Inputs &amp; Assumptions'!$C$13),'Inputs &amp; Assumptions'!U$51/4*INDEX('Inputs &amp; Assumptions'!$E$70:$E$98,'Inputs &amp; Assumptions'!$D$111+17),0)</f>
        <v>231896.585461892</v>
      </c>
      <c r="V45" s="39" t="n">
        <f aca="false">IF(AND(('Inputs &amp; Assumptions'!$D$111+18)&gt;=1,('Inputs &amp; Assumptions'!$D$111+18)&lt;='Inputs &amp; Assumptions'!$C$13),'Inputs &amp; Assumptions'!V$51/4*INDEX('Inputs &amp; Assumptions'!$E$70:$E$98,'Inputs &amp; Assumptions'!$D$111+18),0)</f>
        <v>224939.687898036</v>
      </c>
      <c r="W45" s="39" t="n">
        <f aca="false">IF(AND(('Inputs &amp; Assumptions'!$D$111+19)&gt;=1,('Inputs &amp; Assumptions'!$D$111+19)&lt;='Inputs &amp; Assumptions'!$C$13),'Inputs &amp; Assumptions'!W$51/4*INDEX('Inputs &amp; Assumptions'!$E$70:$E$98,'Inputs &amp; Assumptions'!$D$111+19),0)</f>
        <v>218191.497261094</v>
      </c>
      <c r="X45" s="39" t="n">
        <f aca="false">IF(AND(('Inputs &amp; Assumptions'!$D$111+20)&gt;=1,('Inputs &amp; Assumptions'!$D$111+20)&lt;='Inputs &amp; Assumptions'!$C$13),'Inputs &amp; Assumptions'!X$51/4*INDEX('Inputs &amp; Assumptions'!$E$70:$E$98,'Inputs &amp; Assumptions'!$D$111+20),0)</f>
        <v>211645.752343262</v>
      </c>
      <c r="Y45" s="39" t="n">
        <f aca="false">IF(AND(('Inputs &amp; Assumptions'!$D$111+21)&gt;=1,('Inputs &amp; Assumptions'!$D$111+21)&lt;='Inputs &amp; Assumptions'!$C$13),'Inputs &amp; Assumptions'!Y$51/4*INDEX('Inputs &amp; Assumptions'!$E$70:$E$98,'Inputs &amp; Assumptions'!$D$111+21),0)</f>
        <v>205296.379772964</v>
      </c>
      <c r="Z45" s="39" t="n">
        <f aca="false">IF(AND(('Inputs &amp; Assumptions'!$D$111+22)&gt;=1,('Inputs &amp; Assumptions'!$D$111+22)&lt;='Inputs &amp; Assumptions'!$C$13),'Inputs &amp; Assumptions'!Z$51/4*INDEX('Inputs &amp; Assumptions'!$E$70:$E$98,'Inputs &amp; Assumptions'!$D$111+22),0)</f>
        <v>199137.488379775</v>
      </c>
      <c r="AA45" s="39" t="n">
        <f aca="false">IF(AND(('Inputs &amp; Assumptions'!$D$111+23)&gt;=1,('Inputs &amp; Assumptions'!$D$111+23)&lt;='Inputs &amp; Assumptions'!$C$13),'Inputs &amp; Assumptions'!AA$51/4*INDEX('Inputs &amp; Assumptions'!$E$70:$E$98,'Inputs &amp; Assumptions'!$D$111+23),0)</f>
        <v>193163.363728382</v>
      </c>
      <c r="AB45" s="39" t="n">
        <f aca="false">IF(AND(('Inputs &amp; Assumptions'!$D$111+24)&gt;=1,('Inputs &amp; Assumptions'!$D$111+24)&lt;='Inputs &amp; Assumptions'!$C$13),'Inputs &amp; Assumptions'!AB$51/4*INDEX('Inputs &amp; Assumptions'!$E$70:$E$98,'Inputs &amp; Assumptions'!$D$111+24),0)</f>
        <v>187368.46281653</v>
      </c>
      <c r="AC45" s="39" t="n">
        <f aca="false">IF(AND(('Inputs &amp; Assumptions'!$D$111+25)&gt;=1,('Inputs &amp; Assumptions'!$D$111+25)&lt;='Inputs &amp; Assumptions'!$C$13),'Inputs &amp; Assumptions'!AC$51/4*INDEX('Inputs &amp; Assumptions'!$E$70:$E$98,'Inputs &amp; Assumptions'!$D$111+25),0)</f>
        <v>181747.408932034</v>
      </c>
      <c r="AD45" s="39" t="n">
        <f aca="false">IF(AND(('Inputs &amp; Assumptions'!$D$111+26)&gt;=1,('Inputs &amp; Assumptions'!$D$111+26)&lt;='Inputs &amp; Assumptions'!$C$13),'Inputs &amp; Assumptions'!AD$51/4*INDEX('Inputs &amp; Assumptions'!$E$70:$E$98,'Inputs &amp; Assumptions'!$D$111+26),0)</f>
        <v>0</v>
      </c>
      <c r="AE45" s="39" t="n">
        <f aca="false">IF(AND(('Inputs &amp; Assumptions'!$D$111+27)&gt;=1,('Inputs &amp; Assumptions'!$D$111+27)&lt;='Inputs &amp; Assumptions'!$C$13),'Inputs &amp; Assumptions'!AE$51/4*INDEX('Inputs &amp; Assumptions'!$E$70:$E$98,'Inputs &amp; Assumptions'!$D$111+27),0)</f>
        <v>0</v>
      </c>
      <c r="AF45" s="39" t="n">
        <f aca="false">IF(AND(('Inputs &amp; Assumptions'!$D$111+28)&gt;=1,('Inputs &amp; Assumptions'!$D$111+28)&lt;='Inputs &amp; Assumptions'!$C$13),'Inputs &amp; Assumptions'!AF$51/4*INDEX('Inputs &amp; Assumptions'!$E$70:$E$98,'Inputs &amp; Assumptions'!$D$111+28),0)</f>
        <v>0</v>
      </c>
      <c r="AG45" s="39" t="n">
        <f aca="false">IF(AND(('Inputs &amp; Assumptions'!$D$111+29)&gt;=1,('Inputs &amp; Assumptions'!$D$111+29)&lt;='Inputs &amp; Assumptions'!$C$13),'Inputs &amp; Assumptions'!AG$51/4*INDEX('Inputs &amp; Assumptions'!$E$70:$E$98,'Inputs &amp; Assumptions'!$D$111+29),0)</f>
        <v>0</v>
      </c>
      <c r="AH45" s="39" t="n">
        <f aca="false">IF(AND(('Inputs &amp; Assumptions'!$D$111+30)&gt;=1,('Inputs &amp; Assumptions'!$D$111+30)&lt;='Inputs &amp; Assumptions'!$C$13),'Inputs &amp; Assumptions'!AH$51/4*INDEX('Inputs &amp; Assumptions'!$E$70:$E$98,'Inputs &amp; Assumptions'!$D$111+30),0)</f>
        <v>0</v>
      </c>
      <c r="AI45" s="39" t="n">
        <f aca="false">IF(AND(('Inputs &amp; Assumptions'!$D$111+31)&gt;=1,('Inputs &amp; Assumptions'!$D$111+31)&lt;='Inputs &amp; Assumptions'!$C$13),'Inputs &amp; Assumptions'!AI$51/4*INDEX('Inputs &amp; Assumptions'!$E$70:$E$98,'Inputs &amp; Assumptions'!$D$111+31),0)</f>
        <v>0</v>
      </c>
      <c r="AJ45" s="39" t="n">
        <f aca="false">IF(AND(('Inputs &amp; Assumptions'!$D$111+32)&gt;=1,('Inputs &amp; Assumptions'!$D$111+32)&lt;='Inputs &amp; Assumptions'!$C$13),'Inputs &amp; Assumptions'!AJ$51/4*INDEX('Inputs &amp; Assumptions'!$E$70:$E$98,'Inputs &amp; Assumptions'!$D$111+32),0)</f>
        <v>0</v>
      </c>
      <c r="AK45" s="39" t="n">
        <f aca="false">IF(AND(('Inputs &amp; Assumptions'!$D$111+33)&gt;=1,('Inputs &amp; Assumptions'!$D$111+33)&lt;='Inputs &amp; Assumptions'!$C$13),'Inputs &amp; Assumptions'!AK$51/4*INDEX('Inputs &amp; Assumptions'!$E$70:$E$98,'Inputs &amp; Assumptions'!$D$111+33),0)</f>
        <v>0</v>
      </c>
      <c r="AL45" s="39" t="n">
        <f aca="false">IF(AND(('Inputs &amp; Assumptions'!$D$111+34)&gt;=1,('Inputs &amp; Assumptions'!$D$111+34)&lt;='Inputs &amp; Assumptions'!$C$13),'Inputs &amp; Assumptions'!AL$51/4*INDEX('Inputs &amp; Assumptions'!$E$70:$E$98,'Inputs &amp; Assumptions'!$D$111+34),0)</f>
        <v>0</v>
      </c>
      <c r="AM45" s="39" t="n">
        <f aca="false">IF(AND(('Inputs &amp; Assumptions'!$D$111+35)&gt;=1,('Inputs &amp; Assumptions'!$D$111+35)&lt;='Inputs &amp; Assumptions'!$C$13),'Inputs &amp; Assumptions'!AM$51/4*INDEX('Inputs &amp; Assumptions'!$E$70:$E$98,'Inputs &amp; Assumptions'!$D$111+35),0)</f>
        <v>0</v>
      </c>
      <c r="AN45" s="39" t="n">
        <f aca="false">IF(AND(('Inputs &amp; Assumptions'!$D$111+36)&gt;=1,('Inputs &amp; Assumptions'!$D$111+36)&lt;='Inputs &amp; Assumptions'!$C$13),'Inputs &amp; Assumptions'!AN$51/4*INDEX('Inputs &amp; Assumptions'!$E$70:$E$98,'Inputs &amp; Assumptions'!$D$111+36),0)</f>
        <v>0</v>
      </c>
    </row>
    <row r="46" customFormat="false" ht="15" hidden="false" customHeight="false" outlineLevel="0" collapsed="false">
      <c r="B46" s="38" t="n">
        <f aca="false">'Inputs &amp; Assumptions'!$B$112</f>
        <v>11</v>
      </c>
      <c r="E46" s="39" t="n">
        <f aca="false">IF(AND(('Inputs &amp; Assumptions'!$D$112+1)&gt;=1,('Inputs &amp; Assumptions'!$D$112+1)&lt;='Inputs &amp; Assumptions'!$C$13),'Inputs &amp; Assumptions'!E$51/4*INDEX('Inputs &amp; Assumptions'!$E$70:$E$98,'Inputs &amp; Assumptions'!$D$112+1),0)</f>
        <v>366200</v>
      </c>
      <c r="F46" s="39" t="n">
        <f aca="false">IF(AND(('Inputs &amp; Assumptions'!$D$112+2)&gt;=1,('Inputs &amp; Assumptions'!$D$112+2)&lt;='Inputs &amp; Assumptions'!$C$13),'Inputs &amp; Assumptions'!F$51/4*INDEX('Inputs &amp; Assumptions'!$E$70:$E$98,'Inputs &amp; Assumptions'!$D$112+2),0)</f>
        <v>355214</v>
      </c>
      <c r="G46" s="39" t="n">
        <f aca="false">IF(AND(('Inputs &amp; Assumptions'!$D$112+3)&gt;=1,('Inputs &amp; Assumptions'!$D$112+3)&lt;='Inputs &amp; Assumptions'!$C$13),'Inputs &amp; Assumptions'!G$51/4*INDEX('Inputs &amp; Assumptions'!$E$70:$E$98,'Inputs &amp; Assumptions'!$D$112+3),0)</f>
        <v>344557.58</v>
      </c>
      <c r="H46" s="39" t="n">
        <f aca="false">IF(AND(('Inputs &amp; Assumptions'!$D$112+4)&gt;=1,('Inputs &amp; Assumptions'!$D$112+4)&lt;='Inputs &amp; Assumptions'!$C$13),'Inputs &amp; Assumptions'!H$51/4*INDEX('Inputs &amp; Assumptions'!$E$70:$E$98,'Inputs &amp; Assumptions'!$D$112+4),0)</f>
        <v>334220.8526</v>
      </c>
      <c r="I46" s="39" t="n">
        <f aca="false">IF(AND(('Inputs &amp; Assumptions'!$D$112+5)&gt;=1,('Inputs &amp; Assumptions'!$D$112+5)&lt;='Inputs &amp; Assumptions'!$C$13),'Inputs &amp; Assumptions'!I$51/4*INDEX('Inputs &amp; Assumptions'!$E$70:$E$98,'Inputs &amp; Assumptions'!$D$112+5),0)</f>
        <v>324194.227022</v>
      </c>
      <c r="J46" s="39" t="n">
        <f aca="false">IF(AND(('Inputs &amp; Assumptions'!$D$112+6)&gt;=1,('Inputs &amp; Assumptions'!$D$112+6)&lt;='Inputs &amp; Assumptions'!$C$13),'Inputs &amp; Assumptions'!J$51/4*INDEX('Inputs &amp; Assumptions'!$E$70:$E$98,'Inputs &amp; Assumptions'!$D$112+6),0)</f>
        <v>314468.40021134</v>
      </c>
      <c r="K46" s="39" t="n">
        <f aca="false">IF(AND(('Inputs &amp; Assumptions'!$D$112+7)&gt;=1,('Inputs &amp; Assumptions'!$D$112+7)&lt;='Inputs &amp; Assumptions'!$C$13),'Inputs &amp; Assumptions'!K$51/4*INDEX('Inputs &amp; Assumptions'!$E$70:$E$98,'Inputs &amp; Assumptions'!$D$112+7),0)</f>
        <v>305034.348205</v>
      </c>
      <c r="L46" s="39" t="n">
        <f aca="false">IF(AND(('Inputs &amp; Assumptions'!$D$112+8)&gt;=1,('Inputs &amp; Assumptions'!$D$112+8)&lt;='Inputs &amp; Assumptions'!$C$13),'Inputs &amp; Assumptions'!L$51/4*INDEX('Inputs &amp; Assumptions'!$E$70:$E$98,'Inputs &amp; Assumptions'!$D$112+8),0)</f>
        <v>295883.31775885</v>
      </c>
      <c r="M46" s="39" t="n">
        <f aca="false">IF(AND(('Inputs &amp; Assumptions'!$D$112+9)&gt;=1,('Inputs &amp; Assumptions'!$D$112+9)&lt;='Inputs &amp; Assumptions'!$C$13),'Inputs &amp; Assumptions'!M$51/4*INDEX('Inputs &amp; Assumptions'!$E$70:$E$98,'Inputs &amp; Assumptions'!$D$112+9),0)</f>
        <v>287006.818226084</v>
      </c>
      <c r="N46" s="39" t="n">
        <f aca="false">IF(AND(('Inputs &amp; Assumptions'!$D$112+10)&gt;=1,('Inputs &amp; Assumptions'!$D$112+10)&lt;='Inputs &amp; Assumptions'!$C$13),'Inputs &amp; Assumptions'!N$51/4*INDEX('Inputs &amp; Assumptions'!$E$70:$E$98,'Inputs &amp; Assumptions'!$D$112+10),0)</f>
        <v>278396.613679302</v>
      </c>
      <c r="O46" s="39" t="n">
        <f aca="false">IF(AND(('Inputs &amp; Assumptions'!$D$112+11)&gt;=1,('Inputs &amp; Assumptions'!$D$112+11)&lt;='Inputs &amp; Assumptions'!$C$13),'Inputs &amp; Assumptions'!O$51/4*INDEX('Inputs &amp; Assumptions'!$E$70:$E$98,'Inputs &amp; Assumptions'!$D$112+11),0)</f>
        <v>270044.715268923</v>
      </c>
      <c r="P46" s="39" t="n">
        <f aca="false">IF(AND(('Inputs &amp; Assumptions'!$D$112+12)&gt;=1,('Inputs &amp; Assumptions'!$D$112+12)&lt;='Inputs &amp; Assumptions'!$C$13),'Inputs &amp; Assumptions'!P$51/4*INDEX('Inputs &amp; Assumptions'!$E$70:$E$98,'Inputs &amp; Assumptions'!$D$112+12),0)</f>
        <v>261943.373810855</v>
      </c>
      <c r="Q46" s="39" t="n">
        <f aca="false">IF(AND(('Inputs &amp; Assumptions'!$D$112+13)&gt;=1,('Inputs &amp; Assumptions'!$D$112+13)&lt;='Inputs &amp; Assumptions'!$C$13),'Inputs &amp; Assumptions'!Q$51/4*INDEX('Inputs &amp; Assumptions'!$E$70:$E$98,'Inputs &amp; Assumptions'!$D$112+13),0)</f>
        <v>254085.072596529</v>
      </c>
      <c r="R46" s="39" t="n">
        <f aca="false">IF(AND(('Inputs &amp; Assumptions'!$D$112+14)&gt;=1,('Inputs &amp; Assumptions'!$D$112+14)&lt;='Inputs &amp; Assumptions'!$C$13),'Inputs &amp; Assumptions'!R$51/4*INDEX('Inputs &amp; Assumptions'!$E$70:$E$98,'Inputs &amp; Assumptions'!$D$112+14),0)</f>
        <v>246462.520418634</v>
      </c>
      <c r="S46" s="39" t="n">
        <f aca="false">IF(AND(('Inputs &amp; Assumptions'!$D$112+15)&gt;=1,('Inputs &amp; Assumptions'!$D$112+15)&lt;='Inputs &amp; Assumptions'!$C$13),'Inputs &amp; Assumptions'!S$51/4*INDEX('Inputs &amp; Assumptions'!$E$70:$E$98,'Inputs &amp; Assumptions'!$D$112+15),0)</f>
        <v>239068.644806075</v>
      </c>
      <c r="T46" s="39" t="n">
        <f aca="false">IF(AND(('Inputs &amp; Assumptions'!$D$112+16)&gt;=1,('Inputs &amp; Assumptions'!$D$112+16)&lt;='Inputs &amp; Assumptions'!$C$13),'Inputs &amp; Assumptions'!T$51/4*INDEX('Inputs &amp; Assumptions'!$E$70:$E$98,'Inputs &amp; Assumptions'!$D$112+16),0)</f>
        <v>231896.585461892</v>
      </c>
      <c r="U46" s="39" t="n">
        <f aca="false">IF(AND(('Inputs &amp; Assumptions'!$D$112+17)&gt;=1,('Inputs &amp; Assumptions'!$D$112+17)&lt;='Inputs &amp; Assumptions'!$C$13),'Inputs &amp; Assumptions'!U$51/4*INDEX('Inputs &amp; Assumptions'!$E$70:$E$98,'Inputs &amp; Assumptions'!$D$112+17),0)</f>
        <v>224939.687898036</v>
      </c>
      <c r="V46" s="39" t="n">
        <f aca="false">IF(AND(('Inputs &amp; Assumptions'!$D$112+18)&gt;=1,('Inputs &amp; Assumptions'!$D$112+18)&lt;='Inputs &amp; Assumptions'!$C$13),'Inputs &amp; Assumptions'!V$51/4*INDEX('Inputs &amp; Assumptions'!$E$70:$E$98,'Inputs &amp; Assumptions'!$D$112+18),0)</f>
        <v>218191.497261094</v>
      </c>
      <c r="W46" s="39" t="n">
        <f aca="false">IF(AND(('Inputs &amp; Assumptions'!$D$112+19)&gt;=1,('Inputs &amp; Assumptions'!$D$112+19)&lt;='Inputs &amp; Assumptions'!$C$13),'Inputs &amp; Assumptions'!W$51/4*INDEX('Inputs &amp; Assumptions'!$E$70:$E$98,'Inputs &amp; Assumptions'!$D$112+19),0)</f>
        <v>211645.752343262</v>
      </c>
      <c r="X46" s="39" t="n">
        <f aca="false">IF(AND(('Inputs &amp; Assumptions'!$D$112+20)&gt;=1,('Inputs &amp; Assumptions'!$D$112+20)&lt;='Inputs &amp; Assumptions'!$C$13),'Inputs &amp; Assumptions'!X$51/4*INDEX('Inputs &amp; Assumptions'!$E$70:$E$98,'Inputs &amp; Assumptions'!$D$112+20),0)</f>
        <v>205296.379772964</v>
      </c>
      <c r="Y46" s="39" t="n">
        <f aca="false">IF(AND(('Inputs &amp; Assumptions'!$D$112+21)&gt;=1,('Inputs &amp; Assumptions'!$D$112+21)&lt;='Inputs &amp; Assumptions'!$C$13),'Inputs &amp; Assumptions'!Y$51/4*INDEX('Inputs &amp; Assumptions'!$E$70:$E$98,'Inputs &amp; Assumptions'!$D$112+21),0)</f>
        <v>199137.488379775</v>
      </c>
      <c r="Z46" s="39" t="n">
        <f aca="false">IF(AND(('Inputs &amp; Assumptions'!$D$112+22)&gt;=1,('Inputs &amp; Assumptions'!$D$112+22)&lt;='Inputs &amp; Assumptions'!$C$13),'Inputs &amp; Assumptions'!Z$51/4*INDEX('Inputs &amp; Assumptions'!$E$70:$E$98,'Inputs &amp; Assumptions'!$D$112+22),0)</f>
        <v>193163.363728382</v>
      </c>
      <c r="AA46" s="39" t="n">
        <f aca="false">IF(AND(('Inputs &amp; Assumptions'!$D$112+23)&gt;=1,('Inputs &amp; Assumptions'!$D$112+23)&lt;='Inputs &amp; Assumptions'!$C$13),'Inputs &amp; Assumptions'!AA$51/4*INDEX('Inputs &amp; Assumptions'!$E$70:$E$98,'Inputs &amp; Assumptions'!$D$112+23),0)</f>
        <v>187368.46281653</v>
      </c>
      <c r="AB46" s="39" t="n">
        <f aca="false">IF(AND(('Inputs &amp; Assumptions'!$D$112+24)&gt;=1,('Inputs &amp; Assumptions'!$D$112+24)&lt;='Inputs &amp; Assumptions'!$C$13),'Inputs &amp; Assumptions'!AB$51/4*INDEX('Inputs &amp; Assumptions'!$E$70:$E$98,'Inputs &amp; Assumptions'!$D$112+24),0)</f>
        <v>181747.408932034</v>
      </c>
      <c r="AC46" s="39" t="n">
        <f aca="false">IF(AND(('Inputs &amp; Assumptions'!$D$112+25)&gt;=1,('Inputs &amp; Assumptions'!$D$112+25)&lt;='Inputs &amp; Assumptions'!$C$13),'Inputs &amp; Assumptions'!AC$51/4*INDEX('Inputs &amp; Assumptions'!$E$70:$E$98,'Inputs &amp; Assumptions'!$D$112+25),0)</f>
        <v>0</v>
      </c>
      <c r="AD46" s="39" t="n">
        <f aca="false">IF(AND(('Inputs &amp; Assumptions'!$D$112+26)&gt;=1,('Inputs &amp; Assumptions'!$D$112+26)&lt;='Inputs &amp; Assumptions'!$C$13),'Inputs &amp; Assumptions'!AD$51/4*INDEX('Inputs &amp; Assumptions'!$E$70:$E$98,'Inputs &amp; Assumptions'!$D$112+26),0)</f>
        <v>0</v>
      </c>
      <c r="AE46" s="39" t="n">
        <f aca="false">IF(AND(('Inputs &amp; Assumptions'!$D$112+27)&gt;=1,('Inputs &amp; Assumptions'!$D$112+27)&lt;='Inputs &amp; Assumptions'!$C$13),'Inputs &amp; Assumptions'!AE$51/4*INDEX('Inputs &amp; Assumptions'!$E$70:$E$98,'Inputs &amp; Assumptions'!$D$112+27),0)</f>
        <v>0</v>
      </c>
      <c r="AF46" s="39" t="n">
        <f aca="false">IF(AND(('Inputs &amp; Assumptions'!$D$112+28)&gt;=1,('Inputs &amp; Assumptions'!$D$112+28)&lt;='Inputs &amp; Assumptions'!$C$13),'Inputs &amp; Assumptions'!AF$51/4*INDEX('Inputs &amp; Assumptions'!$E$70:$E$98,'Inputs &amp; Assumptions'!$D$112+28),0)</f>
        <v>0</v>
      </c>
      <c r="AG46" s="39" t="n">
        <f aca="false">IF(AND(('Inputs &amp; Assumptions'!$D$112+29)&gt;=1,('Inputs &amp; Assumptions'!$D$112+29)&lt;='Inputs &amp; Assumptions'!$C$13),'Inputs &amp; Assumptions'!AG$51/4*INDEX('Inputs &amp; Assumptions'!$E$70:$E$98,'Inputs &amp; Assumptions'!$D$112+29),0)</f>
        <v>0</v>
      </c>
      <c r="AH46" s="39" t="n">
        <f aca="false">IF(AND(('Inputs &amp; Assumptions'!$D$112+30)&gt;=1,('Inputs &amp; Assumptions'!$D$112+30)&lt;='Inputs &amp; Assumptions'!$C$13),'Inputs &amp; Assumptions'!AH$51/4*INDEX('Inputs &amp; Assumptions'!$E$70:$E$98,'Inputs &amp; Assumptions'!$D$112+30),0)</f>
        <v>0</v>
      </c>
      <c r="AI46" s="39" t="n">
        <f aca="false">IF(AND(('Inputs &amp; Assumptions'!$D$112+31)&gt;=1,('Inputs &amp; Assumptions'!$D$112+31)&lt;='Inputs &amp; Assumptions'!$C$13),'Inputs &amp; Assumptions'!AI$51/4*INDEX('Inputs &amp; Assumptions'!$E$70:$E$98,'Inputs &amp; Assumptions'!$D$112+31),0)</f>
        <v>0</v>
      </c>
      <c r="AJ46" s="39" t="n">
        <f aca="false">IF(AND(('Inputs &amp; Assumptions'!$D$112+32)&gt;=1,('Inputs &amp; Assumptions'!$D$112+32)&lt;='Inputs &amp; Assumptions'!$C$13),'Inputs &amp; Assumptions'!AJ$51/4*INDEX('Inputs &amp; Assumptions'!$E$70:$E$98,'Inputs &amp; Assumptions'!$D$112+32),0)</f>
        <v>0</v>
      </c>
      <c r="AK46" s="39" t="n">
        <f aca="false">IF(AND(('Inputs &amp; Assumptions'!$D$112+33)&gt;=1,('Inputs &amp; Assumptions'!$D$112+33)&lt;='Inputs &amp; Assumptions'!$C$13),'Inputs &amp; Assumptions'!AK$51/4*INDEX('Inputs &amp; Assumptions'!$E$70:$E$98,'Inputs &amp; Assumptions'!$D$112+33),0)</f>
        <v>0</v>
      </c>
      <c r="AL46" s="39" t="n">
        <f aca="false">IF(AND(('Inputs &amp; Assumptions'!$D$112+34)&gt;=1,('Inputs &amp; Assumptions'!$D$112+34)&lt;='Inputs &amp; Assumptions'!$C$13),'Inputs &amp; Assumptions'!AL$51/4*INDEX('Inputs &amp; Assumptions'!$E$70:$E$98,'Inputs &amp; Assumptions'!$D$112+34),0)</f>
        <v>0</v>
      </c>
      <c r="AM46" s="39" t="n">
        <f aca="false">IF(AND(('Inputs &amp; Assumptions'!$D$112+35)&gt;=1,('Inputs &amp; Assumptions'!$D$112+35)&lt;='Inputs &amp; Assumptions'!$C$13),'Inputs &amp; Assumptions'!AM$51/4*INDEX('Inputs &amp; Assumptions'!$E$70:$E$98,'Inputs &amp; Assumptions'!$D$112+35),0)</f>
        <v>0</v>
      </c>
      <c r="AN46" s="39" t="n">
        <f aca="false">IF(AND(('Inputs &amp; Assumptions'!$D$112+36)&gt;=1,('Inputs &amp; Assumptions'!$D$112+36)&lt;='Inputs &amp; Assumptions'!$C$13),'Inputs &amp; Assumptions'!AN$51/4*INDEX('Inputs &amp; Assumptions'!$E$70:$E$98,'Inputs &amp; Assumptions'!$D$112+36),0)</f>
        <v>0</v>
      </c>
    </row>
    <row r="47" customFormat="false" ht="15" hidden="false" customHeight="false" outlineLevel="0" collapsed="false">
      <c r="B47" s="38" t="n">
        <f aca="false">'Inputs &amp; Assumptions'!$B$113</f>
        <v>12</v>
      </c>
      <c r="E47" s="39" t="n">
        <f aca="false">IF(AND(('Inputs &amp; Assumptions'!$D$113+1)&gt;=1,('Inputs &amp; Assumptions'!$D$113+1)&lt;='Inputs &amp; Assumptions'!$C$13),'Inputs &amp; Assumptions'!E$51/4*INDEX('Inputs &amp; Assumptions'!$E$70:$E$98,'Inputs &amp; Assumptions'!$D$113+1),0)</f>
        <v>366200</v>
      </c>
      <c r="F47" s="39" t="n">
        <f aca="false">IF(AND(('Inputs &amp; Assumptions'!$D$113+2)&gt;=1,('Inputs &amp; Assumptions'!$D$113+2)&lt;='Inputs &amp; Assumptions'!$C$13),'Inputs &amp; Assumptions'!F$51/4*INDEX('Inputs &amp; Assumptions'!$E$70:$E$98,'Inputs &amp; Assumptions'!$D$113+2),0)</f>
        <v>355214</v>
      </c>
      <c r="G47" s="39" t="n">
        <f aca="false">IF(AND(('Inputs &amp; Assumptions'!$D$113+3)&gt;=1,('Inputs &amp; Assumptions'!$D$113+3)&lt;='Inputs &amp; Assumptions'!$C$13),'Inputs &amp; Assumptions'!G$51/4*INDEX('Inputs &amp; Assumptions'!$E$70:$E$98,'Inputs &amp; Assumptions'!$D$113+3),0)</f>
        <v>344557.58</v>
      </c>
      <c r="H47" s="39" t="n">
        <f aca="false">IF(AND(('Inputs &amp; Assumptions'!$D$113+4)&gt;=1,('Inputs &amp; Assumptions'!$D$113+4)&lt;='Inputs &amp; Assumptions'!$C$13),'Inputs &amp; Assumptions'!H$51/4*INDEX('Inputs &amp; Assumptions'!$E$70:$E$98,'Inputs &amp; Assumptions'!$D$113+4),0)</f>
        <v>334220.8526</v>
      </c>
      <c r="I47" s="39" t="n">
        <f aca="false">IF(AND(('Inputs &amp; Assumptions'!$D$113+5)&gt;=1,('Inputs &amp; Assumptions'!$D$113+5)&lt;='Inputs &amp; Assumptions'!$C$13),'Inputs &amp; Assumptions'!I$51/4*INDEX('Inputs &amp; Assumptions'!$E$70:$E$98,'Inputs &amp; Assumptions'!$D$113+5),0)</f>
        <v>324194.227022</v>
      </c>
      <c r="J47" s="39" t="n">
        <f aca="false">IF(AND(('Inputs &amp; Assumptions'!$D$113+6)&gt;=1,('Inputs &amp; Assumptions'!$D$113+6)&lt;='Inputs &amp; Assumptions'!$C$13),'Inputs &amp; Assumptions'!J$51/4*INDEX('Inputs &amp; Assumptions'!$E$70:$E$98,'Inputs &amp; Assumptions'!$D$113+6),0)</f>
        <v>314468.40021134</v>
      </c>
      <c r="K47" s="39" t="n">
        <f aca="false">IF(AND(('Inputs &amp; Assumptions'!$D$113+7)&gt;=1,('Inputs &amp; Assumptions'!$D$113+7)&lt;='Inputs &amp; Assumptions'!$C$13),'Inputs &amp; Assumptions'!K$51/4*INDEX('Inputs &amp; Assumptions'!$E$70:$E$98,'Inputs &amp; Assumptions'!$D$113+7),0)</f>
        <v>305034.348205</v>
      </c>
      <c r="L47" s="39" t="n">
        <f aca="false">IF(AND(('Inputs &amp; Assumptions'!$D$113+8)&gt;=1,('Inputs &amp; Assumptions'!$D$113+8)&lt;='Inputs &amp; Assumptions'!$C$13),'Inputs &amp; Assumptions'!L$51/4*INDEX('Inputs &amp; Assumptions'!$E$70:$E$98,'Inputs &amp; Assumptions'!$D$113+8),0)</f>
        <v>295883.31775885</v>
      </c>
      <c r="M47" s="39" t="n">
        <f aca="false">IF(AND(('Inputs &amp; Assumptions'!$D$113+9)&gt;=1,('Inputs &amp; Assumptions'!$D$113+9)&lt;='Inputs &amp; Assumptions'!$C$13),'Inputs &amp; Assumptions'!M$51/4*INDEX('Inputs &amp; Assumptions'!$E$70:$E$98,'Inputs &amp; Assumptions'!$D$113+9),0)</f>
        <v>287006.818226084</v>
      </c>
      <c r="N47" s="39" t="n">
        <f aca="false">IF(AND(('Inputs &amp; Assumptions'!$D$113+10)&gt;=1,('Inputs &amp; Assumptions'!$D$113+10)&lt;='Inputs &amp; Assumptions'!$C$13),'Inputs &amp; Assumptions'!N$51/4*INDEX('Inputs &amp; Assumptions'!$E$70:$E$98,'Inputs &amp; Assumptions'!$D$113+10),0)</f>
        <v>278396.613679302</v>
      </c>
      <c r="O47" s="39" t="n">
        <f aca="false">IF(AND(('Inputs &amp; Assumptions'!$D$113+11)&gt;=1,('Inputs &amp; Assumptions'!$D$113+11)&lt;='Inputs &amp; Assumptions'!$C$13),'Inputs &amp; Assumptions'!O$51/4*INDEX('Inputs &amp; Assumptions'!$E$70:$E$98,'Inputs &amp; Assumptions'!$D$113+11),0)</f>
        <v>270044.715268923</v>
      </c>
      <c r="P47" s="39" t="n">
        <f aca="false">IF(AND(('Inputs &amp; Assumptions'!$D$113+12)&gt;=1,('Inputs &amp; Assumptions'!$D$113+12)&lt;='Inputs &amp; Assumptions'!$C$13),'Inputs &amp; Assumptions'!P$51/4*INDEX('Inputs &amp; Assumptions'!$E$70:$E$98,'Inputs &amp; Assumptions'!$D$113+12),0)</f>
        <v>261943.373810855</v>
      </c>
      <c r="Q47" s="39" t="n">
        <f aca="false">IF(AND(('Inputs &amp; Assumptions'!$D$113+13)&gt;=1,('Inputs &amp; Assumptions'!$D$113+13)&lt;='Inputs &amp; Assumptions'!$C$13),'Inputs &amp; Assumptions'!Q$51/4*INDEX('Inputs &amp; Assumptions'!$E$70:$E$98,'Inputs &amp; Assumptions'!$D$113+13),0)</f>
        <v>254085.072596529</v>
      </c>
      <c r="R47" s="39" t="n">
        <f aca="false">IF(AND(('Inputs &amp; Assumptions'!$D$113+14)&gt;=1,('Inputs &amp; Assumptions'!$D$113+14)&lt;='Inputs &amp; Assumptions'!$C$13),'Inputs &amp; Assumptions'!R$51/4*INDEX('Inputs &amp; Assumptions'!$E$70:$E$98,'Inputs &amp; Assumptions'!$D$113+14),0)</f>
        <v>246462.520418634</v>
      </c>
      <c r="S47" s="39" t="n">
        <f aca="false">IF(AND(('Inputs &amp; Assumptions'!$D$113+15)&gt;=1,('Inputs &amp; Assumptions'!$D$113+15)&lt;='Inputs &amp; Assumptions'!$C$13),'Inputs &amp; Assumptions'!S$51/4*INDEX('Inputs &amp; Assumptions'!$E$70:$E$98,'Inputs &amp; Assumptions'!$D$113+15),0)</f>
        <v>239068.644806075</v>
      </c>
      <c r="T47" s="39" t="n">
        <f aca="false">IF(AND(('Inputs &amp; Assumptions'!$D$113+16)&gt;=1,('Inputs &amp; Assumptions'!$D$113+16)&lt;='Inputs &amp; Assumptions'!$C$13),'Inputs &amp; Assumptions'!T$51/4*INDEX('Inputs &amp; Assumptions'!$E$70:$E$98,'Inputs &amp; Assumptions'!$D$113+16),0)</f>
        <v>231896.585461892</v>
      </c>
      <c r="U47" s="39" t="n">
        <f aca="false">IF(AND(('Inputs &amp; Assumptions'!$D$113+17)&gt;=1,('Inputs &amp; Assumptions'!$D$113+17)&lt;='Inputs &amp; Assumptions'!$C$13),'Inputs &amp; Assumptions'!U$51/4*INDEX('Inputs &amp; Assumptions'!$E$70:$E$98,'Inputs &amp; Assumptions'!$D$113+17),0)</f>
        <v>224939.687898036</v>
      </c>
      <c r="V47" s="39" t="n">
        <f aca="false">IF(AND(('Inputs &amp; Assumptions'!$D$113+18)&gt;=1,('Inputs &amp; Assumptions'!$D$113+18)&lt;='Inputs &amp; Assumptions'!$C$13),'Inputs &amp; Assumptions'!V$51/4*INDEX('Inputs &amp; Assumptions'!$E$70:$E$98,'Inputs &amp; Assumptions'!$D$113+18),0)</f>
        <v>218191.497261094</v>
      </c>
      <c r="W47" s="39" t="n">
        <f aca="false">IF(AND(('Inputs &amp; Assumptions'!$D$113+19)&gt;=1,('Inputs &amp; Assumptions'!$D$113+19)&lt;='Inputs &amp; Assumptions'!$C$13),'Inputs &amp; Assumptions'!W$51/4*INDEX('Inputs &amp; Assumptions'!$E$70:$E$98,'Inputs &amp; Assumptions'!$D$113+19),0)</f>
        <v>211645.752343262</v>
      </c>
      <c r="X47" s="39" t="n">
        <f aca="false">IF(AND(('Inputs &amp; Assumptions'!$D$113+20)&gt;=1,('Inputs &amp; Assumptions'!$D$113+20)&lt;='Inputs &amp; Assumptions'!$C$13),'Inputs &amp; Assumptions'!X$51/4*INDEX('Inputs &amp; Assumptions'!$E$70:$E$98,'Inputs &amp; Assumptions'!$D$113+20),0)</f>
        <v>205296.379772964</v>
      </c>
      <c r="Y47" s="39" t="n">
        <f aca="false">IF(AND(('Inputs &amp; Assumptions'!$D$113+21)&gt;=1,('Inputs &amp; Assumptions'!$D$113+21)&lt;='Inputs &amp; Assumptions'!$C$13),'Inputs &amp; Assumptions'!Y$51/4*INDEX('Inputs &amp; Assumptions'!$E$70:$E$98,'Inputs &amp; Assumptions'!$D$113+21),0)</f>
        <v>199137.488379775</v>
      </c>
      <c r="Z47" s="39" t="n">
        <f aca="false">IF(AND(('Inputs &amp; Assumptions'!$D$113+22)&gt;=1,('Inputs &amp; Assumptions'!$D$113+22)&lt;='Inputs &amp; Assumptions'!$C$13),'Inputs &amp; Assumptions'!Z$51/4*INDEX('Inputs &amp; Assumptions'!$E$70:$E$98,'Inputs &amp; Assumptions'!$D$113+22),0)</f>
        <v>193163.363728382</v>
      </c>
      <c r="AA47" s="39" t="n">
        <f aca="false">IF(AND(('Inputs &amp; Assumptions'!$D$113+23)&gt;=1,('Inputs &amp; Assumptions'!$D$113+23)&lt;='Inputs &amp; Assumptions'!$C$13),'Inputs &amp; Assumptions'!AA$51/4*INDEX('Inputs &amp; Assumptions'!$E$70:$E$98,'Inputs &amp; Assumptions'!$D$113+23),0)</f>
        <v>187368.46281653</v>
      </c>
      <c r="AB47" s="39" t="n">
        <f aca="false">IF(AND(('Inputs &amp; Assumptions'!$D$113+24)&gt;=1,('Inputs &amp; Assumptions'!$D$113+24)&lt;='Inputs &amp; Assumptions'!$C$13),'Inputs &amp; Assumptions'!AB$51/4*INDEX('Inputs &amp; Assumptions'!$E$70:$E$98,'Inputs &amp; Assumptions'!$D$113+24),0)</f>
        <v>181747.408932034</v>
      </c>
      <c r="AC47" s="39" t="n">
        <f aca="false">IF(AND(('Inputs &amp; Assumptions'!$D$113+25)&gt;=1,('Inputs &amp; Assumptions'!$D$113+25)&lt;='Inputs &amp; Assumptions'!$C$13),'Inputs &amp; Assumptions'!AC$51/4*INDEX('Inputs &amp; Assumptions'!$E$70:$E$98,'Inputs &amp; Assumptions'!$D$113+25),0)</f>
        <v>0</v>
      </c>
      <c r="AD47" s="39" t="n">
        <f aca="false">IF(AND(('Inputs &amp; Assumptions'!$D$113+26)&gt;=1,('Inputs &amp; Assumptions'!$D$113+26)&lt;='Inputs &amp; Assumptions'!$C$13),'Inputs &amp; Assumptions'!AD$51/4*INDEX('Inputs &amp; Assumptions'!$E$70:$E$98,'Inputs &amp; Assumptions'!$D$113+26),0)</f>
        <v>0</v>
      </c>
      <c r="AE47" s="39" t="n">
        <f aca="false">IF(AND(('Inputs &amp; Assumptions'!$D$113+27)&gt;=1,('Inputs &amp; Assumptions'!$D$113+27)&lt;='Inputs &amp; Assumptions'!$C$13),'Inputs &amp; Assumptions'!AE$51/4*INDEX('Inputs &amp; Assumptions'!$E$70:$E$98,'Inputs &amp; Assumptions'!$D$113+27),0)</f>
        <v>0</v>
      </c>
      <c r="AF47" s="39" t="n">
        <f aca="false">IF(AND(('Inputs &amp; Assumptions'!$D$113+28)&gt;=1,('Inputs &amp; Assumptions'!$D$113+28)&lt;='Inputs &amp; Assumptions'!$C$13),'Inputs &amp; Assumptions'!AF$51/4*INDEX('Inputs &amp; Assumptions'!$E$70:$E$98,'Inputs &amp; Assumptions'!$D$113+28),0)</f>
        <v>0</v>
      </c>
      <c r="AG47" s="39" t="n">
        <f aca="false">IF(AND(('Inputs &amp; Assumptions'!$D$113+29)&gt;=1,('Inputs &amp; Assumptions'!$D$113+29)&lt;='Inputs &amp; Assumptions'!$C$13),'Inputs &amp; Assumptions'!AG$51/4*INDEX('Inputs &amp; Assumptions'!$E$70:$E$98,'Inputs &amp; Assumptions'!$D$113+29),0)</f>
        <v>0</v>
      </c>
      <c r="AH47" s="39" t="n">
        <f aca="false">IF(AND(('Inputs &amp; Assumptions'!$D$113+30)&gt;=1,('Inputs &amp; Assumptions'!$D$113+30)&lt;='Inputs &amp; Assumptions'!$C$13),'Inputs &amp; Assumptions'!AH$51/4*INDEX('Inputs &amp; Assumptions'!$E$70:$E$98,'Inputs &amp; Assumptions'!$D$113+30),0)</f>
        <v>0</v>
      </c>
      <c r="AI47" s="39" t="n">
        <f aca="false">IF(AND(('Inputs &amp; Assumptions'!$D$113+31)&gt;=1,('Inputs &amp; Assumptions'!$D$113+31)&lt;='Inputs &amp; Assumptions'!$C$13),'Inputs &amp; Assumptions'!AI$51/4*INDEX('Inputs &amp; Assumptions'!$E$70:$E$98,'Inputs &amp; Assumptions'!$D$113+31),0)</f>
        <v>0</v>
      </c>
      <c r="AJ47" s="39" t="n">
        <f aca="false">IF(AND(('Inputs &amp; Assumptions'!$D$113+32)&gt;=1,('Inputs &amp; Assumptions'!$D$113+32)&lt;='Inputs &amp; Assumptions'!$C$13),'Inputs &amp; Assumptions'!AJ$51/4*INDEX('Inputs &amp; Assumptions'!$E$70:$E$98,'Inputs &amp; Assumptions'!$D$113+32),0)</f>
        <v>0</v>
      </c>
      <c r="AK47" s="39" t="n">
        <f aca="false">IF(AND(('Inputs &amp; Assumptions'!$D$113+33)&gt;=1,('Inputs &amp; Assumptions'!$D$113+33)&lt;='Inputs &amp; Assumptions'!$C$13),'Inputs &amp; Assumptions'!AK$51/4*INDEX('Inputs &amp; Assumptions'!$E$70:$E$98,'Inputs &amp; Assumptions'!$D$113+33),0)</f>
        <v>0</v>
      </c>
      <c r="AL47" s="39" t="n">
        <f aca="false">IF(AND(('Inputs &amp; Assumptions'!$D$113+34)&gt;=1,('Inputs &amp; Assumptions'!$D$113+34)&lt;='Inputs &amp; Assumptions'!$C$13),'Inputs &amp; Assumptions'!AL$51/4*INDEX('Inputs &amp; Assumptions'!$E$70:$E$98,'Inputs &amp; Assumptions'!$D$113+34),0)</f>
        <v>0</v>
      </c>
      <c r="AM47" s="39" t="n">
        <f aca="false">IF(AND(('Inputs &amp; Assumptions'!$D$113+35)&gt;=1,('Inputs &amp; Assumptions'!$D$113+35)&lt;='Inputs &amp; Assumptions'!$C$13),'Inputs &amp; Assumptions'!AM$51/4*INDEX('Inputs &amp; Assumptions'!$E$70:$E$98,'Inputs &amp; Assumptions'!$D$113+35),0)</f>
        <v>0</v>
      </c>
      <c r="AN47" s="39" t="n">
        <f aca="false">IF(AND(('Inputs &amp; Assumptions'!$D$113+36)&gt;=1,('Inputs &amp; Assumptions'!$D$113+36)&lt;='Inputs &amp; Assumptions'!$C$13),'Inputs &amp; Assumptions'!AN$51/4*INDEX('Inputs &amp; Assumptions'!$E$70:$E$98,'Inputs &amp; Assumptions'!$D$113+36),0)</f>
        <v>0</v>
      </c>
    </row>
    <row r="48" customFormat="false" ht="15" hidden="false" customHeight="false" outlineLevel="0" collapsed="false">
      <c r="B48" s="38" t="n">
        <f aca="false">'Inputs &amp; Assumptions'!$B$114</f>
        <v>13</v>
      </c>
      <c r="E48" s="39" t="n">
        <f aca="false">IF(AND(('Inputs &amp; Assumptions'!$D$114+1)&gt;=1,('Inputs &amp; Assumptions'!$D$114+1)&lt;='Inputs &amp; Assumptions'!$C$13),'Inputs &amp; Assumptions'!E$51/4*INDEX('Inputs &amp; Assumptions'!$E$70:$E$98,'Inputs &amp; Assumptions'!$D$114+1),0)</f>
        <v>366200</v>
      </c>
      <c r="F48" s="39" t="n">
        <f aca="false">IF(AND(('Inputs &amp; Assumptions'!$D$114+2)&gt;=1,('Inputs &amp; Assumptions'!$D$114+2)&lt;='Inputs &amp; Assumptions'!$C$13),'Inputs &amp; Assumptions'!F$51/4*INDEX('Inputs &amp; Assumptions'!$E$70:$E$98,'Inputs &amp; Assumptions'!$D$114+2),0)</f>
        <v>355214</v>
      </c>
      <c r="G48" s="39" t="n">
        <f aca="false">IF(AND(('Inputs &amp; Assumptions'!$D$114+3)&gt;=1,('Inputs &amp; Assumptions'!$D$114+3)&lt;='Inputs &amp; Assumptions'!$C$13),'Inputs &amp; Assumptions'!G$51/4*INDEX('Inputs &amp; Assumptions'!$E$70:$E$98,'Inputs &amp; Assumptions'!$D$114+3),0)</f>
        <v>344557.58</v>
      </c>
      <c r="H48" s="39" t="n">
        <f aca="false">IF(AND(('Inputs &amp; Assumptions'!$D$114+4)&gt;=1,('Inputs &amp; Assumptions'!$D$114+4)&lt;='Inputs &amp; Assumptions'!$C$13),'Inputs &amp; Assumptions'!H$51/4*INDEX('Inputs &amp; Assumptions'!$E$70:$E$98,'Inputs &amp; Assumptions'!$D$114+4),0)</f>
        <v>334220.8526</v>
      </c>
      <c r="I48" s="39" t="n">
        <f aca="false">IF(AND(('Inputs &amp; Assumptions'!$D$114+5)&gt;=1,('Inputs &amp; Assumptions'!$D$114+5)&lt;='Inputs &amp; Assumptions'!$C$13),'Inputs &amp; Assumptions'!I$51/4*INDEX('Inputs &amp; Assumptions'!$E$70:$E$98,'Inputs &amp; Assumptions'!$D$114+5),0)</f>
        <v>324194.227022</v>
      </c>
      <c r="J48" s="39" t="n">
        <f aca="false">IF(AND(('Inputs &amp; Assumptions'!$D$114+6)&gt;=1,('Inputs &amp; Assumptions'!$D$114+6)&lt;='Inputs &amp; Assumptions'!$C$13),'Inputs &amp; Assumptions'!J$51/4*INDEX('Inputs &amp; Assumptions'!$E$70:$E$98,'Inputs &amp; Assumptions'!$D$114+6),0)</f>
        <v>314468.40021134</v>
      </c>
      <c r="K48" s="39" t="n">
        <f aca="false">IF(AND(('Inputs &amp; Assumptions'!$D$114+7)&gt;=1,('Inputs &amp; Assumptions'!$D$114+7)&lt;='Inputs &amp; Assumptions'!$C$13),'Inputs &amp; Assumptions'!K$51/4*INDEX('Inputs &amp; Assumptions'!$E$70:$E$98,'Inputs &amp; Assumptions'!$D$114+7),0)</f>
        <v>305034.348205</v>
      </c>
      <c r="L48" s="39" t="n">
        <f aca="false">IF(AND(('Inputs &amp; Assumptions'!$D$114+8)&gt;=1,('Inputs &amp; Assumptions'!$D$114+8)&lt;='Inputs &amp; Assumptions'!$C$13),'Inputs &amp; Assumptions'!L$51/4*INDEX('Inputs &amp; Assumptions'!$E$70:$E$98,'Inputs &amp; Assumptions'!$D$114+8),0)</f>
        <v>295883.31775885</v>
      </c>
      <c r="M48" s="39" t="n">
        <f aca="false">IF(AND(('Inputs &amp; Assumptions'!$D$114+9)&gt;=1,('Inputs &amp; Assumptions'!$D$114+9)&lt;='Inputs &amp; Assumptions'!$C$13),'Inputs &amp; Assumptions'!M$51/4*INDEX('Inputs &amp; Assumptions'!$E$70:$E$98,'Inputs &amp; Assumptions'!$D$114+9),0)</f>
        <v>287006.818226084</v>
      </c>
      <c r="N48" s="39" t="n">
        <f aca="false">IF(AND(('Inputs &amp; Assumptions'!$D$114+10)&gt;=1,('Inputs &amp; Assumptions'!$D$114+10)&lt;='Inputs &amp; Assumptions'!$C$13),'Inputs &amp; Assumptions'!N$51/4*INDEX('Inputs &amp; Assumptions'!$E$70:$E$98,'Inputs &amp; Assumptions'!$D$114+10),0)</f>
        <v>278396.613679302</v>
      </c>
      <c r="O48" s="39" t="n">
        <f aca="false">IF(AND(('Inputs &amp; Assumptions'!$D$114+11)&gt;=1,('Inputs &amp; Assumptions'!$D$114+11)&lt;='Inputs &amp; Assumptions'!$C$13),'Inputs &amp; Assumptions'!O$51/4*INDEX('Inputs &amp; Assumptions'!$E$70:$E$98,'Inputs &amp; Assumptions'!$D$114+11),0)</f>
        <v>270044.715268923</v>
      </c>
      <c r="P48" s="39" t="n">
        <f aca="false">IF(AND(('Inputs &amp; Assumptions'!$D$114+12)&gt;=1,('Inputs &amp; Assumptions'!$D$114+12)&lt;='Inputs &amp; Assumptions'!$C$13),'Inputs &amp; Assumptions'!P$51/4*INDEX('Inputs &amp; Assumptions'!$E$70:$E$98,'Inputs &amp; Assumptions'!$D$114+12),0)</f>
        <v>261943.373810855</v>
      </c>
      <c r="Q48" s="39" t="n">
        <f aca="false">IF(AND(('Inputs &amp; Assumptions'!$D$114+13)&gt;=1,('Inputs &amp; Assumptions'!$D$114+13)&lt;='Inputs &amp; Assumptions'!$C$13),'Inputs &amp; Assumptions'!Q$51/4*INDEX('Inputs &amp; Assumptions'!$E$70:$E$98,'Inputs &amp; Assumptions'!$D$114+13),0)</f>
        <v>254085.072596529</v>
      </c>
      <c r="R48" s="39" t="n">
        <f aca="false">IF(AND(('Inputs &amp; Assumptions'!$D$114+14)&gt;=1,('Inputs &amp; Assumptions'!$D$114+14)&lt;='Inputs &amp; Assumptions'!$C$13),'Inputs &amp; Assumptions'!R$51/4*INDEX('Inputs &amp; Assumptions'!$E$70:$E$98,'Inputs &amp; Assumptions'!$D$114+14),0)</f>
        <v>246462.520418634</v>
      </c>
      <c r="S48" s="39" t="n">
        <f aca="false">IF(AND(('Inputs &amp; Assumptions'!$D$114+15)&gt;=1,('Inputs &amp; Assumptions'!$D$114+15)&lt;='Inputs &amp; Assumptions'!$C$13),'Inputs &amp; Assumptions'!S$51/4*INDEX('Inputs &amp; Assumptions'!$E$70:$E$98,'Inputs &amp; Assumptions'!$D$114+15),0)</f>
        <v>239068.644806075</v>
      </c>
      <c r="T48" s="39" t="n">
        <f aca="false">IF(AND(('Inputs &amp; Assumptions'!$D$114+16)&gt;=1,('Inputs &amp; Assumptions'!$D$114+16)&lt;='Inputs &amp; Assumptions'!$C$13),'Inputs &amp; Assumptions'!T$51/4*INDEX('Inputs &amp; Assumptions'!$E$70:$E$98,'Inputs &amp; Assumptions'!$D$114+16),0)</f>
        <v>231896.585461892</v>
      </c>
      <c r="U48" s="39" t="n">
        <f aca="false">IF(AND(('Inputs &amp; Assumptions'!$D$114+17)&gt;=1,('Inputs &amp; Assumptions'!$D$114+17)&lt;='Inputs &amp; Assumptions'!$C$13),'Inputs &amp; Assumptions'!U$51/4*INDEX('Inputs &amp; Assumptions'!$E$70:$E$98,'Inputs &amp; Assumptions'!$D$114+17),0)</f>
        <v>224939.687898036</v>
      </c>
      <c r="V48" s="39" t="n">
        <f aca="false">IF(AND(('Inputs &amp; Assumptions'!$D$114+18)&gt;=1,('Inputs &amp; Assumptions'!$D$114+18)&lt;='Inputs &amp; Assumptions'!$C$13),'Inputs &amp; Assumptions'!V$51/4*INDEX('Inputs &amp; Assumptions'!$E$70:$E$98,'Inputs &amp; Assumptions'!$D$114+18),0)</f>
        <v>218191.497261094</v>
      </c>
      <c r="W48" s="39" t="n">
        <f aca="false">IF(AND(('Inputs &amp; Assumptions'!$D$114+19)&gt;=1,('Inputs &amp; Assumptions'!$D$114+19)&lt;='Inputs &amp; Assumptions'!$C$13),'Inputs &amp; Assumptions'!W$51/4*INDEX('Inputs &amp; Assumptions'!$E$70:$E$98,'Inputs &amp; Assumptions'!$D$114+19),0)</f>
        <v>211645.752343262</v>
      </c>
      <c r="X48" s="39" t="n">
        <f aca="false">IF(AND(('Inputs &amp; Assumptions'!$D$114+20)&gt;=1,('Inputs &amp; Assumptions'!$D$114+20)&lt;='Inputs &amp; Assumptions'!$C$13),'Inputs &amp; Assumptions'!X$51/4*INDEX('Inputs &amp; Assumptions'!$E$70:$E$98,'Inputs &amp; Assumptions'!$D$114+20),0)</f>
        <v>205296.379772964</v>
      </c>
      <c r="Y48" s="39" t="n">
        <f aca="false">IF(AND(('Inputs &amp; Assumptions'!$D$114+21)&gt;=1,('Inputs &amp; Assumptions'!$D$114+21)&lt;='Inputs &amp; Assumptions'!$C$13),'Inputs &amp; Assumptions'!Y$51/4*INDEX('Inputs &amp; Assumptions'!$E$70:$E$98,'Inputs &amp; Assumptions'!$D$114+21),0)</f>
        <v>199137.488379775</v>
      </c>
      <c r="Z48" s="39" t="n">
        <f aca="false">IF(AND(('Inputs &amp; Assumptions'!$D$114+22)&gt;=1,('Inputs &amp; Assumptions'!$D$114+22)&lt;='Inputs &amp; Assumptions'!$C$13),'Inputs &amp; Assumptions'!Z$51/4*INDEX('Inputs &amp; Assumptions'!$E$70:$E$98,'Inputs &amp; Assumptions'!$D$114+22),0)</f>
        <v>193163.363728382</v>
      </c>
      <c r="AA48" s="39" t="n">
        <f aca="false">IF(AND(('Inputs &amp; Assumptions'!$D$114+23)&gt;=1,('Inputs &amp; Assumptions'!$D$114+23)&lt;='Inputs &amp; Assumptions'!$C$13),'Inputs &amp; Assumptions'!AA$51/4*INDEX('Inputs &amp; Assumptions'!$E$70:$E$98,'Inputs &amp; Assumptions'!$D$114+23),0)</f>
        <v>187368.46281653</v>
      </c>
      <c r="AB48" s="39" t="n">
        <f aca="false">IF(AND(('Inputs &amp; Assumptions'!$D$114+24)&gt;=1,('Inputs &amp; Assumptions'!$D$114+24)&lt;='Inputs &amp; Assumptions'!$C$13),'Inputs &amp; Assumptions'!AB$51/4*INDEX('Inputs &amp; Assumptions'!$E$70:$E$98,'Inputs &amp; Assumptions'!$D$114+24),0)</f>
        <v>181747.408932034</v>
      </c>
      <c r="AC48" s="39" t="n">
        <f aca="false">IF(AND(('Inputs &amp; Assumptions'!$D$114+25)&gt;=1,('Inputs &amp; Assumptions'!$D$114+25)&lt;='Inputs &amp; Assumptions'!$C$13),'Inputs &amp; Assumptions'!AC$51/4*INDEX('Inputs &amp; Assumptions'!$E$70:$E$98,'Inputs &amp; Assumptions'!$D$114+25),0)</f>
        <v>0</v>
      </c>
      <c r="AD48" s="39" t="n">
        <f aca="false">IF(AND(('Inputs &amp; Assumptions'!$D$114+26)&gt;=1,('Inputs &amp; Assumptions'!$D$114+26)&lt;='Inputs &amp; Assumptions'!$C$13),'Inputs &amp; Assumptions'!AD$51/4*INDEX('Inputs &amp; Assumptions'!$E$70:$E$98,'Inputs &amp; Assumptions'!$D$114+26),0)</f>
        <v>0</v>
      </c>
      <c r="AE48" s="39" t="n">
        <f aca="false">IF(AND(('Inputs &amp; Assumptions'!$D$114+27)&gt;=1,('Inputs &amp; Assumptions'!$D$114+27)&lt;='Inputs &amp; Assumptions'!$C$13),'Inputs &amp; Assumptions'!AE$51/4*INDEX('Inputs &amp; Assumptions'!$E$70:$E$98,'Inputs &amp; Assumptions'!$D$114+27),0)</f>
        <v>0</v>
      </c>
      <c r="AF48" s="39" t="n">
        <f aca="false">IF(AND(('Inputs &amp; Assumptions'!$D$114+28)&gt;=1,('Inputs &amp; Assumptions'!$D$114+28)&lt;='Inputs &amp; Assumptions'!$C$13),'Inputs &amp; Assumptions'!AF$51/4*INDEX('Inputs &amp; Assumptions'!$E$70:$E$98,'Inputs &amp; Assumptions'!$D$114+28),0)</f>
        <v>0</v>
      </c>
      <c r="AG48" s="39" t="n">
        <f aca="false">IF(AND(('Inputs &amp; Assumptions'!$D$114+29)&gt;=1,('Inputs &amp; Assumptions'!$D$114+29)&lt;='Inputs &amp; Assumptions'!$C$13),'Inputs &amp; Assumptions'!AG$51/4*INDEX('Inputs &amp; Assumptions'!$E$70:$E$98,'Inputs &amp; Assumptions'!$D$114+29),0)</f>
        <v>0</v>
      </c>
      <c r="AH48" s="39" t="n">
        <f aca="false">IF(AND(('Inputs &amp; Assumptions'!$D$114+30)&gt;=1,('Inputs &amp; Assumptions'!$D$114+30)&lt;='Inputs &amp; Assumptions'!$C$13),'Inputs &amp; Assumptions'!AH$51/4*INDEX('Inputs &amp; Assumptions'!$E$70:$E$98,'Inputs &amp; Assumptions'!$D$114+30),0)</f>
        <v>0</v>
      </c>
      <c r="AI48" s="39" t="n">
        <f aca="false">IF(AND(('Inputs &amp; Assumptions'!$D$114+31)&gt;=1,('Inputs &amp; Assumptions'!$D$114+31)&lt;='Inputs &amp; Assumptions'!$C$13),'Inputs &amp; Assumptions'!AI$51/4*INDEX('Inputs &amp; Assumptions'!$E$70:$E$98,'Inputs &amp; Assumptions'!$D$114+31),0)</f>
        <v>0</v>
      </c>
      <c r="AJ48" s="39" t="n">
        <f aca="false">IF(AND(('Inputs &amp; Assumptions'!$D$114+32)&gt;=1,('Inputs &amp; Assumptions'!$D$114+32)&lt;='Inputs &amp; Assumptions'!$C$13),'Inputs &amp; Assumptions'!AJ$51/4*INDEX('Inputs &amp; Assumptions'!$E$70:$E$98,'Inputs &amp; Assumptions'!$D$114+32),0)</f>
        <v>0</v>
      </c>
      <c r="AK48" s="39" t="n">
        <f aca="false">IF(AND(('Inputs &amp; Assumptions'!$D$114+33)&gt;=1,('Inputs &amp; Assumptions'!$D$114+33)&lt;='Inputs &amp; Assumptions'!$C$13),'Inputs &amp; Assumptions'!AK$51/4*INDEX('Inputs &amp; Assumptions'!$E$70:$E$98,'Inputs &amp; Assumptions'!$D$114+33),0)</f>
        <v>0</v>
      </c>
      <c r="AL48" s="39" t="n">
        <f aca="false">IF(AND(('Inputs &amp; Assumptions'!$D$114+34)&gt;=1,('Inputs &amp; Assumptions'!$D$114+34)&lt;='Inputs &amp; Assumptions'!$C$13),'Inputs &amp; Assumptions'!AL$51/4*INDEX('Inputs &amp; Assumptions'!$E$70:$E$98,'Inputs &amp; Assumptions'!$D$114+34),0)</f>
        <v>0</v>
      </c>
      <c r="AM48" s="39" t="n">
        <f aca="false">IF(AND(('Inputs &amp; Assumptions'!$D$114+35)&gt;=1,('Inputs &amp; Assumptions'!$D$114+35)&lt;='Inputs &amp; Assumptions'!$C$13),'Inputs &amp; Assumptions'!AM$51/4*INDEX('Inputs &amp; Assumptions'!$E$70:$E$98,'Inputs &amp; Assumptions'!$D$114+35),0)</f>
        <v>0</v>
      </c>
      <c r="AN48" s="39" t="n">
        <f aca="false">IF(AND(('Inputs &amp; Assumptions'!$D$114+36)&gt;=1,('Inputs &amp; Assumptions'!$D$114+36)&lt;='Inputs &amp; Assumptions'!$C$13),'Inputs &amp; Assumptions'!AN$51/4*INDEX('Inputs &amp; Assumptions'!$E$70:$E$98,'Inputs &amp; Assumptions'!$D$114+36),0)</f>
        <v>0</v>
      </c>
    </row>
    <row r="49" customFormat="false" ht="15" hidden="false" customHeight="false" outlineLevel="0" collapsed="false">
      <c r="B49" s="38" t="n">
        <f aca="false">'Inputs &amp; Assumptions'!$B$115</f>
        <v>14</v>
      </c>
      <c r="E49" s="39" t="n">
        <f aca="false">IF(AND(('Inputs &amp; Assumptions'!$D$115+1)&gt;=1,('Inputs &amp; Assumptions'!$D$115+1)&lt;='Inputs &amp; Assumptions'!$C$13),'Inputs &amp; Assumptions'!E$51/4*INDEX('Inputs &amp; Assumptions'!$E$70:$E$98,'Inputs &amp; Assumptions'!$D$115+1),0)</f>
        <v>355214</v>
      </c>
      <c r="F49" s="39" t="n">
        <f aca="false">IF(AND(('Inputs &amp; Assumptions'!$D$115+2)&gt;=1,('Inputs &amp; Assumptions'!$D$115+2)&lt;='Inputs &amp; Assumptions'!$C$13),'Inputs &amp; Assumptions'!F$51/4*INDEX('Inputs &amp; Assumptions'!$E$70:$E$98,'Inputs &amp; Assumptions'!$D$115+2),0)</f>
        <v>344557.58</v>
      </c>
      <c r="G49" s="39" t="n">
        <f aca="false">IF(AND(('Inputs &amp; Assumptions'!$D$115+3)&gt;=1,('Inputs &amp; Assumptions'!$D$115+3)&lt;='Inputs &amp; Assumptions'!$C$13),'Inputs &amp; Assumptions'!G$51/4*INDEX('Inputs &amp; Assumptions'!$E$70:$E$98,'Inputs &amp; Assumptions'!$D$115+3),0)</f>
        <v>334220.8526</v>
      </c>
      <c r="H49" s="39" t="n">
        <f aca="false">IF(AND(('Inputs &amp; Assumptions'!$D$115+4)&gt;=1,('Inputs &amp; Assumptions'!$D$115+4)&lt;='Inputs &amp; Assumptions'!$C$13),'Inputs &amp; Assumptions'!H$51/4*INDEX('Inputs &amp; Assumptions'!$E$70:$E$98,'Inputs &amp; Assumptions'!$D$115+4),0)</f>
        <v>324194.227022</v>
      </c>
      <c r="I49" s="39" t="n">
        <f aca="false">IF(AND(('Inputs &amp; Assumptions'!$D$115+5)&gt;=1,('Inputs &amp; Assumptions'!$D$115+5)&lt;='Inputs &amp; Assumptions'!$C$13),'Inputs &amp; Assumptions'!I$51/4*INDEX('Inputs &amp; Assumptions'!$E$70:$E$98,'Inputs &amp; Assumptions'!$D$115+5),0)</f>
        <v>314468.40021134</v>
      </c>
      <c r="J49" s="39" t="n">
        <f aca="false">IF(AND(('Inputs &amp; Assumptions'!$D$115+6)&gt;=1,('Inputs &amp; Assumptions'!$D$115+6)&lt;='Inputs &amp; Assumptions'!$C$13),'Inputs &amp; Assumptions'!J$51/4*INDEX('Inputs &amp; Assumptions'!$E$70:$E$98,'Inputs &amp; Assumptions'!$D$115+6),0)</f>
        <v>305034.348205</v>
      </c>
      <c r="K49" s="39" t="n">
        <f aca="false">IF(AND(('Inputs &amp; Assumptions'!$D$115+7)&gt;=1,('Inputs &amp; Assumptions'!$D$115+7)&lt;='Inputs &amp; Assumptions'!$C$13),'Inputs &amp; Assumptions'!K$51/4*INDEX('Inputs &amp; Assumptions'!$E$70:$E$98,'Inputs &amp; Assumptions'!$D$115+7),0)</f>
        <v>295883.31775885</v>
      </c>
      <c r="L49" s="39" t="n">
        <f aca="false">IF(AND(('Inputs &amp; Assumptions'!$D$115+8)&gt;=1,('Inputs &amp; Assumptions'!$D$115+8)&lt;='Inputs &amp; Assumptions'!$C$13),'Inputs &amp; Assumptions'!L$51/4*INDEX('Inputs &amp; Assumptions'!$E$70:$E$98,'Inputs &amp; Assumptions'!$D$115+8),0)</f>
        <v>287006.818226084</v>
      </c>
      <c r="M49" s="39" t="n">
        <f aca="false">IF(AND(('Inputs &amp; Assumptions'!$D$115+9)&gt;=1,('Inputs &amp; Assumptions'!$D$115+9)&lt;='Inputs &amp; Assumptions'!$C$13),'Inputs &amp; Assumptions'!M$51/4*INDEX('Inputs &amp; Assumptions'!$E$70:$E$98,'Inputs &amp; Assumptions'!$D$115+9),0)</f>
        <v>278396.613679302</v>
      </c>
      <c r="N49" s="39" t="n">
        <f aca="false">IF(AND(('Inputs &amp; Assumptions'!$D$115+10)&gt;=1,('Inputs &amp; Assumptions'!$D$115+10)&lt;='Inputs &amp; Assumptions'!$C$13),'Inputs &amp; Assumptions'!N$51/4*INDEX('Inputs &amp; Assumptions'!$E$70:$E$98,'Inputs &amp; Assumptions'!$D$115+10),0)</f>
        <v>270044.715268923</v>
      </c>
      <c r="O49" s="39" t="n">
        <f aca="false">IF(AND(('Inputs &amp; Assumptions'!$D$115+11)&gt;=1,('Inputs &amp; Assumptions'!$D$115+11)&lt;='Inputs &amp; Assumptions'!$C$13),'Inputs &amp; Assumptions'!O$51/4*INDEX('Inputs &amp; Assumptions'!$E$70:$E$98,'Inputs &amp; Assumptions'!$D$115+11),0)</f>
        <v>261943.373810855</v>
      </c>
      <c r="P49" s="39" t="n">
        <f aca="false">IF(AND(('Inputs &amp; Assumptions'!$D$115+12)&gt;=1,('Inputs &amp; Assumptions'!$D$115+12)&lt;='Inputs &amp; Assumptions'!$C$13),'Inputs &amp; Assumptions'!P$51/4*INDEX('Inputs &amp; Assumptions'!$E$70:$E$98,'Inputs &amp; Assumptions'!$D$115+12),0)</f>
        <v>254085.072596529</v>
      </c>
      <c r="Q49" s="39" t="n">
        <f aca="false">IF(AND(('Inputs &amp; Assumptions'!$D$115+13)&gt;=1,('Inputs &amp; Assumptions'!$D$115+13)&lt;='Inputs &amp; Assumptions'!$C$13),'Inputs &amp; Assumptions'!Q$51/4*INDEX('Inputs &amp; Assumptions'!$E$70:$E$98,'Inputs &amp; Assumptions'!$D$115+13),0)</f>
        <v>246462.520418634</v>
      </c>
      <c r="R49" s="39" t="n">
        <f aca="false">IF(AND(('Inputs &amp; Assumptions'!$D$115+14)&gt;=1,('Inputs &amp; Assumptions'!$D$115+14)&lt;='Inputs &amp; Assumptions'!$C$13),'Inputs &amp; Assumptions'!R$51/4*INDEX('Inputs &amp; Assumptions'!$E$70:$E$98,'Inputs &amp; Assumptions'!$D$115+14),0)</f>
        <v>239068.644806075</v>
      </c>
      <c r="S49" s="39" t="n">
        <f aca="false">IF(AND(('Inputs &amp; Assumptions'!$D$115+15)&gt;=1,('Inputs &amp; Assumptions'!$D$115+15)&lt;='Inputs &amp; Assumptions'!$C$13),'Inputs &amp; Assumptions'!S$51/4*INDEX('Inputs &amp; Assumptions'!$E$70:$E$98,'Inputs &amp; Assumptions'!$D$115+15),0)</f>
        <v>231896.585461892</v>
      </c>
      <c r="T49" s="39" t="n">
        <f aca="false">IF(AND(('Inputs &amp; Assumptions'!$D$115+16)&gt;=1,('Inputs &amp; Assumptions'!$D$115+16)&lt;='Inputs &amp; Assumptions'!$C$13),'Inputs &amp; Assumptions'!T$51/4*INDEX('Inputs &amp; Assumptions'!$E$70:$E$98,'Inputs &amp; Assumptions'!$D$115+16),0)</f>
        <v>224939.687898036</v>
      </c>
      <c r="U49" s="39" t="n">
        <f aca="false">IF(AND(('Inputs &amp; Assumptions'!$D$115+17)&gt;=1,('Inputs &amp; Assumptions'!$D$115+17)&lt;='Inputs &amp; Assumptions'!$C$13),'Inputs &amp; Assumptions'!U$51/4*INDEX('Inputs &amp; Assumptions'!$E$70:$E$98,'Inputs &amp; Assumptions'!$D$115+17),0)</f>
        <v>218191.497261094</v>
      </c>
      <c r="V49" s="39" t="n">
        <f aca="false">IF(AND(('Inputs &amp; Assumptions'!$D$115+18)&gt;=1,('Inputs &amp; Assumptions'!$D$115+18)&lt;='Inputs &amp; Assumptions'!$C$13),'Inputs &amp; Assumptions'!V$51/4*INDEX('Inputs &amp; Assumptions'!$E$70:$E$98,'Inputs &amp; Assumptions'!$D$115+18),0)</f>
        <v>211645.752343262</v>
      </c>
      <c r="W49" s="39" t="n">
        <f aca="false">IF(AND(('Inputs &amp; Assumptions'!$D$115+19)&gt;=1,('Inputs &amp; Assumptions'!$D$115+19)&lt;='Inputs &amp; Assumptions'!$C$13),'Inputs &amp; Assumptions'!W$51/4*INDEX('Inputs &amp; Assumptions'!$E$70:$E$98,'Inputs &amp; Assumptions'!$D$115+19),0)</f>
        <v>205296.379772964</v>
      </c>
      <c r="X49" s="39" t="n">
        <f aca="false">IF(AND(('Inputs &amp; Assumptions'!$D$115+20)&gt;=1,('Inputs &amp; Assumptions'!$D$115+20)&lt;='Inputs &amp; Assumptions'!$C$13),'Inputs &amp; Assumptions'!X$51/4*INDEX('Inputs &amp; Assumptions'!$E$70:$E$98,'Inputs &amp; Assumptions'!$D$115+20),0)</f>
        <v>199137.488379775</v>
      </c>
      <c r="Y49" s="39" t="n">
        <f aca="false">IF(AND(('Inputs &amp; Assumptions'!$D$115+21)&gt;=1,('Inputs &amp; Assumptions'!$D$115+21)&lt;='Inputs &amp; Assumptions'!$C$13),'Inputs &amp; Assumptions'!Y$51/4*INDEX('Inputs &amp; Assumptions'!$E$70:$E$98,'Inputs &amp; Assumptions'!$D$115+21),0)</f>
        <v>193163.363728382</v>
      </c>
      <c r="Z49" s="39" t="n">
        <f aca="false">IF(AND(('Inputs &amp; Assumptions'!$D$115+22)&gt;=1,('Inputs &amp; Assumptions'!$D$115+22)&lt;='Inputs &amp; Assumptions'!$C$13),'Inputs &amp; Assumptions'!Z$51/4*INDEX('Inputs &amp; Assumptions'!$E$70:$E$98,'Inputs &amp; Assumptions'!$D$115+22),0)</f>
        <v>187368.46281653</v>
      </c>
      <c r="AA49" s="39" t="n">
        <f aca="false">IF(AND(('Inputs &amp; Assumptions'!$D$115+23)&gt;=1,('Inputs &amp; Assumptions'!$D$115+23)&lt;='Inputs &amp; Assumptions'!$C$13),'Inputs &amp; Assumptions'!AA$51/4*INDEX('Inputs &amp; Assumptions'!$E$70:$E$98,'Inputs &amp; Assumptions'!$D$115+23),0)</f>
        <v>181747.408932034</v>
      </c>
      <c r="AB49" s="39" t="n">
        <f aca="false">IF(AND(('Inputs &amp; Assumptions'!$D$115+24)&gt;=1,('Inputs &amp; Assumptions'!$D$115+24)&lt;='Inputs &amp; Assumptions'!$C$13),'Inputs &amp; Assumptions'!AB$51/4*INDEX('Inputs &amp; Assumptions'!$E$70:$E$98,'Inputs &amp; Assumptions'!$D$115+24),0)</f>
        <v>0</v>
      </c>
      <c r="AC49" s="39" t="n">
        <f aca="false">IF(AND(('Inputs &amp; Assumptions'!$D$115+25)&gt;=1,('Inputs &amp; Assumptions'!$D$115+25)&lt;='Inputs &amp; Assumptions'!$C$13),'Inputs &amp; Assumptions'!AC$51/4*INDEX('Inputs &amp; Assumptions'!$E$70:$E$98,'Inputs &amp; Assumptions'!$D$115+25),0)</f>
        <v>0</v>
      </c>
      <c r="AD49" s="39" t="n">
        <f aca="false">IF(AND(('Inputs &amp; Assumptions'!$D$115+26)&gt;=1,('Inputs &amp; Assumptions'!$D$115+26)&lt;='Inputs &amp; Assumptions'!$C$13),'Inputs &amp; Assumptions'!AD$51/4*INDEX('Inputs &amp; Assumptions'!$E$70:$E$98,'Inputs &amp; Assumptions'!$D$115+26),0)</f>
        <v>0</v>
      </c>
      <c r="AE49" s="39" t="n">
        <f aca="false">IF(AND(('Inputs &amp; Assumptions'!$D$115+27)&gt;=1,('Inputs &amp; Assumptions'!$D$115+27)&lt;='Inputs &amp; Assumptions'!$C$13),'Inputs &amp; Assumptions'!AE$51/4*INDEX('Inputs &amp; Assumptions'!$E$70:$E$98,'Inputs &amp; Assumptions'!$D$115+27),0)</f>
        <v>0</v>
      </c>
      <c r="AF49" s="39" t="n">
        <f aca="false">IF(AND(('Inputs &amp; Assumptions'!$D$115+28)&gt;=1,('Inputs &amp; Assumptions'!$D$115+28)&lt;='Inputs &amp; Assumptions'!$C$13),'Inputs &amp; Assumptions'!AF$51/4*INDEX('Inputs &amp; Assumptions'!$E$70:$E$98,'Inputs &amp; Assumptions'!$D$115+28),0)</f>
        <v>0</v>
      </c>
      <c r="AG49" s="39" t="n">
        <f aca="false">IF(AND(('Inputs &amp; Assumptions'!$D$115+29)&gt;=1,('Inputs &amp; Assumptions'!$D$115+29)&lt;='Inputs &amp; Assumptions'!$C$13),'Inputs &amp; Assumptions'!AG$51/4*INDEX('Inputs &amp; Assumptions'!$E$70:$E$98,'Inputs &amp; Assumptions'!$D$115+29),0)</f>
        <v>0</v>
      </c>
      <c r="AH49" s="39" t="n">
        <f aca="false">IF(AND(('Inputs &amp; Assumptions'!$D$115+30)&gt;=1,('Inputs &amp; Assumptions'!$D$115+30)&lt;='Inputs &amp; Assumptions'!$C$13),'Inputs &amp; Assumptions'!AH$51/4*INDEX('Inputs &amp; Assumptions'!$E$70:$E$98,'Inputs &amp; Assumptions'!$D$115+30),0)</f>
        <v>0</v>
      </c>
      <c r="AI49" s="39" t="n">
        <f aca="false">IF(AND(('Inputs &amp; Assumptions'!$D$115+31)&gt;=1,('Inputs &amp; Assumptions'!$D$115+31)&lt;='Inputs &amp; Assumptions'!$C$13),'Inputs &amp; Assumptions'!AI$51/4*INDEX('Inputs &amp; Assumptions'!$E$70:$E$98,'Inputs &amp; Assumptions'!$D$115+31),0)</f>
        <v>0</v>
      </c>
      <c r="AJ49" s="39" t="n">
        <f aca="false">IF(AND(('Inputs &amp; Assumptions'!$D$115+32)&gt;=1,('Inputs &amp; Assumptions'!$D$115+32)&lt;='Inputs &amp; Assumptions'!$C$13),'Inputs &amp; Assumptions'!AJ$51/4*INDEX('Inputs &amp; Assumptions'!$E$70:$E$98,'Inputs &amp; Assumptions'!$D$115+32),0)</f>
        <v>0</v>
      </c>
      <c r="AK49" s="39" t="n">
        <f aca="false">IF(AND(('Inputs &amp; Assumptions'!$D$115+33)&gt;=1,('Inputs &amp; Assumptions'!$D$115+33)&lt;='Inputs &amp; Assumptions'!$C$13),'Inputs &amp; Assumptions'!AK$51/4*INDEX('Inputs &amp; Assumptions'!$E$70:$E$98,'Inputs &amp; Assumptions'!$D$115+33),0)</f>
        <v>0</v>
      </c>
      <c r="AL49" s="39" t="n">
        <f aca="false">IF(AND(('Inputs &amp; Assumptions'!$D$115+34)&gt;=1,('Inputs &amp; Assumptions'!$D$115+34)&lt;='Inputs &amp; Assumptions'!$C$13),'Inputs &amp; Assumptions'!AL$51/4*INDEX('Inputs &amp; Assumptions'!$E$70:$E$98,'Inputs &amp; Assumptions'!$D$115+34),0)</f>
        <v>0</v>
      </c>
      <c r="AM49" s="39" t="n">
        <f aca="false">IF(AND(('Inputs &amp; Assumptions'!$D$115+35)&gt;=1,('Inputs &amp; Assumptions'!$D$115+35)&lt;='Inputs &amp; Assumptions'!$C$13),'Inputs &amp; Assumptions'!AM$51/4*INDEX('Inputs &amp; Assumptions'!$E$70:$E$98,'Inputs &amp; Assumptions'!$D$115+35),0)</f>
        <v>0</v>
      </c>
      <c r="AN49" s="39" t="n">
        <f aca="false">IF(AND(('Inputs &amp; Assumptions'!$D$115+36)&gt;=1,('Inputs &amp; Assumptions'!$D$115+36)&lt;='Inputs &amp; Assumptions'!$C$13),'Inputs &amp; Assumptions'!AN$51/4*INDEX('Inputs &amp; Assumptions'!$E$70:$E$98,'Inputs &amp; Assumptions'!$D$115+36),0)</f>
        <v>0</v>
      </c>
    </row>
    <row r="50" customFormat="false" ht="15" hidden="false" customHeight="false" outlineLevel="0" collapsed="false">
      <c r="B50" s="38" t="n">
        <f aca="false">'Inputs &amp; Assumptions'!$B$116</f>
        <v>15</v>
      </c>
      <c r="E50" s="39" t="n">
        <f aca="false">IF(AND(('Inputs &amp; Assumptions'!$D$116+1)&gt;=1,('Inputs &amp; Assumptions'!$D$116+1)&lt;='Inputs &amp; Assumptions'!$C$13),'Inputs &amp; Assumptions'!E$51/4*INDEX('Inputs &amp; Assumptions'!$E$70:$E$98,'Inputs &amp; Assumptions'!$D$116+1),0)</f>
        <v>355214</v>
      </c>
      <c r="F50" s="39" t="n">
        <f aca="false">IF(AND(('Inputs &amp; Assumptions'!$D$116+2)&gt;=1,('Inputs &amp; Assumptions'!$D$116+2)&lt;='Inputs &amp; Assumptions'!$C$13),'Inputs &amp; Assumptions'!F$51/4*INDEX('Inputs &amp; Assumptions'!$E$70:$E$98,'Inputs &amp; Assumptions'!$D$116+2),0)</f>
        <v>344557.58</v>
      </c>
      <c r="G50" s="39" t="n">
        <f aca="false">IF(AND(('Inputs &amp; Assumptions'!$D$116+3)&gt;=1,('Inputs &amp; Assumptions'!$D$116+3)&lt;='Inputs &amp; Assumptions'!$C$13),'Inputs &amp; Assumptions'!G$51/4*INDEX('Inputs &amp; Assumptions'!$E$70:$E$98,'Inputs &amp; Assumptions'!$D$116+3),0)</f>
        <v>334220.8526</v>
      </c>
      <c r="H50" s="39" t="n">
        <f aca="false">IF(AND(('Inputs &amp; Assumptions'!$D$116+4)&gt;=1,('Inputs &amp; Assumptions'!$D$116+4)&lt;='Inputs &amp; Assumptions'!$C$13),'Inputs &amp; Assumptions'!H$51/4*INDEX('Inputs &amp; Assumptions'!$E$70:$E$98,'Inputs &amp; Assumptions'!$D$116+4),0)</f>
        <v>324194.227022</v>
      </c>
      <c r="I50" s="39" t="n">
        <f aca="false">IF(AND(('Inputs &amp; Assumptions'!$D$116+5)&gt;=1,('Inputs &amp; Assumptions'!$D$116+5)&lt;='Inputs &amp; Assumptions'!$C$13),'Inputs &amp; Assumptions'!I$51/4*INDEX('Inputs &amp; Assumptions'!$E$70:$E$98,'Inputs &amp; Assumptions'!$D$116+5),0)</f>
        <v>314468.40021134</v>
      </c>
      <c r="J50" s="39" t="n">
        <f aca="false">IF(AND(('Inputs &amp; Assumptions'!$D$116+6)&gt;=1,('Inputs &amp; Assumptions'!$D$116+6)&lt;='Inputs &amp; Assumptions'!$C$13),'Inputs &amp; Assumptions'!J$51/4*INDEX('Inputs &amp; Assumptions'!$E$70:$E$98,'Inputs &amp; Assumptions'!$D$116+6),0)</f>
        <v>305034.348205</v>
      </c>
      <c r="K50" s="39" t="n">
        <f aca="false">IF(AND(('Inputs &amp; Assumptions'!$D$116+7)&gt;=1,('Inputs &amp; Assumptions'!$D$116+7)&lt;='Inputs &amp; Assumptions'!$C$13),'Inputs &amp; Assumptions'!K$51/4*INDEX('Inputs &amp; Assumptions'!$E$70:$E$98,'Inputs &amp; Assumptions'!$D$116+7),0)</f>
        <v>295883.31775885</v>
      </c>
      <c r="L50" s="39" t="n">
        <f aca="false">IF(AND(('Inputs &amp; Assumptions'!$D$116+8)&gt;=1,('Inputs &amp; Assumptions'!$D$116+8)&lt;='Inputs &amp; Assumptions'!$C$13),'Inputs &amp; Assumptions'!L$51/4*INDEX('Inputs &amp; Assumptions'!$E$70:$E$98,'Inputs &amp; Assumptions'!$D$116+8),0)</f>
        <v>287006.818226084</v>
      </c>
      <c r="M50" s="39" t="n">
        <f aca="false">IF(AND(('Inputs &amp; Assumptions'!$D$116+9)&gt;=1,('Inputs &amp; Assumptions'!$D$116+9)&lt;='Inputs &amp; Assumptions'!$C$13),'Inputs &amp; Assumptions'!M$51/4*INDEX('Inputs &amp; Assumptions'!$E$70:$E$98,'Inputs &amp; Assumptions'!$D$116+9),0)</f>
        <v>278396.613679302</v>
      </c>
      <c r="N50" s="39" t="n">
        <f aca="false">IF(AND(('Inputs &amp; Assumptions'!$D$116+10)&gt;=1,('Inputs &amp; Assumptions'!$D$116+10)&lt;='Inputs &amp; Assumptions'!$C$13),'Inputs &amp; Assumptions'!N$51/4*INDEX('Inputs &amp; Assumptions'!$E$70:$E$98,'Inputs &amp; Assumptions'!$D$116+10),0)</f>
        <v>270044.715268923</v>
      </c>
      <c r="O50" s="39" t="n">
        <f aca="false">IF(AND(('Inputs &amp; Assumptions'!$D$116+11)&gt;=1,('Inputs &amp; Assumptions'!$D$116+11)&lt;='Inputs &amp; Assumptions'!$C$13),'Inputs &amp; Assumptions'!O$51/4*INDEX('Inputs &amp; Assumptions'!$E$70:$E$98,'Inputs &amp; Assumptions'!$D$116+11),0)</f>
        <v>261943.373810855</v>
      </c>
      <c r="P50" s="39" t="n">
        <f aca="false">IF(AND(('Inputs &amp; Assumptions'!$D$116+12)&gt;=1,('Inputs &amp; Assumptions'!$D$116+12)&lt;='Inputs &amp; Assumptions'!$C$13),'Inputs &amp; Assumptions'!P$51/4*INDEX('Inputs &amp; Assumptions'!$E$70:$E$98,'Inputs &amp; Assumptions'!$D$116+12),0)</f>
        <v>254085.072596529</v>
      </c>
      <c r="Q50" s="39" t="n">
        <f aca="false">IF(AND(('Inputs &amp; Assumptions'!$D$116+13)&gt;=1,('Inputs &amp; Assumptions'!$D$116+13)&lt;='Inputs &amp; Assumptions'!$C$13),'Inputs &amp; Assumptions'!Q$51/4*INDEX('Inputs &amp; Assumptions'!$E$70:$E$98,'Inputs &amp; Assumptions'!$D$116+13),0)</f>
        <v>246462.520418634</v>
      </c>
      <c r="R50" s="39" t="n">
        <f aca="false">IF(AND(('Inputs &amp; Assumptions'!$D$116+14)&gt;=1,('Inputs &amp; Assumptions'!$D$116+14)&lt;='Inputs &amp; Assumptions'!$C$13),'Inputs &amp; Assumptions'!R$51/4*INDEX('Inputs &amp; Assumptions'!$E$70:$E$98,'Inputs &amp; Assumptions'!$D$116+14),0)</f>
        <v>239068.644806075</v>
      </c>
      <c r="S50" s="39" t="n">
        <f aca="false">IF(AND(('Inputs &amp; Assumptions'!$D$116+15)&gt;=1,('Inputs &amp; Assumptions'!$D$116+15)&lt;='Inputs &amp; Assumptions'!$C$13),'Inputs &amp; Assumptions'!S$51/4*INDEX('Inputs &amp; Assumptions'!$E$70:$E$98,'Inputs &amp; Assumptions'!$D$116+15),0)</f>
        <v>231896.585461892</v>
      </c>
      <c r="T50" s="39" t="n">
        <f aca="false">IF(AND(('Inputs &amp; Assumptions'!$D$116+16)&gt;=1,('Inputs &amp; Assumptions'!$D$116+16)&lt;='Inputs &amp; Assumptions'!$C$13),'Inputs &amp; Assumptions'!T$51/4*INDEX('Inputs &amp; Assumptions'!$E$70:$E$98,'Inputs &amp; Assumptions'!$D$116+16),0)</f>
        <v>224939.687898036</v>
      </c>
      <c r="U50" s="39" t="n">
        <f aca="false">IF(AND(('Inputs &amp; Assumptions'!$D$116+17)&gt;=1,('Inputs &amp; Assumptions'!$D$116+17)&lt;='Inputs &amp; Assumptions'!$C$13),'Inputs &amp; Assumptions'!U$51/4*INDEX('Inputs &amp; Assumptions'!$E$70:$E$98,'Inputs &amp; Assumptions'!$D$116+17),0)</f>
        <v>218191.497261094</v>
      </c>
      <c r="V50" s="39" t="n">
        <f aca="false">IF(AND(('Inputs &amp; Assumptions'!$D$116+18)&gt;=1,('Inputs &amp; Assumptions'!$D$116+18)&lt;='Inputs &amp; Assumptions'!$C$13),'Inputs &amp; Assumptions'!V$51/4*INDEX('Inputs &amp; Assumptions'!$E$70:$E$98,'Inputs &amp; Assumptions'!$D$116+18),0)</f>
        <v>211645.752343262</v>
      </c>
      <c r="W50" s="39" t="n">
        <f aca="false">IF(AND(('Inputs &amp; Assumptions'!$D$116+19)&gt;=1,('Inputs &amp; Assumptions'!$D$116+19)&lt;='Inputs &amp; Assumptions'!$C$13),'Inputs &amp; Assumptions'!W$51/4*INDEX('Inputs &amp; Assumptions'!$E$70:$E$98,'Inputs &amp; Assumptions'!$D$116+19),0)</f>
        <v>205296.379772964</v>
      </c>
      <c r="X50" s="39" t="n">
        <f aca="false">IF(AND(('Inputs &amp; Assumptions'!$D$116+20)&gt;=1,('Inputs &amp; Assumptions'!$D$116+20)&lt;='Inputs &amp; Assumptions'!$C$13),'Inputs &amp; Assumptions'!X$51/4*INDEX('Inputs &amp; Assumptions'!$E$70:$E$98,'Inputs &amp; Assumptions'!$D$116+20),0)</f>
        <v>199137.488379775</v>
      </c>
      <c r="Y50" s="39" t="n">
        <f aca="false">IF(AND(('Inputs &amp; Assumptions'!$D$116+21)&gt;=1,('Inputs &amp; Assumptions'!$D$116+21)&lt;='Inputs &amp; Assumptions'!$C$13),'Inputs &amp; Assumptions'!Y$51/4*INDEX('Inputs &amp; Assumptions'!$E$70:$E$98,'Inputs &amp; Assumptions'!$D$116+21),0)</f>
        <v>193163.363728382</v>
      </c>
      <c r="Z50" s="39" t="n">
        <f aca="false">IF(AND(('Inputs &amp; Assumptions'!$D$116+22)&gt;=1,('Inputs &amp; Assumptions'!$D$116+22)&lt;='Inputs &amp; Assumptions'!$C$13),'Inputs &amp; Assumptions'!Z$51/4*INDEX('Inputs &amp; Assumptions'!$E$70:$E$98,'Inputs &amp; Assumptions'!$D$116+22),0)</f>
        <v>187368.46281653</v>
      </c>
      <c r="AA50" s="39" t="n">
        <f aca="false">IF(AND(('Inputs &amp; Assumptions'!$D$116+23)&gt;=1,('Inputs &amp; Assumptions'!$D$116+23)&lt;='Inputs &amp; Assumptions'!$C$13),'Inputs &amp; Assumptions'!AA$51/4*INDEX('Inputs &amp; Assumptions'!$E$70:$E$98,'Inputs &amp; Assumptions'!$D$116+23),0)</f>
        <v>181747.408932034</v>
      </c>
      <c r="AB50" s="39" t="n">
        <f aca="false">IF(AND(('Inputs &amp; Assumptions'!$D$116+24)&gt;=1,('Inputs &amp; Assumptions'!$D$116+24)&lt;='Inputs &amp; Assumptions'!$C$13),'Inputs &amp; Assumptions'!AB$51/4*INDEX('Inputs &amp; Assumptions'!$E$70:$E$98,'Inputs &amp; Assumptions'!$D$116+24),0)</f>
        <v>0</v>
      </c>
      <c r="AC50" s="39" t="n">
        <f aca="false">IF(AND(('Inputs &amp; Assumptions'!$D$116+25)&gt;=1,('Inputs &amp; Assumptions'!$D$116+25)&lt;='Inputs &amp; Assumptions'!$C$13),'Inputs &amp; Assumptions'!AC$51/4*INDEX('Inputs &amp; Assumptions'!$E$70:$E$98,'Inputs &amp; Assumptions'!$D$116+25),0)</f>
        <v>0</v>
      </c>
      <c r="AD50" s="39" t="n">
        <f aca="false">IF(AND(('Inputs &amp; Assumptions'!$D$116+26)&gt;=1,('Inputs &amp; Assumptions'!$D$116+26)&lt;='Inputs &amp; Assumptions'!$C$13),'Inputs &amp; Assumptions'!AD$51/4*INDEX('Inputs &amp; Assumptions'!$E$70:$E$98,'Inputs &amp; Assumptions'!$D$116+26),0)</f>
        <v>0</v>
      </c>
      <c r="AE50" s="39" t="n">
        <f aca="false">IF(AND(('Inputs &amp; Assumptions'!$D$116+27)&gt;=1,('Inputs &amp; Assumptions'!$D$116+27)&lt;='Inputs &amp; Assumptions'!$C$13),'Inputs &amp; Assumptions'!AE$51/4*INDEX('Inputs &amp; Assumptions'!$E$70:$E$98,'Inputs &amp; Assumptions'!$D$116+27),0)</f>
        <v>0</v>
      </c>
      <c r="AF50" s="39" t="n">
        <f aca="false">IF(AND(('Inputs &amp; Assumptions'!$D$116+28)&gt;=1,('Inputs &amp; Assumptions'!$D$116+28)&lt;='Inputs &amp; Assumptions'!$C$13),'Inputs &amp; Assumptions'!AF$51/4*INDEX('Inputs &amp; Assumptions'!$E$70:$E$98,'Inputs &amp; Assumptions'!$D$116+28),0)</f>
        <v>0</v>
      </c>
      <c r="AG50" s="39" t="n">
        <f aca="false">IF(AND(('Inputs &amp; Assumptions'!$D$116+29)&gt;=1,('Inputs &amp; Assumptions'!$D$116+29)&lt;='Inputs &amp; Assumptions'!$C$13),'Inputs &amp; Assumptions'!AG$51/4*INDEX('Inputs &amp; Assumptions'!$E$70:$E$98,'Inputs &amp; Assumptions'!$D$116+29),0)</f>
        <v>0</v>
      </c>
      <c r="AH50" s="39" t="n">
        <f aca="false">IF(AND(('Inputs &amp; Assumptions'!$D$116+30)&gt;=1,('Inputs &amp; Assumptions'!$D$116+30)&lt;='Inputs &amp; Assumptions'!$C$13),'Inputs &amp; Assumptions'!AH$51/4*INDEX('Inputs &amp; Assumptions'!$E$70:$E$98,'Inputs &amp; Assumptions'!$D$116+30),0)</f>
        <v>0</v>
      </c>
      <c r="AI50" s="39" t="n">
        <f aca="false">IF(AND(('Inputs &amp; Assumptions'!$D$116+31)&gt;=1,('Inputs &amp; Assumptions'!$D$116+31)&lt;='Inputs &amp; Assumptions'!$C$13),'Inputs &amp; Assumptions'!AI$51/4*INDEX('Inputs &amp; Assumptions'!$E$70:$E$98,'Inputs &amp; Assumptions'!$D$116+31),0)</f>
        <v>0</v>
      </c>
      <c r="AJ50" s="39" t="n">
        <f aca="false">IF(AND(('Inputs &amp; Assumptions'!$D$116+32)&gt;=1,('Inputs &amp; Assumptions'!$D$116+32)&lt;='Inputs &amp; Assumptions'!$C$13),'Inputs &amp; Assumptions'!AJ$51/4*INDEX('Inputs &amp; Assumptions'!$E$70:$E$98,'Inputs &amp; Assumptions'!$D$116+32),0)</f>
        <v>0</v>
      </c>
      <c r="AK50" s="39" t="n">
        <f aca="false">IF(AND(('Inputs &amp; Assumptions'!$D$116+33)&gt;=1,('Inputs &amp; Assumptions'!$D$116+33)&lt;='Inputs &amp; Assumptions'!$C$13),'Inputs &amp; Assumptions'!AK$51/4*INDEX('Inputs &amp; Assumptions'!$E$70:$E$98,'Inputs &amp; Assumptions'!$D$116+33),0)</f>
        <v>0</v>
      </c>
      <c r="AL50" s="39" t="n">
        <f aca="false">IF(AND(('Inputs &amp; Assumptions'!$D$116+34)&gt;=1,('Inputs &amp; Assumptions'!$D$116+34)&lt;='Inputs &amp; Assumptions'!$C$13),'Inputs &amp; Assumptions'!AL$51/4*INDEX('Inputs &amp; Assumptions'!$E$70:$E$98,'Inputs &amp; Assumptions'!$D$116+34),0)</f>
        <v>0</v>
      </c>
      <c r="AM50" s="39" t="n">
        <f aca="false">IF(AND(('Inputs &amp; Assumptions'!$D$116+35)&gt;=1,('Inputs &amp; Assumptions'!$D$116+35)&lt;='Inputs &amp; Assumptions'!$C$13),'Inputs &amp; Assumptions'!AM$51/4*INDEX('Inputs &amp; Assumptions'!$E$70:$E$98,'Inputs &amp; Assumptions'!$D$116+35),0)</f>
        <v>0</v>
      </c>
      <c r="AN50" s="39" t="n">
        <f aca="false">IF(AND(('Inputs &amp; Assumptions'!$D$116+36)&gt;=1,('Inputs &amp; Assumptions'!$D$116+36)&lt;='Inputs &amp; Assumptions'!$C$13),'Inputs &amp; Assumptions'!AN$51/4*INDEX('Inputs &amp; Assumptions'!$E$70:$E$98,'Inputs &amp; Assumptions'!$D$116+36),0)</f>
        <v>0</v>
      </c>
    </row>
    <row r="51" customFormat="false" ht="15" hidden="false" customHeight="false" outlineLevel="0" collapsed="false">
      <c r="B51" s="38" t="n">
        <f aca="false">'Inputs &amp; Assumptions'!$B$117</f>
        <v>16</v>
      </c>
      <c r="E51" s="39" t="n">
        <f aca="false">IF(AND(('Inputs &amp; Assumptions'!$D$117+1)&gt;=1,('Inputs &amp; Assumptions'!$D$117+1)&lt;='Inputs &amp; Assumptions'!$C$13),'Inputs &amp; Assumptions'!E$51/4*INDEX('Inputs &amp; Assumptions'!$E$70:$E$98,'Inputs &amp; Assumptions'!$D$117+1),0)</f>
        <v>355214</v>
      </c>
      <c r="F51" s="39" t="n">
        <f aca="false">IF(AND(('Inputs &amp; Assumptions'!$D$117+2)&gt;=1,('Inputs &amp; Assumptions'!$D$117+2)&lt;='Inputs &amp; Assumptions'!$C$13),'Inputs &amp; Assumptions'!F$51/4*INDEX('Inputs &amp; Assumptions'!$E$70:$E$98,'Inputs &amp; Assumptions'!$D$117+2),0)</f>
        <v>344557.58</v>
      </c>
      <c r="G51" s="39" t="n">
        <f aca="false">IF(AND(('Inputs &amp; Assumptions'!$D$117+3)&gt;=1,('Inputs &amp; Assumptions'!$D$117+3)&lt;='Inputs &amp; Assumptions'!$C$13),'Inputs &amp; Assumptions'!G$51/4*INDEX('Inputs &amp; Assumptions'!$E$70:$E$98,'Inputs &amp; Assumptions'!$D$117+3),0)</f>
        <v>334220.8526</v>
      </c>
      <c r="H51" s="39" t="n">
        <f aca="false">IF(AND(('Inputs &amp; Assumptions'!$D$117+4)&gt;=1,('Inputs &amp; Assumptions'!$D$117+4)&lt;='Inputs &amp; Assumptions'!$C$13),'Inputs &amp; Assumptions'!H$51/4*INDEX('Inputs &amp; Assumptions'!$E$70:$E$98,'Inputs &amp; Assumptions'!$D$117+4),0)</f>
        <v>324194.227022</v>
      </c>
      <c r="I51" s="39" t="n">
        <f aca="false">IF(AND(('Inputs &amp; Assumptions'!$D$117+5)&gt;=1,('Inputs &amp; Assumptions'!$D$117+5)&lt;='Inputs &amp; Assumptions'!$C$13),'Inputs &amp; Assumptions'!I$51/4*INDEX('Inputs &amp; Assumptions'!$E$70:$E$98,'Inputs &amp; Assumptions'!$D$117+5),0)</f>
        <v>314468.40021134</v>
      </c>
      <c r="J51" s="39" t="n">
        <f aca="false">IF(AND(('Inputs &amp; Assumptions'!$D$117+6)&gt;=1,('Inputs &amp; Assumptions'!$D$117+6)&lt;='Inputs &amp; Assumptions'!$C$13),'Inputs &amp; Assumptions'!J$51/4*INDEX('Inputs &amp; Assumptions'!$E$70:$E$98,'Inputs &amp; Assumptions'!$D$117+6),0)</f>
        <v>305034.348205</v>
      </c>
      <c r="K51" s="39" t="n">
        <f aca="false">IF(AND(('Inputs &amp; Assumptions'!$D$117+7)&gt;=1,('Inputs &amp; Assumptions'!$D$117+7)&lt;='Inputs &amp; Assumptions'!$C$13),'Inputs &amp; Assumptions'!K$51/4*INDEX('Inputs &amp; Assumptions'!$E$70:$E$98,'Inputs &amp; Assumptions'!$D$117+7),0)</f>
        <v>295883.31775885</v>
      </c>
      <c r="L51" s="39" t="n">
        <f aca="false">IF(AND(('Inputs &amp; Assumptions'!$D$117+8)&gt;=1,('Inputs &amp; Assumptions'!$D$117+8)&lt;='Inputs &amp; Assumptions'!$C$13),'Inputs &amp; Assumptions'!L$51/4*INDEX('Inputs &amp; Assumptions'!$E$70:$E$98,'Inputs &amp; Assumptions'!$D$117+8),0)</f>
        <v>287006.818226084</v>
      </c>
      <c r="M51" s="39" t="n">
        <f aca="false">IF(AND(('Inputs &amp; Assumptions'!$D$117+9)&gt;=1,('Inputs &amp; Assumptions'!$D$117+9)&lt;='Inputs &amp; Assumptions'!$C$13),'Inputs &amp; Assumptions'!M$51/4*INDEX('Inputs &amp; Assumptions'!$E$70:$E$98,'Inputs &amp; Assumptions'!$D$117+9),0)</f>
        <v>278396.613679302</v>
      </c>
      <c r="N51" s="39" t="n">
        <f aca="false">IF(AND(('Inputs &amp; Assumptions'!$D$117+10)&gt;=1,('Inputs &amp; Assumptions'!$D$117+10)&lt;='Inputs &amp; Assumptions'!$C$13),'Inputs &amp; Assumptions'!N$51/4*INDEX('Inputs &amp; Assumptions'!$E$70:$E$98,'Inputs &amp; Assumptions'!$D$117+10),0)</f>
        <v>270044.715268923</v>
      </c>
      <c r="O51" s="39" t="n">
        <f aca="false">IF(AND(('Inputs &amp; Assumptions'!$D$117+11)&gt;=1,('Inputs &amp; Assumptions'!$D$117+11)&lt;='Inputs &amp; Assumptions'!$C$13),'Inputs &amp; Assumptions'!O$51/4*INDEX('Inputs &amp; Assumptions'!$E$70:$E$98,'Inputs &amp; Assumptions'!$D$117+11),0)</f>
        <v>261943.373810855</v>
      </c>
      <c r="P51" s="39" t="n">
        <f aca="false">IF(AND(('Inputs &amp; Assumptions'!$D$117+12)&gt;=1,('Inputs &amp; Assumptions'!$D$117+12)&lt;='Inputs &amp; Assumptions'!$C$13),'Inputs &amp; Assumptions'!P$51/4*INDEX('Inputs &amp; Assumptions'!$E$70:$E$98,'Inputs &amp; Assumptions'!$D$117+12),0)</f>
        <v>254085.072596529</v>
      </c>
      <c r="Q51" s="39" t="n">
        <f aca="false">IF(AND(('Inputs &amp; Assumptions'!$D$117+13)&gt;=1,('Inputs &amp; Assumptions'!$D$117+13)&lt;='Inputs &amp; Assumptions'!$C$13),'Inputs &amp; Assumptions'!Q$51/4*INDEX('Inputs &amp; Assumptions'!$E$70:$E$98,'Inputs &amp; Assumptions'!$D$117+13),0)</f>
        <v>246462.520418634</v>
      </c>
      <c r="R51" s="39" t="n">
        <f aca="false">IF(AND(('Inputs &amp; Assumptions'!$D$117+14)&gt;=1,('Inputs &amp; Assumptions'!$D$117+14)&lt;='Inputs &amp; Assumptions'!$C$13),'Inputs &amp; Assumptions'!R$51/4*INDEX('Inputs &amp; Assumptions'!$E$70:$E$98,'Inputs &amp; Assumptions'!$D$117+14),0)</f>
        <v>239068.644806075</v>
      </c>
      <c r="S51" s="39" t="n">
        <f aca="false">IF(AND(('Inputs &amp; Assumptions'!$D$117+15)&gt;=1,('Inputs &amp; Assumptions'!$D$117+15)&lt;='Inputs &amp; Assumptions'!$C$13),'Inputs &amp; Assumptions'!S$51/4*INDEX('Inputs &amp; Assumptions'!$E$70:$E$98,'Inputs &amp; Assumptions'!$D$117+15),0)</f>
        <v>231896.585461892</v>
      </c>
      <c r="T51" s="39" t="n">
        <f aca="false">IF(AND(('Inputs &amp; Assumptions'!$D$117+16)&gt;=1,('Inputs &amp; Assumptions'!$D$117+16)&lt;='Inputs &amp; Assumptions'!$C$13),'Inputs &amp; Assumptions'!T$51/4*INDEX('Inputs &amp; Assumptions'!$E$70:$E$98,'Inputs &amp; Assumptions'!$D$117+16),0)</f>
        <v>224939.687898036</v>
      </c>
      <c r="U51" s="39" t="n">
        <f aca="false">IF(AND(('Inputs &amp; Assumptions'!$D$117+17)&gt;=1,('Inputs &amp; Assumptions'!$D$117+17)&lt;='Inputs &amp; Assumptions'!$C$13),'Inputs &amp; Assumptions'!U$51/4*INDEX('Inputs &amp; Assumptions'!$E$70:$E$98,'Inputs &amp; Assumptions'!$D$117+17),0)</f>
        <v>218191.497261094</v>
      </c>
      <c r="V51" s="39" t="n">
        <f aca="false">IF(AND(('Inputs &amp; Assumptions'!$D$117+18)&gt;=1,('Inputs &amp; Assumptions'!$D$117+18)&lt;='Inputs &amp; Assumptions'!$C$13),'Inputs &amp; Assumptions'!V$51/4*INDEX('Inputs &amp; Assumptions'!$E$70:$E$98,'Inputs &amp; Assumptions'!$D$117+18),0)</f>
        <v>211645.752343262</v>
      </c>
      <c r="W51" s="39" t="n">
        <f aca="false">IF(AND(('Inputs &amp; Assumptions'!$D$117+19)&gt;=1,('Inputs &amp; Assumptions'!$D$117+19)&lt;='Inputs &amp; Assumptions'!$C$13),'Inputs &amp; Assumptions'!W$51/4*INDEX('Inputs &amp; Assumptions'!$E$70:$E$98,'Inputs &amp; Assumptions'!$D$117+19),0)</f>
        <v>205296.379772964</v>
      </c>
      <c r="X51" s="39" t="n">
        <f aca="false">IF(AND(('Inputs &amp; Assumptions'!$D$117+20)&gt;=1,('Inputs &amp; Assumptions'!$D$117+20)&lt;='Inputs &amp; Assumptions'!$C$13),'Inputs &amp; Assumptions'!X$51/4*INDEX('Inputs &amp; Assumptions'!$E$70:$E$98,'Inputs &amp; Assumptions'!$D$117+20),0)</f>
        <v>199137.488379775</v>
      </c>
      <c r="Y51" s="39" t="n">
        <f aca="false">IF(AND(('Inputs &amp; Assumptions'!$D$117+21)&gt;=1,('Inputs &amp; Assumptions'!$D$117+21)&lt;='Inputs &amp; Assumptions'!$C$13),'Inputs &amp; Assumptions'!Y$51/4*INDEX('Inputs &amp; Assumptions'!$E$70:$E$98,'Inputs &amp; Assumptions'!$D$117+21),0)</f>
        <v>193163.363728382</v>
      </c>
      <c r="Z51" s="39" t="n">
        <f aca="false">IF(AND(('Inputs &amp; Assumptions'!$D$117+22)&gt;=1,('Inputs &amp; Assumptions'!$D$117+22)&lt;='Inputs &amp; Assumptions'!$C$13),'Inputs &amp; Assumptions'!Z$51/4*INDEX('Inputs &amp; Assumptions'!$E$70:$E$98,'Inputs &amp; Assumptions'!$D$117+22),0)</f>
        <v>187368.46281653</v>
      </c>
      <c r="AA51" s="39" t="n">
        <f aca="false">IF(AND(('Inputs &amp; Assumptions'!$D$117+23)&gt;=1,('Inputs &amp; Assumptions'!$D$117+23)&lt;='Inputs &amp; Assumptions'!$C$13),'Inputs &amp; Assumptions'!AA$51/4*INDEX('Inputs &amp; Assumptions'!$E$70:$E$98,'Inputs &amp; Assumptions'!$D$117+23),0)</f>
        <v>181747.408932034</v>
      </c>
      <c r="AB51" s="39" t="n">
        <f aca="false">IF(AND(('Inputs &amp; Assumptions'!$D$117+24)&gt;=1,('Inputs &amp; Assumptions'!$D$117+24)&lt;='Inputs &amp; Assumptions'!$C$13),'Inputs &amp; Assumptions'!AB$51/4*INDEX('Inputs &amp; Assumptions'!$E$70:$E$98,'Inputs &amp; Assumptions'!$D$117+24),0)</f>
        <v>0</v>
      </c>
      <c r="AC51" s="39" t="n">
        <f aca="false">IF(AND(('Inputs &amp; Assumptions'!$D$117+25)&gt;=1,('Inputs &amp; Assumptions'!$D$117+25)&lt;='Inputs &amp; Assumptions'!$C$13),'Inputs &amp; Assumptions'!AC$51/4*INDEX('Inputs &amp; Assumptions'!$E$70:$E$98,'Inputs &amp; Assumptions'!$D$117+25),0)</f>
        <v>0</v>
      </c>
      <c r="AD51" s="39" t="n">
        <f aca="false">IF(AND(('Inputs &amp; Assumptions'!$D$117+26)&gt;=1,('Inputs &amp; Assumptions'!$D$117+26)&lt;='Inputs &amp; Assumptions'!$C$13),'Inputs &amp; Assumptions'!AD$51/4*INDEX('Inputs &amp; Assumptions'!$E$70:$E$98,'Inputs &amp; Assumptions'!$D$117+26),0)</f>
        <v>0</v>
      </c>
      <c r="AE51" s="39" t="n">
        <f aca="false">IF(AND(('Inputs &amp; Assumptions'!$D$117+27)&gt;=1,('Inputs &amp; Assumptions'!$D$117+27)&lt;='Inputs &amp; Assumptions'!$C$13),'Inputs &amp; Assumptions'!AE$51/4*INDEX('Inputs &amp; Assumptions'!$E$70:$E$98,'Inputs &amp; Assumptions'!$D$117+27),0)</f>
        <v>0</v>
      </c>
      <c r="AF51" s="39" t="n">
        <f aca="false">IF(AND(('Inputs &amp; Assumptions'!$D$117+28)&gt;=1,('Inputs &amp; Assumptions'!$D$117+28)&lt;='Inputs &amp; Assumptions'!$C$13),'Inputs &amp; Assumptions'!AF$51/4*INDEX('Inputs &amp; Assumptions'!$E$70:$E$98,'Inputs &amp; Assumptions'!$D$117+28),0)</f>
        <v>0</v>
      </c>
      <c r="AG51" s="39" t="n">
        <f aca="false">IF(AND(('Inputs &amp; Assumptions'!$D$117+29)&gt;=1,('Inputs &amp; Assumptions'!$D$117+29)&lt;='Inputs &amp; Assumptions'!$C$13),'Inputs &amp; Assumptions'!AG$51/4*INDEX('Inputs &amp; Assumptions'!$E$70:$E$98,'Inputs &amp; Assumptions'!$D$117+29),0)</f>
        <v>0</v>
      </c>
      <c r="AH51" s="39" t="n">
        <f aca="false">IF(AND(('Inputs &amp; Assumptions'!$D$117+30)&gt;=1,('Inputs &amp; Assumptions'!$D$117+30)&lt;='Inputs &amp; Assumptions'!$C$13),'Inputs &amp; Assumptions'!AH$51/4*INDEX('Inputs &amp; Assumptions'!$E$70:$E$98,'Inputs &amp; Assumptions'!$D$117+30),0)</f>
        <v>0</v>
      </c>
      <c r="AI51" s="39" t="n">
        <f aca="false">IF(AND(('Inputs &amp; Assumptions'!$D$117+31)&gt;=1,('Inputs &amp; Assumptions'!$D$117+31)&lt;='Inputs &amp; Assumptions'!$C$13),'Inputs &amp; Assumptions'!AI$51/4*INDEX('Inputs &amp; Assumptions'!$E$70:$E$98,'Inputs &amp; Assumptions'!$D$117+31),0)</f>
        <v>0</v>
      </c>
      <c r="AJ51" s="39" t="n">
        <f aca="false">IF(AND(('Inputs &amp; Assumptions'!$D$117+32)&gt;=1,('Inputs &amp; Assumptions'!$D$117+32)&lt;='Inputs &amp; Assumptions'!$C$13),'Inputs &amp; Assumptions'!AJ$51/4*INDEX('Inputs &amp; Assumptions'!$E$70:$E$98,'Inputs &amp; Assumptions'!$D$117+32),0)</f>
        <v>0</v>
      </c>
      <c r="AK51" s="39" t="n">
        <f aca="false">IF(AND(('Inputs &amp; Assumptions'!$D$117+33)&gt;=1,('Inputs &amp; Assumptions'!$D$117+33)&lt;='Inputs &amp; Assumptions'!$C$13),'Inputs &amp; Assumptions'!AK$51/4*INDEX('Inputs &amp; Assumptions'!$E$70:$E$98,'Inputs &amp; Assumptions'!$D$117+33),0)</f>
        <v>0</v>
      </c>
      <c r="AL51" s="39" t="n">
        <f aca="false">IF(AND(('Inputs &amp; Assumptions'!$D$117+34)&gt;=1,('Inputs &amp; Assumptions'!$D$117+34)&lt;='Inputs &amp; Assumptions'!$C$13),'Inputs &amp; Assumptions'!AL$51/4*INDEX('Inputs &amp; Assumptions'!$E$70:$E$98,'Inputs &amp; Assumptions'!$D$117+34),0)</f>
        <v>0</v>
      </c>
      <c r="AM51" s="39" t="n">
        <f aca="false">IF(AND(('Inputs &amp; Assumptions'!$D$117+35)&gt;=1,('Inputs &amp; Assumptions'!$D$117+35)&lt;='Inputs &amp; Assumptions'!$C$13),'Inputs &amp; Assumptions'!AM$51/4*INDEX('Inputs &amp; Assumptions'!$E$70:$E$98,'Inputs &amp; Assumptions'!$D$117+35),0)</f>
        <v>0</v>
      </c>
      <c r="AN51" s="39" t="n">
        <f aca="false">IF(AND(('Inputs &amp; Assumptions'!$D$117+36)&gt;=1,('Inputs &amp; Assumptions'!$D$117+36)&lt;='Inputs &amp; Assumptions'!$C$13),'Inputs &amp; Assumptions'!AN$51/4*INDEX('Inputs &amp; Assumptions'!$E$70:$E$98,'Inputs &amp; Assumptions'!$D$117+36),0)</f>
        <v>0</v>
      </c>
    </row>
    <row r="52" customFormat="false" ht="15" hidden="false" customHeight="false" outlineLevel="0" collapsed="false">
      <c r="B52" s="38" t="n">
        <f aca="false">'Inputs &amp; Assumptions'!$B$118</f>
        <v>17</v>
      </c>
      <c r="E52" s="39" t="n">
        <f aca="false">IF(AND(('Inputs &amp; Assumptions'!$D$118+1)&gt;=1,('Inputs &amp; Assumptions'!$D$118+1)&lt;='Inputs &amp; Assumptions'!$C$13),'Inputs &amp; Assumptions'!E$51/4*INDEX('Inputs &amp; Assumptions'!$E$70:$E$98,'Inputs &amp; Assumptions'!$D$118+1),0)</f>
        <v>344557.58</v>
      </c>
      <c r="F52" s="39" t="n">
        <f aca="false">IF(AND(('Inputs &amp; Assumptions'!$D$118+2)&gt;=1,('Inputs &amp; Assumptions'!$D$118+2)&lt;='Inputs &amp; Assumptions'!$C$13),'Inputs &amp; Assumptions'!F$51/4*INDEX('Inputs &amp; Assumptions'!$E$70:$E$98,'Inputs &amp; Assumptions'!$D$118+2),0)</f>
        <v>334220.8526</v>
      </c>
      <c r="G52" s="39" t="n">
        <f aca="false">IF(AND(('Inputs &amp; Assumptions'!$D$118+3)&gt;=1,('Inputs &amp; Assumptions'!$D$118+3)&lt;='Inputs &amp; Assumptions'!$C$13),'Inputs &amp; Assumptions'!G$51/4*INDEX('Inputs &amp; Assumptions'!$E$70:$E$98,'Inputs &amp; Assumptions'!$D$118+3),0)</f>
        <v>324194.227022</v>
      </c>
      <c r="H52" s="39" t="n">
        <f aca="false">IF(AND(('Inputs &amp; Assumptions'!$D$118+4)&gt;=1,('Inputs &amp; Assumptions'!$D$118+4)&lt;='Inputs &amp; Assumptions'!$C$13),'Inputs &amp; Assumptions'!H$51/4*INDEX('Inputs &amp; Assumptions'!$E$70:$E$98,'Inputs &amp; Assumptions'!$D$118+4),0)</f>
        <v>314468.40021134</v>
      </c>
      <c r="I52" s="39" t="n">
        <f aca="false">IF(AND(('Inputs &amp; Assumptions'!$D$118+5)&gt;=1,('Inputs &amp; Assumptions'!$D$118+5)&lt;='Inputs &amp; Assumptions'!$C$13),'Inputs &amp; Assumptions'!I$51/4*INDEX('Inputs &amp; Assumptions'!$E$70:$E$98,'Inputs &amp; Assumptions'!$D$118+5),0)</f>
        <v>305034.348205</v>
      </c>
      <c r="J52" s="39" t="n">
        <f aca="false">IF(AND(('Inputs &amp; Assumptions'!$D$118+6)&gt;=1,('Inputs &amp; Assumptions'!$D$118+6)&lt;='Inputs &amp; Assumptions'!$C$13),'Inputs &amp; Assumptions'!J$51/4*INDEX('Inputs &amp; Assumptions'!$E$70:$E$98,'Inputs &amp; Assumptions'!$D$118+6),0)</f>
        <v>295883.31775885</v>
      </c>
      <c r="K52" s="39" t="n">
        <f aca="false">IF(AND(('Inputs &amp; Assumptions'!$D$118+7)&gt;=1,('Inputs &amp; Assumptions'!$D$118+7)&lt;='Inputs &amp; Assumptions'!$C$13),'Inputs &amp; Assumptions'!K$51/4*INDEX('Inputs &amp; Assumptions'!$E$70:$E$98,'Inputs &amp; Assumptions'!$D$118+7),0)</f>
        <v>287006.818226084</v>
      </c>
      <c r="L52" s="39" t="n">
        <f aca="false">IF(AND(('Inputs &amp; Assumptions'!$D$118+8)&gt;=1,('Inputs &amp; Assumptions'!$D$118+8)&lt;='Inputs &amp; Assumptions'!$C$13),'Inputs &amp; Assumptions'!L$51/4*INDEX('Inputs &amp; Assumptions'!$E$70:$E$98,'Inputs &amp; Assumptions'!$D$118+8),0)</f>
        <v>278396.613679302</v>
      </c>
      <c r="M52" s="39" t="n">
        <f aca="false">IF(AND(('Inputs &amp; Assumptions'!$D$118+9)&gt;=1,('Inputs &amp; Assumptions'!$D$118+9)&lt;='Inputs &amp; Assumptions'!$C$13),'Inputs &amp; Assumptions'!M$51/4*INDEX('Inputs &amp; Assumptions'!$E$70:$E$98,'Inputs &amp; Assumptions'!$D$118+9),0)</f>
        <v>270044.715268923</v>
      </c>
      <c r="N52" s="39" t="n">
        <f aca="false">IF(AND(('Inputs &amp; Assumptions'!$D$118+10)&gt;=1,('Inputs &amp; Assumptions'!$D$118+10)&lt;='Inputs &amp; Assumptions'!$C$13),'Inputs &amp; Assumptions'!N$51/4*INDEX('Inputs &amp; Assumptions'!$E$70:$E$98,'Inputs &amp; Assumptions'!$D$118+10),0)</f>
        <v>261943.373810855</v>
      </c>
      <c r="O52" s="39" t="n">
        <f aca="false">IF(AND(('Inputs &amp; Assumptions'!$D$118+11)&gt;=1,('Inputs &amp; Assumptions'!$D$118+11)&lt;='Inputs &amp; Assumptions'!$C$13),'Inputs &amp; Assumptions'!O$51/4*INDEX('Inputs &amp; Assumptions'!$E$70:$E$98,'Inputs &amp; Assumptions'!$D$118+11),0)</f>
        <v>254085.072596529</v>
      </c>
      <c r="P52" s="39" t="n">
        <f aca="false">IF(AND(('Inputs &amp; Assumptions'!$D$118+12)&gt;=1,('Inputs &amp; Assumptions'!$D$118+12)&lt;='Inputs &amp; Assumptions'!$C$13),'Inputs &amp; Assumptions'!P$51/4*INDEX('Inputs &amp; Assumptions'!$E$70:$E$98,'Inputs &amp; Assumptions'!$D$118+12),0)</f>
        <v>246462.520418634</v>
      </c>
      <c r="Q52" s="39" t="n">
        <f aca="false">IF(AND(('Inputs &amp; Assumptions'!$D$118+13)&gt;=1,('Inputs &amp; Assumptions'!$D$118+13)&lt;='Inputs &amp; Assumptions'!$C$13),'Inputs &amp; Assumptions'!Q$51/4*INDEX('Inputs &amp; Assumptions'!$E$70:$E$98,'Inputs &amp; Assumptions'!$D$118+13),0)</f>
        <v>239068.644806075</v>
      </c>
      <c r="R52" s="39" t="n">
        <f aca="false">IF(AND(('Inputs &amp; Assumptions'!$D$118+14)&gt;=1,('Inputs &amp; Assumptions'!$D$118+14)&lt;='Inputs &amp; Assumptions'!$C$13),'Inputs &amp; Assumptions'!R$51/4*INDEX('Inputs &amp; Assumptions'!$E$70:$E$98,'Inputs &amp; Assumptions'!$D$118+14),0)</f>
        <v>231896.585461892</v>
      </c>
      <c r="S52" s="39" t="n">
        <f aca="false">IF(AND(('Inputs &amp; Assumptions'!$D$118+15)&gt;=1,('Inputs &amp; Assumptions'!$D$118+15)&lt;='Inputs &amp; Assumptions'!$C$13),'Inputs &amp; Assumptions'!S$51/4*INDEX('Inputs &amp; Assumptions'!$E$70:$E$98,'Inputs &amp; Assumptions'!$D$118+15),0)</f>
        <v>224939.687898036</v>
      </c>
      <c r="T52" s="39" t="n">
        <f aca="false">IF(AND(('Inputs &amp; Assumptions'!$D$118+16)&gt;=1,('Inputs &amp; Assumptions'!$D$118+16)&lt;='Inputs &amp; Assumptions'!$C$13),'Inputs &amp; Assumptions'!T$51/4*INDEX('Inputs &amp; Assumptions'!$E$70:$E$98,'Inputs &amp; Assumptions'!$D$118+16),0)</f>
        <v>218191.497261094</v>
      </c>
      <c r="U52" s="39" t="n">
        <f aca="false">IF(AND(('Inputs &amp; Assumptions'!$D$118+17)&gt;=1,('Inputs &amp; Assumptions'!$D$118+17)&lt;='Inputs &amp; Assumptions'!$C$13),'Inputs &amp; Assumptions'!U$51/4*INDEX('Inputs &amp; Assumptions'!$E$70:$E$98,'Inputs &amp; Assumptions'!$D$118+17),0)</f>
        <v>211645.752343262</v>
      </c>
      <c r="V52" s="39" t="n">
        <f aca="false">IF(AND(('Inputs &amp; Assumptions'!$D$118+18)&gt;=1,('Inputs &amp; Assumptions'!$D$118+18)&lt;='Inputs &amp; Assumptions'!$C$13),'Inputs &amp; Assumptions'!V$51/4*INDEX('Inputs &amp; Assumptions'!$E$70:$E$98,'Inputs &amp; Assumptions'!$D$118+18),0)</f>
        <v>205296.379772964</v>
      </c>
      <c r="W52" s="39" t="n">
        <f aca="false">IF(AND(('Inputs &amp; Assumptions'!$D$118+19)&gt;=1,('Inputs &amp; Assumptions'!$D$118+19)&lt;='Inputs &amp; Assumptions'!$C$13),'Inputs &amp; Assumptions'!W$51/4*INDEX('Inputs &amp; Assumptions'!$E$70:$E$98,'Inputs &amp; Assumptions'!$D$118+19),0)</f>
        <v>199137.488379775</v>
      </c>
      <c r="X52" s="39" t="n">
        <f aca="false">IF(AND(('Inputs &amp; Assumptions'!$D$118+20)&gt;=1,('Inputs &amp; Assumptions'!$D$118+20)&lt;='Inputs &amp; Assumptions'!$C$13),'Inputs &amp; Assumptions'!X$51/4*INDEX('Inputs &amp; Assumptions'!$E$70:$E$98,'Inputs &amp; Assumptions'!$D$118+20),0)</f>
        <v>193163.363728382</v>
      </c>
      <c r="Y52" s="39" t="n">
        <f aca="false">IF(AND(('Inputs &amp; Assumptions'!$D$118+21)&gt;=1,('Inputs &amp; Assumptions'!$D$118+21)&lt;='Inputs &amp; Assumptions'!$C$13),'Inputs &amp; Assumptions'!Y$51/4*INDEX('Inputs &amp; Assumptions'!$E$70:$E$98,'Inputs &amp; Assumptions'!$D$118+21),0)</f>
        <v>187368.46281653</v>
      </c>
      <c r="Z52" s="39" t="n">
        <f aca="false">IF(AND(('Inputs &amp; Assumptions'!$D$118+22)&gt;=1,('Inputs &amp; Assumptions'!$D$118+22)&lt;='Inputs &amp; Assumptions'!$C$13),'Inputs &amp; Assumptions'!Z$51/4*INDEX('Inputs &amp; Assumptions'!$E$70:$E$98,'Inputs &amp; Assumptions'!$D$118+22),0)</f>
        <v>181747.408932034</v>
      </c>
      <c r="AA52" s="39" t="n">
        <f aca="false">IF(AND(('Inputs &amp; Assumptions'!$D$118+23)&gt;=1,('Inputs &amp; Assumptions'!$D$118+23)&lt;='Inputs &amp; Assumptions'!$C$13),'Inputs &amp; Assumptions'!AA$51/4*INDEX('Inputs &amp; Assumptions'!$E$70:$E$98,'Inputs &amp; Assumptions'!$D$118+23),0)</f>
        <v>0</v>
      </c>
      <c r="AB52" s="39" t="n">
        <f aca="false">IF(AND(('Inputs &amp; Assumptions'!$D$118+24)&gt;=1,('Inputs &amp; Assumptions'!$D$118+24)&lt;='Inputs &amp; Assumptions'!$C$13),'Inputs &amp; Assumptions'!AB$51/4*INDEX('Inputs &amp; Assumptions'!$E$70:$E$98,'Inputs &amp; Assumptions'!$D$118+24),0)</f>
        <v>0</v>
      </c>
      <c r="AC52" s="39" t="n">
        <f aca="false">IF(AND(('Inputs &amp; Assumptions'!$D$118+25)&gt;=1,('Inputs &amp; Assumptions'!$D$118+25)&lt;='Inputs &amp; Assumptions'!$C$13),'Inputs &amp; Assumptions'!AC$51/4*INDEX('Inputs &amp; Assumptions'!$E$70:$E$98,'Inputs &amp; Assumptions'!$D$118+25),0)</f>
        <v>0</v>
      </c>
      <c r="AD52" s="39" t="n">
        <f aca="false">IF(AND(('Inputs &amp; Assumptions'!$D$118+26)&gt;=1,('Inputs &amp; Assumptions'!$D$118+26)&lt;='Inputs &amp; Assumptions'!$C$13),'Inputs &amp; Assumptions'!AD$51/4*INDEX('Inputs &amp; Assumptions'!$E$70:$E$98,'Inputs &amp; Assumptions'!$D$118+26),0)</f>
        <v>0</v>
      </c>
      <c r="AE52" s="39" t="n">
        <f aca="false">IF(AND(('Inputs &amp; Assumptions'!$D$118+27)&gt;=1,('Inputs &amp; Assumptions'!$D$118+27)&lt;='Inputs &amp; Assumptions'!$C$13),'Inputs &amp; Assumptions'!AE$51/4*INDEX('Inputs &amp; Assumptions'!$E$70:$E$98,'Inputs &amp; Assumptions'!$D$118+27),0)</f>
        <v>0</v>
      </c>
      <c r="AF52" s="39" t="n">
        <f aca="false">IF(AND(('Inputs &amp; Assumptions'!$D$118+28)&gt;=1,('Inputs &amp; Assumptions'!$D$118+28)&lt;='Inputs &amp; Assumptions'!$C$13),'Inputs &amp; Assumptions'!AF$51/4*INDEX('Inputs &amp; Assumptions'!$E$70:$E$98,'Inputs &amp; Assumptions'!$D$118+28),0)</f>
        <v>0</v>
      </c>
      <c r="AG52" s="39" t="n">
        <f aca="false">IF(AND(('Inputs &amp; Assumptions'!$D$118+29)&gt;=1,('Inputs &amp; Assumptions'!$D$118+29)&lt;='Inputs &amp; Assumptions'!$C$13),'Inputs &amp; Assumptions'!AG$51/4*INDEX('Inputs &amp; Assumptions'!$E$70:$E$98,'Inputs &amp; Assumptions'!$D$118+29),0)</f>
        <v>0</v>
      </c>
      <c r="AH52" s="39" t="n">
        <f aca="false">IF(AND(('Inputs &amp; Assumptions'!$D$118+30)&gt;=1,('Inputs &amp; Assumptions'!$D$118+30)&lt;='Inputs &amp; Assumptions'!$C$13),'Inputs &amp; Assumptions'!AH$51/4*INDEX('Inputs &amp; Assumptions'!$E$70:$E$98,'Inputs &amp; Assumptions'!$D$118+30),0)</f>
        <v>0</v>
      </c>
      <c r="AI52" s="39" t="n">
        <f aca="false">IF(AND(('Inputs &amp; Assumptions'!$D$118+31)&gt;=1,('Inputs &amp; Assumptions'!$D$118+31)&lt;='Inputs &amp; Assumptions'!$C$13),'Inputs &amp; Assumptions'!AI$51/4*INDEX('Inputs &amp; Assumptions'!$E$70:$E$98,'Inputs &amp; Assumptions'!$D$118+31),0)</f>
        <v>0</v>
      </c>
      <c r="AJ52" s="39" t="n">
        <f aca="false">IF(AND(('Inputs &amp; Assumptions'!$D$118+32)&gt;=1,('Inputs &amp; Assumptions'!$D$118+32)&lt;='Inputs &amp; Assumptions'!$C$13),'Inputs &amp; Assumptions'!AJ$51/4*INDEX('Inputs &amp; Assumptions'!$E$70:$E$98,'Inputs &amp; Assumptions'!$D$118+32),0)</f>
        <v>0</v>
      </c>
      <c r="AK52" s="39" t="n">
        <f aca="false">IF(AND(('Inputs &amp; Assumptions'!$D$118+33)&gt;=1,('Inputs &amp; Assumptions'!$D$118+33)&lt;='Inputs &amp; Assumptions'!$C$13),'Inputs &amp; Assumptions'!AK$51/4*INDEX('Inputs &amp; Assumptions'!$E$70:$E$98,'Inputs &amp; Assumptions'!$D$118+33),0)</f>
        <v>0</v>
      </c>
      <c r="AL52" s="39" t="n">
        <f aca="false">IF(AND(('Inputs &amp; Assumptions'!$D$118+34)&gt;=1,('Inputs &amp; Assumptions'!$D$118+34)&lt;='Inputs &amp; Assumptions'!$C$13),'Inputs &amp; Assumptions'!AL$51/4*INDEX('Inputs &amp; Assumptions'!$E$70:$E$98,'Inputs &amp; Assumptions'!$D$118+34),0)</f>
        <v>0</v>
      </c>
      <c r="AM52" s="39" t="n">
        <f aca="false">IF(AND(('Inputs &amp; Assumptions'!$D$118+35)&gt;=1,('Inputs &amp; Assumptions'!$D$118+35)&lt;='Inputs &amp; Assumptions'!$C$13),'Inputs &amp; Assumptions'!AM$51/4*INDEX('Inputs &amp; Assumptions'!$E$70:$E$98,'Inputs &amp; Assumptions'!$D$118+35),0)</f>
        <v>0</v>
      </c>
      <c r="AN52" s="39" t="n">
        <f aca="false">IF(AND(('Inputs &amp; Assumptions'!$D$118+36)&gt;=1,('Inputs &amp; Assumptions'!$D$118+36)&lt;='Inputs &amp; Assumptions'!$C$13),'Inputs &amp; Assumptions'!AN$51/4*INDEX('Inputs &amp; Assumptions'!$E$70:$E$98,'Inputs &amp; Assumptions'!$D$118+36),0)</f>
        <v>0</v>
      </c>
    </row>
    <row r="53" customFormat="false" ht="15" hidden="false" customHeight="false" outlineLevel="0" collapsed="false">
      <c r="B53" s="38" t="n">
        <f aca="false">'Inputs &amp; Assumptions'!$B$119</f>
        <v>18</v>
      </c>
      <c r="E53" s="39" t="n">
        <f aca="false">IF(AND(('Inputs &amp; Assumptions'!$D$119+1)&gt;=1,('Inputs &amp; Assumptions'!$D$119+1)&lt;='Inputs &amp; Assumptions'!$C$13),'Inputs &amp; Assumptions'!E$51/4*INDEX('Inputs &amp; Assumptions'!$E$70:$E$98,'Inputs &amp; Assumptions'!$D$119+1),0)</f>
        <v>344557.58</v>
      </c>
      <c r="F53" s="39" t="n">
        <f aca="false">IF(AND(('Inputs &amp; Assumptions'!$D$119+2)&gt;=1,('Inputs &amp; Assumptions'!$D$119+2)&lt;='Inputs &amp; Assumptions'!$C$13),'Inputs &amp; Assumptions'!F$51/4*INDEX('Inputs &amp; Assumptions'!$E$70:$E$98,'Inputs &amp; Assumptions'!$D$119+2),0)</f>
        <v>334220.8526</v>
      </c>
      <c r="G53" s="39" t="n">
        <f aca="false">IF(AND(('Inputs &amp; Assumptions'!$D$119+3)&gt;=1,('Inputs &amp; Assumptions'!$D$119+3)&lt;='Inputs &amp; Assumptions'!$C$13),'Inputs &amp; Assumptions'!G$51/4*INDEX('Inputs &amp; Assumptions'!$E$70:$E$98,'Inputs &amp; Assumptions'!$D$119+3),0)</f>
        <v>324194.227022</v>
      </c>
      <c r="H53" s="39" t="n">
        <f aca="false">IF(AND(('Inputs &amp; Assumptions'!$D$119+4)&gt;=1,('Inputs &amp; Assumptions'!$D$119+4)&lt;='Inputs &amp; Assumptions'!$C$13),'Inputs &amp; Assumptions'!H$51/4*INDEX('Inputs &amp; Assumptions'!$E$70:$E$98,'Inputs &amp; Assumptions'!$D$119+4),0)</f>
        <v>314468.40021134</v>
      </c>
      <c r="I53" s="39" t="n">
        <f aca="false">IF(AND(('Inputs &amp; Assumptions'!$D$119+5)&gt;=1,('Inputs &amp; Assumptions'!$D$119+5)&lt;='Inputs &amp; Assumptions'!$C$13),'Inputs &amp; Assumptions'!I$51/4*INDEX('Inputs &amp; Assumptions'!$E$70:$E$98,'Inputs &amp; Assumptions'!$D$119+5),0)</f>
        <v>305034.348205</v>
      </c>
      <c r="J53" s="39" t="n">
        <f aca="false">IF(AND(('Inputs &amp; Assumptions'!$D$119+6)&gt;=1,('Inputs &amp; Assumptions'!$D$119+6)&lt;='Inputs &amp; Assumptions'!$C$13),'Inputs &amp; Assumptions'!J$51/4*INDEX('Inputs &amp; Assumptions'!$E$70:$E$98,'Inputs &amp; Assumptions'!$D$119+6),0)</f>
        <v>295883.31775885</v>
      </c>
      <c r="K53" s="39" t="n">
        <f aca="false">IF(AND(('Inputs &amp; Assumptions'!$D$119+7)&gt;=1,('Inputs &amp; Assumptions'!$D$119+7)&lt;='Inputs &amp; Assumptions'!$C$13),'Inputs &amp; Assumptions'!K$51/4*INDEX('Inputs &amp; Assumptions'!$E$70:$E$98,'Inputs &amp; Assumptions'!$D$119+7),0)</f>
        <v>287006.818226084</v>
      </c>
      <c r="L53" s="39" t="n">
        <f aca="false">IF(AND(('Inputs &amp; Assumptions'!$D$119+8)&gt;=1,('Inputs &amp; Assumptions'!$D$119+8)&lt;='Inputs &amp; Assumptions'!$C$13),'Inputs &amp; Assumptions'!L$51/4*INDEX('Inputs &amp; Assumptions'!$E$70:$E$98,'Inputs &amp; Assumptions'!$D$119+8),0)</f>
        <v>278396.613679302</v>
      </c>
      <c r="M53" s="39" t="n">
        <f aca="false">IF(AND(('Inputs &amp; Assumptions'!$D$119+9)&gt;=1,('Inputs &amp; Assumptions'!$D$119+9)&lt;='Inputs &amp; Assumptions'!$C$13),'Inputs &amp; Assumptions'!M$51/4*INDEX('Inputs &amp; Assumptions'!$E$70:$E$98,'Inputs &amp; Assumptions'!$D$119+9),0)</f>
        <v>270044.715268923</v>
      </c>
      <c r="N53" s="39" t="n">
        <f aca="false">IF(AND(('Inputs &amp; Assumptions'!$D$119+10)&gt;=1,('Inputs &amp; Assumptions'!$D$119+10)&lt;='Inputs &amp; Assumptions'!$C$13),'Inputs &amp; Assumptions'!N$51/4*INDEX('Inputs &amp; Assumptions'!$E$70:$E$98,'Inputs &amp; Assumptions'!$D$119+10),0)</f>
        <v>261943.373810855</v>
      </c>
      <c r="O53" s="39" t="n">
        <f aca="false">IF(AND(('Inputs &amp; Assumptions'!$D$119+11)&gt;=1,('Inputs &amp; Assumptions'!$D$119+11)&lt;='Inputs &amp; Assumptions'!$C$13),'Inputs &amp; Assumptions'!O$51/4*INDEX('Inputs &amp; Assumptions'!$E$70:$E$98,'Inputs &amp; Assumptions'!$D$119+11),0)</f>
        <v>254085.072596529</v>
      </c>
      <c r="P53" s="39" t="n">
        <f aca="false">IF(AND(('Inputs &amp; Assumptions'!$D$119+12)&gt;=1,('Inputs &amp; Assumptions'!$D$119+12)&lt;='Inputs &amp; Assumptions'!$C$13),'Inputs &amp; Assumptions'!P$51/4*INDEX('Inputs &amp; Assumptions'!$E$70:$E$98,'Inputs &amp; Assumptions'!$D$119+12),0)</f>
        <v>246462.520418634</v>
      </c>
      <c r="Q53" s="39" t="n">
        <f aca="false">IF(AND(('Inputs &amp; Assumptions'!$D$119+13)&gt;=1,('Inputs &amp; Assumptions'!$D$119+13)&lt;='Inputs &amp; Assumptions'!$C$13),'Inputs &amp; Assumptions'!Q$51/4*INDEX('Inputs &amp; Assumptions'!$E$70:$E$98,'Inputs &amp; Assumptions'!$D$119+13),0)</f>
        <v>239068.644806075</v>
      </c>
      <c r="R53" s="39" t="n">
        <f aca="false">IF(AND(('Inputs &amp; Assumptions'!$D$119+14)&gt;=1,('Inputs &amp; Assumptions'!$D$119+14)&lt;='Inputs &amp; Assumptions'!$C$13),'Inputs &amp; Assumptions'!R$51/4*INDEX('Inputs &amp; Assumptions'!$E$70:$E$98,'Inputs &amp; Assumptions'!$D$119+14),0)</f>
        <v>231896.585461892</v>
      </c>
      <c r="S53" s="39" t="n">
        <f aca="false">IF(AND(('Inputs &amp; Assumptions'!$D$119+15)&gt;=1,('Inputs &amp; Assumptions'!$D$119+15)&lt;='Inputs &amp; Assumptions'!$C$13),'Inputs &amp; Assumptions'!S$51/4*INDEX('Inputs &amp; Assumptions'!$E$70:$E$98,'Inputs &amp; Assumptions'!$D$119+15),0)</f>
        <v>224939.687898036</v>
      </c>
      <c r="T53" s="39" t="n">
        <f aca="false">IF(AND(('Inputs &amp; Assumptions'!$D$119+16)&gt;=1,('Inputs &amp; Assumptions'!$D$119+16)&lt;='Inputs &amp; Assumptions'!$C$13),'Inputs &amp; Assumptions'!T$51/4*INDEX('Inputs &amp; Assumptions'!$E$70:$E$98,'Inputs &amp; Assumptions'!$D$119+16),0)</f>
        <v>218191.497261094</v>
      </c>
      <c r="U53" s="39" t="n">
        <f aca="false">IF(AND(('Inputs &amp; Assumptions'!$D$119+17)&gt;=1,('Inputs &amp; Assumptions'!$D$119+17)&lt;='Inputs &amp; Assumptions'!$C$13),'Inputs &amp; Assumptions'!U$51/4*INDEX('Inputs &amp; Assumptions'!$E$70:$E$98,'Inputs &amp; Assumptions'!$D$119+17),0)</f>
        <v>211645.752343262</v>
      </c>
      <c r="V53" s="39" t="n">
        <f aca="false">IF(AND(('Inputs &amp; Assumptions'!$D$119+18)&gt;=1,('Inputs &amp; Assumptions'!$D$119+18)&lt;='Inputs &amp; Assumptions'!$C$13),'Inputs &amp; Assumptions'!V$51/4*INDEX('Inputs &amp; Assumptions'!$E$70:$E$98,'Inputs &amp; Assumptions'!$D$119+18),0)</f>
        <v>205296.379772964</v>
      </c>
      <c r="W53" s="39" t="n">
        <f aca="false">IF(AND(('Inputs &amp; Assumptions'!$D$119+19)&gt;=1,('Inputs &amp; Assumptions'!$D$119+19)&lt;='Inputs &amp; Assumptions'!$C$13),'Inputs &amp; Assumptions'!W$51/4*INDEX('Inputs &amp; Assumptions'!$E$70:$E$98,'Inputs &amp; Assumptions'!$D$119+19),0)</f>
        <v>199137.488379775</v>
      </c>
      <c r="X53" s="39" t="n">
        <f aca="false">IF(AND(('Inputs &amp; Assumptions'!$D$119+20)&gt;=1,('Inputs &amp; Assumptions'!$D$119+20)&lt;='Inputs &amp; Assumptions'!$C$13),'Inputs &amp; Assumptions'!X$51/4*INDEX('Inputs &amp; Assumptions'!$E$70:$E$98,'Inputs &amp; Assumptions'!$D$119+20),0)</f>
        <v>193163.363728382</v>
      </c>
      <c r="Y53" s="39" t="n">
        <f aca="false">IF(AND(('Inputs &amp; Assumptions'!$D$119+21)&gt;=1,('Inputs &amp; Assumptions'!$D$119+21)&lt;='Inputs &amp; Assumptions'!$C$13),'Inputs &amp; Assumptions'!Y$51/4*INDEX('Inputs &amp; Assumptions'!$E$70:$E$98,'Inputs &amp; Assumptions'!$D$119+21),0)</f>
        <v>187368.46281653</v>
      </c>
      <c r="Z53" s="39" t="n">
        <f aca="false">IF(AND(('Inputs &amp; Assumptions'!$D$119+22)&gt;=1,('Inputs &amp; Assumptions'!$D$119+22)&lt;='Inputs &amp; Assumptions'!$C$13),'Inputs &amp; Assumptions'!Z$51/4*INDEX('Inputs &amp; Assumptions'!$E$70:$E$98,'Inputs &amp; Assumptions'!$D$119+22),0)</f>
        <v>181747.408932034</v>
      </c>
      <c r="AA53" s="39" t="n">
        <f aca="false">IF(AND(('Inputs &amp; Assumptions'!$D$119+23)&gt;=1,('Inputs &amp; Assumptions'!$D$119+23)&lt;='Inputs &amp; Assumptions'!$C$13),'Inputs &amp; Assumptions'!AA$51/4*INDEX('Inputs &amp; Assumptions'!$E$70:$E$98,'Inputs &amp; Assumptions'!$D$119+23),0)</f>
        <v>0</v>
      </c>
      <c r="AB53" s="39" t="n">
        <f aca="false">IF(AND(('Inputs &amp; Assumptions'!$D$119+24)&gt;=1,('Inputs &amp; Assumptions'!$D$119+24)&lt;='Inputs &amp; Assumptions'!$C$13),'Inputs &amp; Assumptions'!AB$51/4*INDEX('Inputs &amp; Assumptions'!$E$70:$E$98,'Inputs &amp; Assumptions'!$D$119+24),0)</f>
        <v>0</v>
      </c>
      <c r="AC53" s="39" t="n">
        <f aca="false">IF(AND(('Inputs &amp; Assumptions'!$D$119+25)&gt;=1,('Inputs &amp; Assumptions'!$D$119+25)&lt;='Inputs &amp; Assumptions'!$C$13),'Inputs &amp; Assumptions'!AC$51/4*INDEX('Inputs &amp; Assumptions'!$E$70:$E$98,'Inputs &amp; Assumptions'!$D$119+25),0)</f>
        <v>0</v>
      </c>
      <c r="AD53" s="39" t="n">
        <f aca="false">IF(AND(('Inputs &amp; Assumptions'!$D$119+26)&gt;=1,('Inputs &amp; Assumptions'!$D$119+26)&lt;='Inputs &amp; Assumptions'!$C$13),'Inputs &amp; Assumptions'!AD$51/4*INDEX('Inputs &amp; Assumptions'!$E$70:$E$98,'Inputs &amp; Assumptions'!$D$119+26),0)</f>
        <v>0</v>
      </c>
      <c r="AE53" s="39" t="n">
        <f aca="false">IF(AND(('Inputs &amp; Assumptions'!$D$119+27)&gt;=1,('Inputs &amp; Assumptions'!$D$119+27)&lt;='Inputs &amp; Assumptions'!$C$13),'Inputs &amp; Assumptions'!AE$51/4*INDEX('Inputs &amp; Assumptions'!$E$70:$E$98,'Inputs &amp; Assumptions'!$D$119+27),0)</f>
        <v>0</v>
      </c>
      <c r="AF53" s="39" t="n">
        <f aca="false">IF(AND(('Inputs &amp; Assumptions'!$D$119+28)&gt;=1,('Inputs &amp; Assumptions'!$D$119+28)&lt;='Inputs &amp; Assumptions'!$C$13),'Inputs &amp; Assumptions'!AF$51/4*INDEX('Inputs &amp; Assumptions'!$E$70:$E$98,'Inputs &amp; Assumptions'!$D$119+28),0)</f>
        <v>0</v>
      </c>
      <c r="AG53" s="39" t="n">
        <f aca="false">IF(AND(('Inputs &amp; Assumptions'!$D$119+29)&gt;=1,('Inputs &amp; Assumptions'!$D$119+29)&lt;='Inputs &amp; Assumptions'!$C$13),'Inputs &amp; Assumptions'!AG$51/4*INDEX('Inputs &amp; Assumptions'!$E$70:$E$98,'Inputs &amp; Assumptions'!$D$119+29),0)</f>
        <v>0</v>
      </c>
      <c r="AH53" s="39" t="n">
        <f aca="false">IF(AND(('Inputs &amp; Assumptions'!$D$119+30)&gt;=1,('Inputs &amp; Assumptions'!$D$119+30)&lt;='Inputs &amp; Assumptions'!$C$13),'Inputs &amp; Assumptions'!AH$51/4*INDEX('Inputs &amp; Assumptions'!$E$70:$E$98,'Inputs &amp; Assumptions'!$D$119+30),0)</f>
        <v>0</v>
      </c>
      <c r="AI53" s="39" t="n">
        <f aca="false">IF(AND(('Inputs &amp; Assumptions'!$D$119+31)&gt;=1,('Inputs &amp; Assumptions'!$D$119+31)&lt;='Inputs &amp; Assumptions'!$C$13),'Inputs &amp; Assumptions'!AI$51/4*INDEX('Inputs &amp; Assumptions'!$E$70:$E$98,'Inputs &amp; Assumptions'!$D$119+31),0)</f>
        <v>0</v>
      </c>
      <c r="AJ53" s="39" t="n">
        <f aca="false">IF(AND(('Inputs &amp; Assumptions'!$D$119+32)&gt;=1,('Inputs &amp; Assumptions'!$D$119+32)&lt;='Inputs &amp; Assumptions'!$C$13),'Inputs &amp; Assumptions'!AJ$51/4*INDEX('Inputs &amp; Assumptions'!$E$70:$E$98,'Inputs &amp; Assumptions'!$D$119+32),0)</f>
        <v>0</v>
      </c>
      <c r="AK53" s="39" t="n">
        <f aca="false">IF(AND(('Inputs &amp; Assumptions'!$D$119+33)&gt;=1,('Inputs &amp; Assumptions'!$D$119+33)&lt;='Inputs &amp; Assumptions'!$C$13),'Inputs &amp; Assumptions'!AK$51/4*INDEX('Inputs &amp; Assumptions'!$E$70:$E$98,'Inputs &amp; Assumptions'!$D$119+33),0)</f>
        <v>0</v>
      </c>
      <c r="AL53" s="39" t="n">
        <f aca="false">IF(AND(('Inputs &amp; Assumptions'!$D$119+34)&gt;=1,('Inputs &amp; Assumptions'!$D$119+34)&lt;='Inputs &amp; Assumptions'!$C$13),'Inputs &amp; Assumptions'!AL$51/4*INDEX('Inputs &amp; Assumptions'!$E$70:$E$98,'Inputs &amp; Assumptions'!$D$119+34),0)</f>
        <v>0</v>
      </c>
      <c r="AM53" s="39" t="n">
        <f aca="false">IF(AND(('Inputs &amp; Assumptions'!$D$119+35)&gt;=1,('Inputs &amp; Assumptions'!$D$119+35)&lt;='Inputs &amp; Assumptions'!$C$13),'Inputs &amp; Assumptions'!AM$51/4*INDEX('Inputs &amp; Assumptions'!$E$70:$E$98,'Inputs &amp; Assumptions'!$D$119+35),0)</f>
        <v>0</v>
      </c>
      <c r="AN53" s="39" t="n">
        <f aca="false">IF(AND(('Inputs &amp; Assumptions'!$D$119+36)&gt;=1,('Inputs &amp; Assumptions'!$D$119+36)&lt;='Inputs &amp; Assumptions'!$C$13),'Inputs &amp; Assumptions'!AN$51/4*INDEX('Inputs &amp; Assumptions'!$E$70:$E$98,'Inputs &amp; Assumptions'!$D$119+36),0)</f>
        <v>0</v>
      </c>
    </row>
    <row r="54" customFormat="false" ht="15" hidden="false" customHeight="false" outlineLevel="0" collapsed="false">
      <c r="B54" s="38" t="n">
        <f aca="false">'Inputs &amp; Assumptions'!$B$120</f>
        <v>19</v>
      </c>
      <c r="E54" s="39" t="n">
        <f aca="false">IF(AND(('Inputs &amp; Assumptions'!$D$120+1)&gt;=1,('Inputs &amp; Assumptions'!$D$120+1)&lt;='Inputs &amp; Assumptions'!$C$13),'Inputs &amp; Assumptions'!E$51/4*INDEX('Inputs &amp; Assumptions'!$E$70:$E$98,'Inputs &amp; Assumptions'!$D$120+1),0)</f>
        <v>344557.58</v>
      </c>
      <c r="F54" s="39" t="n">
        <f aca="false">IF(AND(('Inputs &amp; Assumptions'!$D$120+2)&gt;=1,('Inputs &amp; Assumptions'!$D$120+2)&lt;='Inputs &amp; Assumptions'!$C$13),'Inputs &amp; Assumptions'!F$51/4*INDEX('Inputs &amp; Assumptions'!$E$70:$E$98,'Inputs &amp; Assumptions'!$D$120+2),0)</f>
        <v>334220.8526</v>
      </c>
      <c r="G54" s="39" t="n">
        <f aca="false">IF(AND(('Inputs &amp; Assumptions'!$D$120+3)&gt;=1,('Inputs &amp; Assumptions'!$D$120+3)&lt;='Inputs &amp; Assumptions'!$C$13),'Inputs &amp; Assumptions'!G$51/4*INDEX('Inputs &amp; Assumptions'!$E$70:$E$98,'Inputs &amp; Assumptions'!$D$120+3),0)</f>
        <v>324194.227022</v>
      </c>
      <c r="H54" s="39" t="n">
        <f aca="false">IF(AND(('Inputs &amp; Assumptions'!$D$120+4)&gt;=1,('Inputs &amp; Assumptions'!$D$120+4)&lt;='Inputs &amp; Assumptions'!$C$13),'Inputs &amp; Assumptions'!H$51/4*INDEX('Inputs &amp; Assumptions'!$E$70:$E$98,'Inputs &amp; Assumptions'!$D$120+4),0)</f>
        <v>314468.40021134</v>
      </c>
      <c r="I54" s="39" t="n">
        <f aca="false">IF(AND(('Inputs &amp; Assumptions'!$D$120+5)&gt;=1,('Inputs &amp; Assumptions'!$D$120+5)&lt;='Inputs &amp; Assumptions'!$C$13),'Inputs &amp; Assumptions'!I$51/4*INDEX('Inputs &amp; Assumptions'!$E$70:$E$98,'Inputs &amp; Assumptions'!$D$120+5),0)</f>
        <v>305034.348205</v>
      </c>
      <c r="J54" s="39" t="n">
        <f aca="false">IF(AND(('Inputs &amp; Assumptions'!$D$120+6)&gt;=1,('Inputs &amp; Assumptions'!$D$120+6)&lt;='Inputs &amp; Assumptions'!$C$13),'Inputs &amp; Assumptions'!J$51/4*INDEX('Inputs &amp; Assumptions'!$E$70:$E$98,'Inputs &amp; Assumptions'!$D$120+6),0)</f>
        <v>295883.31775885</v>
      </c>
      <c r="K54" s="39" t="n">
        <f aca="false">IF(AND(('Inputs &amp; Assumptions'!$D$120+7)&gt;=1,('Inputs &amp; Assumptions'!$D$120+7)&lt;='Inputs &amp; Assumptions'!$C$13),'Inputs &amp; Assumptions'!K$51/4*INDEX('Inputs &amp; Assumptions'!$E$70:$E$98,'Inputs &amp; Assumptions'!$D$120+7),0)</f>
        <v>287006.818226084</v>
      </c>
      <c r="L54" s="39" t="n">
        <f aca="false">IF(AND(('Inputs &amp; Assumptions'!$D$120+8)&gt;=1,('Inputs &amp; Assumptions'!$D$120+8)&lt;='Inputs &amp; Assumptions'!$C$13),'Inputs &amp; Assumptions'!L$51/4*INDEX('Inputs &amp; Assumptions'!$E$70:$E$98,'Inputs &amp; Assumptions'!$D$120+8),0)</f>
        <v>278396.613679302</v>
      </c>
      <c r="M54" s="39" t="n">
        <f aca="false">IF(AND(('Inputs &amp; Assumptions'!$D$120+9)&gt;=1,('Inputs &amp; Assumptions'!$D$120+9)&lt;='Inputs &amp; Assumptions'!$C$13),'Inputs &amp; Assumptions'!M$51/4*INDEX('Inputs &amp; Assumptions'!$E$70:$E$98,'Inputs &amp; Assumptions'!$D$120+9),0)</f>
        <v>270044.715268923</v>
      </c>
      <c r="N54" s="39" t="n">
        <f aca="false">IF(AND(('Inputs &amp; Assumptions'!$D$120+10)&gt;=1,('Inputs &amp; Assumptions'!$D$120+10)&lt;='Inputs &amp; Assumptions'!$C$13),'Inputs &amp; Assumptions'!N$51/4*INDEX('Inputs &amp; Assumptions'!$E$70:$E$98,'Inputs &amp; Assumptions'!$D$120+10),0)</f>
        <v>261943.373810855</v>
      </c>
      <c r="O54" s="39" t="n">
        <f aca="false">IF(AND(('Inputs &amp; Assumptions'!$D$120+11)&gt;=1,('Inputs &amp; Assumptions'!$D$120+11)&lt;='Inputs &amp; Assumptions'!$C$13),'Inputs &amp; Assumptions'!O$51/4*INDEX('Inputs &amp; Assumptions'!$E$70:$E$98,'Inputs &amp; Assumptions'!$D$120+11),0)</f>
        <v>254085.072596529</v>
      </c>
      <c r="P54" s="39" t="n">
        <f aca="false">IF(AND(('Inputs &amp; Assumptions'!$D$120+12)&gt;=1,('Inputs &amp; Assumptions'!$D$120+12)&lt;='Inputs &amp; Assumptions'!$C$13),'Inputs &amp; Assumptions'!P$51/4*INDEX('Inputs &amp; Assumptions'!$E$70:$E$98,'Inputs &amp; Assumptions'!$D$120+12),0)</f>
        <v>246462.520418634</v>
      </c>
      <c r="Q54" s="39" t="n">
        <f aca="false">IF(AND(('Inputs &amp; Assumptions'!$D$120+13)&gt;=1,('Inputs &amp; Assumptions'!$D$120+13)&lt;='Inputs &amp; Assumptions'!$C$13),'Inputs &amp; Assumptions'!Q$51/4*INDEX('Inputs &amp; Assumptions'!$E$70:$E$98,'Inputs &amp; Assumptions'!$D$120+13),0)</f>
        <v>239068.644806075</v>
      </c>
      <c r="R54" s="39" t="n">
        <f aca="false">IF(AND(('Inputs &amp; Assumptions'!$D$120+14)&gt;=1,('Inputs &amp; Assumptions'!$D$120+14)&lt;='Inputs &amp; Assumptions'!$C$13),'Inputs &amp; Assumptions'!R$51/4*INDEX('Inputs &amp; Assumptions'!$E$70:$E$98,'Inputs &amp; Assumptions'!$D$120+14),0)</f>
        <v>231896.585461892</v>
      </c>
      <c r="S54" s="39" t="n">
        <f aca="false">IF(AND(('Inputs &amp; Assumptions'!$D$120+15)&gt;=1,('Inputs &amp; Assumptions'!$D$120+15)&lt;='Inputs &amp; Assumptions'!$C$13),'Inputs &amp; Assumptions'!S$51/4*INDEX('Inputs &amp; Assumptions'!$E$70:$E$98,'Inputs &amp; Assumptions'!$D$120+15),0)</f>
        <v>224939.687898036</v>
      </c>
      <c r="T54" s="39" t="n">
        <f aca="false">IF(AND(('Inputs &amp; Assumptions'!$D$120+16)&gt;=1,('Inputs &amp; Assumptions'!$D$120+16)&lt;='Inputs &amp; Assumptions'!$C$13),'Inputs &amp; Assumptions'!T$51/4*INDEX('Inputs &amp; Assumptions'!$E$70:$E$98,'Inputs &amp; Assumptions'!$D$120+16),0)</f>
        <v>218191.497261094</v>
      </c>
      <c r="U54" s="39" t="n">
        <f aca="false">IF(AND(('Inputs &amp; Assumptions'!$D$120+17)&gt;=1,('Inputs &amp; Assumptions'!$D$120+17)&lt;='Inputs &amp; Assumptions'!$C$13),'Inputs &amp; Assumptions'!U$51/4*INDEX('Inputs &amp; Assumptions'!$E$70:$E$98,'Inputs &amp; Assumptions'!$D$120+17),0)</f>
        <v>211645.752343262</v>
      </c>
      <c r="V54" s="39" t="n">
        <f aca="false">IF(AND(('Inputs &amp; Assumptions'!$D$120+18)&gt;=1,('Inputs &amp; Assumptions'!$D$120+18)&lt;='Inputs &amp; Assumptions'!$C$13),'Inputs &amp; Assumptions'!V$51/4*INDEX('Inputs &amp; Assumptions'!$E$70:$E$98,'Inputs &amp; Assumptions'!$D$120+18),0)</f>
        <v>205296.379772964</v>
      </c>
      <c r="W54" s="39" t="n">
        <f aca="false">IF(AND(('Inputs &amp; Assumptions'!$D$120+19)&gt;=1,('Inputs &amp; Assumptions'!$D$120+19)&lt;='Inputs &amp; Assumptions'!$C$13),'Inputs &amp; Assumptions'!W$51/4*INDEX('Inputs &amp; Assumptions'!$E$70:$E$98,'Inputs &amp; Assumptions'!$D$120+19),0)</f>
        <v>199137.488379775</v>
      </c>
      <c r="X54" s="39" t="n">
        <f aca="false">IF(AND(('Inputs &amp; Assumptions'!$D$120+20)&gt;=1,('Inputs &amp; Assumptions'!$D$120+20)&lt;='Inputs &amp; Assumptions'!$C$13),'Inputs &amp; Assumptions'!X$51/4*INDEX('Inputs &amp; Assumptions'!$E$70:$E$98,'Inputs &amp; Assumptions'!$D$120+20),0)</f>
        <v>193163.363728382</v>
      </c>
      <c r="Y54" s="39" t="n">
        <f aca="false">IF(AND(('Inputs &amp; Assumptions'!$D$120+21)&gt;=1,('Inputs &amp; Assumptions'!$D$120+21)&lt;='Inputs &amp; Assumptions'!$C$13),'Inputs &amp; Assumptions'!Y$51/4*INDEX('Inputs &amp; Assumptions'!$E$70:$E$98,'Inputs &amp; Assumptions'!$D$120+21),0)</f>
        <v>187368.46281653</v>
      </c>
      <c r="Z54" s="39" t="n">
        <f aca="false">IF(AND(('Inputs &amp; Assumptions'!$D$120+22)&gt;=1,('Inputs &amp; Assumptions'!$D$120+22)&lt;='Inputs &amp; Assumptions'!$C$13),'Inputs &amp; Assumptions'!Z$51/4*INDEX('Inputs &amp; Assumptions'!$E$70:$E$98,'Inputs &amp; Assumptions'!$D$120+22),0)</f>
        <v>181747.408932034</v>
      </c>
      <c r="AA54" s="39" t="n">
        <f aca="false">IF(AND(('Inputs &amp; Assumptions'!$D$120+23)&gt;=1,('Inputs &amp; Assumptions'!$D$120+23)&lt;='Inputs &amp; Assumptions'!$C$13),'Inputs &amp; Assumptions'!AA$51/4*INDEX('Inputs &amp; Assumptions'!$E$70:$E$98,'Inputs &amp; Assumptions'!$D$120+23),0)</f>
        <v>0</v>
      </c>
      <c r="AB54" s="39" t="n">
        <f aca="false">IF(AND(('Inputs &amp; Assumptions'!$D$120+24)&gt;=1,('Inputs &amp; Assumptions'!$D$120+24)&lt;='Inputs &amp; Assumptions'!$C$13),'Inputs &amp; Assumptions'!AB$51/4*INDEX('Inputs &amp; Assumptions'!$E$70:$E$98,'Inputs &amp; Assumptions'!$D$120+24),0)</f>
        <v>0</v>
      </c>
      <c r="AC54" s="39" t="n">
        <f aca="false">IF(AND(('Inputs &amp; Assumptions'!$D$120+25)&gt;=1,('Inputs &amp; Assumptions'!$D$120+25)&lt;='Inputs &amp; Assumptions'!$C$13),'Inputs &amp; Assumptions'!AC$51/4*INDEX('Inputs &amp; Assumptions'!$E$70:$E$98,'Inputs &amp; Assumptions'!$D$120+25),0)</f>
        <v>0</v>
      </c>
      <c r="AD54" s="39" t="n">
        <f aca="false">IF(AND(('Inputs &amp; Assumptions'!$D$120+26)&gt;=1,('Inputs &amp; Assumptions'!$D$120+26)&lt;='Inputs &amp; Assumptions'!$C$13),'Inputs &amp; Assumptions'!AD$51/4*INDEX('Inputs &amp; Assumptions'!$E$70:$E$98,'Inputs &amp; Assumptions'!$D$120+26),0)</f>
        <v>0</v>
      </c>
      <c r="AE54" s="39" t="n">
        <f aca="false">IF(AND(('Inputs &amp; Assumptions'!$D$120+27)&gt;=1,('Inputs &amp; Assumptions'!$D$120+27)&lt;='Inputs &amp; Assumptions'!$C$13),'Inputs &amp; Assumptions'!AE$51/4*INDEX('Inputs &amp; Assumptions'!$E$70:$E$98,'Inputs &amp; Assumptions'!$D$120+27),0)</f>
        <v>0</v>
      </c>
      <c r="AF54" s="39" t="n">
        <f aca="false">IF(AND(('Inputs &amp; Assumptions'!$D$120+28)&gt;=1,('Inputs &amp; Assumptions'!$D$120+28)&lt;='Inputs &amp; Assumptions'!$C$13),'Inputs &amp; Assumptions'!AF$51/4*INDEX('Inputs &amp; Assumptions'!$E$70:$E$98,'Inputs &amp; Assumptions'!$D$120+28),0)</f>
        <v>0</v>
      </c>
      <c r="AG54" s="39" t="n">
        <f aca="false">IF(AND(('Inputs &amp; Assumptions'!$D$120+29)&gt;=1,('Inputs &amp; Assumptions'!$D$120+29)&lt;='Inputs &amp; Assumptions'!$C$13),'Inputs &amp; Assumptions'!AG$51/4*INDEX('Inputs &amp; Assumptions'!$E$70:$E$98,'Inputs &amp; Assumptions'!$D$120+29),0)</f>
        <v>0</v>
      </c>
      <c r="AH54" s="39" t="n">
        <f aca="false">IF(AND(('Inputs &amp; Assumptions'!$D$120+30)&gt;=1,('Inputs &amp; Assumptions'!$D$120+30)&lt;='Inputs &amp; Assumptions'!$C$13),'Inputs &amp; Assumptions'!AH$51/4*INDEX('Inputs &amp; Assumptions'!$E$70:$E$98,'Inputs &amp; Assumptions'!$D$120+30),0)</f>
        <v>0</v>
      </c>
      <c r="AI54" s="39" t="n">
        <f aca="false">IF(AND(('Inputs &amp; Assumptions'!$D$120+31)&gt;=1,('Inputs &amp; Assumptions'!$D$120+31)&lt;='Inputs &amp; Assumptions'!$C$13),'Inputs &amp; Assumptions'!AI$51/4*INDEX('Inputs &amp; Assumptions'!$E$70:$E$98,'Inputs &amp; Assumptions'!$D$120+31),0)</f>
        <v>0</v>
      </c>
      <c r="AJ54" s="39" t="n">
        <f aca="false">IF(AND(('Inputs &amp; Assumptions'!$D$120+32)&gt;=1,('Inputs &amp; Assumptions'!$D$120+32)&lt;='Inputs &amp; Assumptions'!$C$13),'Inputs &amp; Assumptions'!AJ$51/4*INDEX('Inputs &amp; Assumptions'!$E$70:$E$98,'Inputs &amp; Assumptions'!$D$120+32),0)</f>
        <v>0</v>
      </c>
      <c r="AK54" s="39" t="n">
        <f aca="false">IF(AND(('Inputs &amp; Assumptions'!$D$120+33)&gt;=1,('Inputs &amp; Assumptions'!$D$120+33)&lt;='Inputs &amp; Assumptions'!$C$13),'Inputs &amp; Assumptions'!AK$51/4*INDEX('Inputs &amp; Assumptions'!$E$70:$E$98,'Inputs &amp; Assumptions'!$D$120+33),0)</f>
        <v>0</v>
      </c>
      <c r="AL54" s="39" t="n">
        <f aca="false">IF(AND(('Inputs &amp; Assumptions'!$D$120+34)&gt;=1,('Inputs &amp; Assumptions'!$D$120+34)&lt;='Inputs &amp; Assumptions'!$C$13),'Inputs &amp; Assumptions'!AL$51/4*INDEX('Inputs &amp; Assumptions'!$E$70:$E$98,'Inputs &amp; Assumptions'!$D$120+34),0)</f>
        <v>0</v>
      </c>
      <c r="AM54" s="39" t="n">
        <f aca="false">IF(AND(('Inputs &amp; Assumptions'!$D$120+35)&gt;=1,('Inputs &amp; Assumptions'!$D$120+35)&lt;='Inputs &amp; Assumptions'!$C$13),'Inputs &amp; Assumptions'!AM$51/4*INDEX('Inputs &amp; Assumptions'!$E$70:$E$98,'Inputs &amp; Assumptions'!$D$120+35),0)</f>
        <v>0</v>
      </c>
      <c r="AN54" s="39" t="n">
        <f aca="false">IF(AND(('Inputs &amp; Assumptions'!$D$120+36)&gt;=1,('Inputs &amp; Assumptions'!$D$120+36)&lt;='Inputs &amp; Assumptions'!$C$13),'Inputs &amp; Assumptions'!AN$51/4*INDEX('Inputs &amp; Assumptions'!$E$70:$E$98,'Inputs &amp; Assumptions'!$D$120+36),0)</f>
        <v>0</v>
      </c>
    </row>
    <row r="55" customFormat="false" ht="15" hidden="false" customHeight="false" outlineLevel="0" collapsed="false">
      <c r="B55" s="38" t="n">
        <f aca="false">'Inputs &amp; Assumptions'!$B$121</f>
        <v>20</v>
      </c>
      <c r="E55" s="39" t="n">
        <f aca="false">IF(AND(('Inputs &amp; Assumptions'!$D$121+1)&gt;=1,('Inputs &amp; Assumptions'!$D$121+1)&lt;='Inputs &amp; Assumptions'!$C$13),'Inputs &amp; Assumptions'!E$51/4*INDEX('Inputs &amp; Assumptions'!$E$70:$E$98,'Inputs &amp; Assumptions'!$D$121+1),0)</f>
        <v>334220.8526</v>
      </c>
      <c r="F55" s="39" t="n">
        <f aca="false">IF(AND(('Inputs &amp; Assumptions'!$D$121+2)&gt;=1,('Inputs &amp; Assumptions'!$D$121+2)&lt;='Inputs &amp; Assumptions'!$C$13),'Inputs &amp; Assumptions'!F$51/4*INDEX('Inputs &amp; Assumptions'!$E$70:$E$98,'Inputs &amp; Assumptions'!$D$121+2),0)</f>
        <v>324194.227022</v>
      </c>
      <c r="G55" s="39" t="n">
        <f aca="false">IF(AND(('Inputs &amp; Assumptions'!$D$121+3)&gt;=1,('Inputs &amp; Assumptions'!$D$121+3)&lt;='Inputs &amp; Assumptions'!$C$13),'Inputs &amp; Assumptions'!G$51/4*INDEX('Inputs &amp; Assumptions'!$E$70:$E$98,'Inputs &amp; Assumptions'!$D$121+3),0)</f>
        <v>314468.40021134</v>
      </c>
      <c r="H55" s="39" t="n">
        <f aca="false">IF(AND(('Inputs &amp; Assumptions'!$D$121+4)&gt;=1,('Inputs &amp; Assumptions'!$D$121+4)&lt;='Inputs &amp; Assumptions'!$C$13),'Inputs &amp; Assumptions'!H$51/4*INDEX('Inputs &amp; Assumptions'!$E$70:$E$98,'Inputs &amp; Assumptions'!$D$121+4),0)</f>
        <v>305034.348205</v>
      </c>
      <c r="I55" s="39" t="n">
        <f aca="false">IF(AND(('Inputs &amp; Assumptions'!$D$121+5)&gt;=1,('Inputs &amp; Assumptions'!$D$121+5)&lt;='Inputs &amp; Assumptions'!$C$13),'Inputs &amp; Assumptions'!I$51/4*INDEX('Inputs &amp; Assumptions'!$E$70:$E$98,'Inputs &amp; Assumptions'!$D$121+5),0)</f>
        <v>295883.31775885</v>
      </c>
      <c r="J55" s="39" t="n">
        <f aca="false">IF(AND(('Inputs &amp; Assumptions'!$D$121+6)&gt;=1,('Inputs &amp; Assumptions'!$D$121+6)&lt;='Inputs &amp; Assumptions'!$C$13),'Inputs &amp; Assumptions'!J$51/4*INDEX('Inputs &amp; Assumptions'!$E$70:$E$98,'Inputs &amp; Assumptions'!$D$121+6),0)</f>
        <v>287006.818226084</v>
      </c>
      <c r="K55" s="39" t="n">
        <f aca="false">IF(AND(('Inputs &amp; Assumptions'!$D$121+7)&gt;=1,('Inputs &amp; Assumptions'!$D$121+7)&lt;='Inputs &amp; Assumptions'!$C$13),'Inputs &amp; Assumptions'!K$51/4*INDEX('Inputs &amp; Assumptions'!$E$70:$E$98,'Inputs &amp; Assumptions'!$D$121+7),0)</f>
        <v>278396.613679302</v>
      </c>
      <c r="L55" s="39" t="n">
        <f aca="false">IF(AND(('Inputs &amp; Assumptions'!$D$121+8)&gt;=1,('Inputs &amp; Assumptions'!$D$121+8)&lt;='Inputs &amp; Assumptions'!$C$13),'Inputs &amp; Assumptions'!L$51/4*INDEX('Inputs &amp; Assumptions'!$E$70:$E$98,'Inputs &amp; Assumptions'!$D$121+8),0)</f>
        <v>270044.715268923</v>
      </c>
      <c r="M55" s="39" t="n">
        <f aca="false">IF(AND(('Inputs &amp; Assumptions'!$D$121+9)&gt;=1,('Inputs &amp; Assumptions'!$D$121+9)&lt;='Inputs &amp; Assumptions'!$C$13),'Inputs &amp; Assumptions'!M$51/4*INDEX('Inputs &amp; Assumptions'!$E$70:$E$98,'Inputs &amp; Assumptions'!$D$121+9),0)</f>
        <v>261943.373810855</v>
      </c>
      <c r="N55" s="39" t="n">
        <f aca="false">IF(AND(('Inputs &amp; Assumptions'!$D$121+10)&gt;=1,('Inputs &amp; Assumptions'!$D$121+10)&lt;='Inputs &amp; Assumptions'!$C$13),'Inputs &amp; Assumptions'!N$51/4*INDEX('Inputs &amp; Assumptions'!$E$70:$E$98,'Inputs &amp; Assumptions'!$D$121+10),0)</f>
        <v>254085.072596529</v>
      </c>
      <c r="O55" s="39" t="n">
        <f aca="false">IF(AND(('Inputs &amp; Assumptions'!$D$121+11)&gt;=1,('Inputs &amp; Assumptions'!$D$121+11)&lt;='Inputs &amp; Assumptions'!$C$13),'Inputs &amp; Assumptions'!O$51/4*INDEX('Inputs &amp; Assumptions'!$E$70:$E$98,'Inputs &amp; Assumptions'!$D$121+11),0)</f>
        <v>246462.520418634</v>
      </c>
      <c r="P55" s="39" t="n">
        <f aca="false">IF(AND(('Inputs &amp; Assumptions'!$D$121+12)&gt;=1,('Inputs &amp; Assumptions'!$D$121+12)&lt;='Inputs &amp; Assumptions'!$C$13),'Inputs &amp; Assumptions'!P$51/4*INDEX('Inputs &amp; Assumptions'!$E$70:$E$98,'Inputs &amp; Assumptions'!$D$121+12),0)</f>
        <v>239068.644806075</v>
      </c>
      <c r="Q55" s="39" t="n">
        <f aca="false">IF(AND(('Inputs &amp; Assumptions'!$D$121+13)&gt;=1,('Inputs &amp; Assumptions'!$D$121+13)&lt;='Inputs &amp; Assumptions'!$C$13),'Inputs &amp; Assumptions'!Q$51/4*INDEX('Inputs &amp; Assumptions'!$E$70:$E$98,'Inputs &amp; Assumptions'!$D$121+13),0)</f>
        <v>231896.585461892</v>
      </c>
      <c r="R55" s="39" t="n">
        <f aca="false">IF(AND(('Inputs &amp; Assumptions'!$D$121+14)&gt;=1,('Inputs &amp; Assumptions'!$D$121+14)&lt;='Inputs &amp; Assumptions'!$C$13),'Inputs &amp; Assumptions'!R$51/4*INDEX('Inputs &amp; Assumptions'!$E$70:$E$98,'Inputs &amp; Assumptions'!$D$121+14),0)</f>
        <v>224939.687898036</v>
      </c>
      <c r="S55" s="39" t="n">
        <f aca="false">IF(AND(('Inputs &amp; Assumptions'!$D$121+15)&gt;=1,('Inputs &amp; Assumptions'!$D$121+15)&lt;='Inputs &amp; Assumptions'!$C$13),'Inputs &amp; Assumptions'!S$51/4*INDEX('Inputs &amp; Assumptions'!$E$70:$E$98,'Inputs &amp; Assumptions'!$D$121+15),0)</f>
        <v>218191.497261094</v>
      </c>
      <c r="T55" s="39" t="n">
        <f aca="false">IF(AND(('Inputs &amp; Assumptions'!$D$121+16)&gt;=1,('Inputs &amp; Assumptions'!$D$121+16)&lt;='Inputs &amp; Assumptions'!$C$13),'Inputs &amp; Assumptions'!T$51/4*INDEX('Inputs &amp; Assumptions'!$E$70:$E$98,'Inputs &amp; Assumptions'!$D$121+16),0)</f>
        <v>211645.752343262</v>
      </c>
      <c r="U55" s="39" t="n">
        <f aca="false">IF(AND(('Inputs &amp; Assumptions'!$D$121+17)&gt;=1,('Inputs &amp; Assumptions'!$D$121+17)&lt;='Inputs &amp; Assumptions'!$C$13),'Inputs &amp; Assumptions'!U$51/4*INDEX('Inputs &amp; Assumptions'!$E$70:$E$98,'Inputs &amp; Assumptions'!$D$121+17),0)</f>
        <v>205296.379772964</v>
      </c>
      <c r="V55" s="39" t="n">
        <f aca="false">IF(AND(('Inputs &amp; Assumptions'!$D$121+18)&gt;=1,('Inputs &amp; Assumptions'!$D$121+18)&lt;='Inputs &amp; Assumptions'!$C$13),'Inputs &amp; Assumptions'!V$51/4*INDEX('Inputs &amp; Assumptions'!$E$70:$E$98,'Inputs &amp; Assumptions'!$D$121+18),0)</f>
        <v>199137.488379775</v>
      </c>
      <c r="W55" s="39" t="n">
        <f aca="false">IF(AND(('Inputs &amp; Assumptions'!$D$121+19)&gt;=1,('Inputs &amp; Assumptions'!$D$121+19)&lt;='Inputs &amp; Assumptions'!$C$13),'Inputs &amp; Assumptions'!W$51/4*INDEX('Inputs &amp; Assumptions'!$E$70:$E$98,'Inputs &amp; Assumptions'!$D$121+19),0)</f>
        <v>193163.363728382</v>
      </c>
      <c r="X55" s="39" t="n">
        <f aca="false">IF(AND(('Inputs &amp; Assumptions'!$D$121+20)&gt;=1,('Inputs &amp; Assumptions'!$D$121+20)&lt;='Inputs &amp; Assumptions'!$C$13),'Inputs &amp; Assumptions'!X$51/4*INDEX('Inputs &amp; Assumptions'!$E$70:$E$98,'Inputs &amp; Assumptions'!$D$121+20),0)</f>
        <v>187368.46281653</v>
      </c>
      <c r="Y55" s="39" t="n">
        <f aca="false">IF(AND(('Inputs &amp; Assumptions'!$D$121+21)&gt;=1,('Inputs &amp; Assumptions'!$D$121+21)&lt;='Inputs &amp; Assumptions'!$C$13),'Inputs &amp; Assumptions'!Y$51/4*INDEX('Inputs &amp; Assumptions'!$E$70:$E$98,'Inputs &amp; Assumptions'!$D$121+21),0)</f>
        <v>181747.408932034</v>
      </c>
      <c r="Z55" s="39" t="n">
        <f aca="false">IF(AND(('Inputs &amp; Assumptions'!$D$121+22)&gt;=1,('Inputs &amp; Assumptions'!$D$121+22)&lt;='Inputs &amp; Assumptions'!$C$13),'Inputs &amp; Assumptions'!Z$51/4*INDEX('Inputs &amp; Assumptions'!$E$70:$E$98,'Inputs &amp; Assumptions'!$D$121+22),0)</f>
        <v>0</v>
      </c>
      <c r="AA55" s="39" t="n">
        <f aca="false">IF(AND(('Inputs &amp; Assumptions'!$D$121+23)&gt;=1,('Inputs &amp; Assumptions'!$D$121+23)&lt;='Inputs &amp; Assumptions'!$C$13),'Inputs &amp; Assumptions'!AA$51/4*INDEX('Inputs &amp; Assumptions'!$E$70:$E$98,'Inputs &amp; Assumptions'!$D$121+23),0)</f>
        <v>0</v>
      </c>
      <c r="AB55" s="39" t="n">
        <f aca="false">IF(AND(('Inputs &amp; Assumptions'!$D$121+24)&gt;=1,('Inputs &amp; Assumptions'!$D$121+24)&lt;='Inputs &amp; Assumptions'!$C$13),'Inputs &amp; Assumptions'!AB$51/4*INDEX('Inputs &amp; Assumptions'!$E$70:$E$98,'Inputs &amp; Assumptions'!$D$121+24),0)</f>
        <v>0</v>
      </c>
      <c r="AC55" s="39" t="n">
        <f aca="false">IF(AND(('Inputs &amp; Assumptions'!$D$121+25)&gt;=1,('Inputs &amp; Assumptions'!$D$121+25)&lt;='Inputs &amp; Assumptions'!$C$13),'Inputs &amp; Assumptions'!AC$51/4*INDEX('Inputs &amp; Assumptions'!$E$70:$E$98,'Inputs &amp; Assumptions'!$D$121+25),0)</f>
        <v>0</v>
      </c>
      <c r="AD55" s="39" t="n">
        <f aca="false">IF(AND(('Inputs &amp; Assumptions'!$D$121+26)&gt;=1,('Inputs &amp; Assumptions'!$D$121+26)&lt;='Inputs &amp; Assumptions'!$C$13),'Inputs &amp; Assumptions'!AD$51/4*INDEX('Inputs &amp; Assumptions'!$E$70:$E$98,'Inputs &amp; Assumptions'!$D$121+26),0)</f>
        <v>0</v>
      </c>
      <c r="AE55" s="39" t="n">
        <f aca="false">IF(AND(('Inputs &amp; Assumptions'!$D$121+27)&gt;=1,('Inputs &amp; Assumptions'!$D$121+27)&lt;='Inputs &amp; Assumptions'!$C$13),'Inputs &amp; Assumptions'!AE$51/4*INDEX('Inputs &amp; Assumptions'!$E$70:$E$98,'Inputs &amp; Assumptions'!$D$121+27),0)</f>
        <v>0</v>
      </c>
      <c r="AF55" s="39" t="n">
        <f aca="false">IF(AND(('Inputs &amp; Assumptions'!$D$121+28)&gt;=1,('Inputs &amp; Assumptions'!$D$121+28)&lt;='Inputs &amp; Assumptions'!$C$13),'Inputs &amp; Assumptions'!AF$51/4*INDEX('Inputs &amp; Assumptions'!$E$70:$E$98,'Inputs &amp; Assumptions'!$D$121+28),0)</f>
        <v>0</v>
      </c>
      <c r="AG55" s="39" t="n">
        <f aca="false">IF(AND(('Inputs &amp; Assumptions'!$D$121+29)&gt;=1,('Inputs &amp; Assumptions'!$D$121+29)&lt;='Inputs &amp; Assumptions'!$C$13),'Inputs &amp; Assumptions'!AG$51/4*INDEX('Inputs &amp; Assumptions'!$E$70:$E$98,'Inputs &amp; Assumptions'!$D$121+29),0)</f>
        <v>0</v>
      </c>
      <c r="AH55" s="39" t="n">
        <f aca="false">IF(AND(('Inputs &amp; Assumptions'!$D$121+30)&gt;=1,('Inputs &amp; Assumptions'!$D$121+30)&lt;='Inputs &amp; Assumptions'!$C$13),'Inputs &amp; Assumptions'!AH$51/4*INDEX('Inputs &amp; Assumptions'!$E$70:$E$98,'Inputs &amp; Assumptions'!$D$121+30),0)</f>
        <v>0</v>
      </c>
      <c r="AI55" s="39" t="n">
        <f aca="false">IF(AND(('Inputs &amp; Assumptions'!$D$121+31)&gt;=1,('Inputs &amp; Assumptions'!$D$121+31)&lt;='Inputs &amp; Assumptions'!$C$13),'Inputs &amp; Assumptions'!AI$51/4*INDEX('Inputs &amp; Assumptions'!$E$70:$E$98,'Inputs &amp; Assumptions'!$D$121+31),0)</f>
        <v>0</v>
      </c>
      <c r="AJ55" s="39" t="n">
        <f aca="false">IF(AND(('Inputs &amp; Assumptions'!$D$121+32)&gt;=1,('Inputs &amp; Assumptions'!$D$121+32)&lt;='Inputs &amp; Assumptions'!$C$13),'Inputs &amp; Assumptions'!AJ$51/4*INDEX('Inputs &amp; Assumptions'!$E$70:$E$98,'Inputs &amp; Assumptions'!$D$121+32),0)</f>
        <v>0</v>
      </c>
      <c r="AK55" s="39" t="n">
        <f aca="false">IF(AND(('Inputs &amp; Assumptions'!$D$121+33)&gt;=1,('Inputs &amp; Assumptions'!$D$121+33)&lt;='Inputs &amp; Assumptions'!$C$13),'Inputs &amp; Assumptions'!AK$51/4*INDEX('Inputs &amp; Assumptions'!$E$70:$E$98,'Inputs &amp; Assumptions'!$D$121+33),0)</f>
        <v>0</v>
      </c>
      <c r="AL55" s="39" t="n">
        <f aca="false">IF(AND(('Inputs &amp; Assumptions'!$D$121+34)&gt;=1,('Inputs &amp; Assumptions'!$D$121+34)&lt;='Inputs &amp; Assumptions'!$C$13),'Inputs &amp; Assumptions'!AL$51/4*INDEX('Inputs &amp; Assumptions'!$E$70:$E$98,'Inputs &amp; Assumptions'!$D$121+34),0)</f>
        <v>0</v>
      </c>
      <c r="AM55" s="39" t="n">
        <f aca="false">IF(AND(('Inputs &amp; Assumptions'!$D$121+35)&gt;=1,('Inputs &amp; Assumptions'!$D$121+35)&lt;='Inputs &amp; Assumptions'!$C$13),'Inputs &amp; Assumptions'!AM$51/4*INDEX('Inputs &amp; Assumptions'!$E$70:$E$98,'Inputs &amp; Assumptions'!$D$121+35),0)</f>
        <v>0</v>
      </c>
      <c r="AN55" s="39" t="n">
        <f aca="false">IF(AND(('Inputs &amp; Assumptions'!$D$121+36)&gt;=1,('Inputs &amp; Assumptions'!$D$121+36)&lt;='Inputs &amp; Assumptions'!$C$13),'Inputs &amp; Assumptions'!AN$51/4*INDEX('Inputs &amp; Assumptions'!$E$70:$E$98,'Inputs &amp; Assumptions'!$D$121+36),0)</f>
        <v>0</v>
      </c>
    </row>
    <row r="56" customFormat="false" ht="15" hidden="false" customHeight="false" outlineLevel="0" collapsed="false">
      <c r="B56" s="38" t="n">
        <f aca="false">'Inputs &amp; Assumptions'!$B$122</f>
        <v>21</v>
      </c>
      <c r="E56" s="39" t="n">
        <f aca="false">IF(AND(('Inputs &amp; Assumptions'!$D$122+1)&gt;=1,('Inputs &amp; Assumptions'!$D$122+1)&lt;='Inputs &amp; Assumptions'!$C$13),'Inputs &amp; Assumptions'!E$51/4*INDEX('Inputs &amp; Assumptions'!$E$70:$E$98,'Inputs &amp; Assumptions'!$D$122+1),0)</f>
        <v>334220.8526</v>
      </c>
      <c r="F56" s="39" t="n">
        <f aca="false">IF(AND(('Inputs &amp; Assumptions'!$D$122+2)&gt;=1,('Inputs &amp; Assumptions'!$D$122+2)&lt;='Inputs &amp; Assumptions'!$C$13),'Inputs &amp; Assumptions'!F$51/4*INDEX('Inputs &amp; Assumptions'!$E$70:$E$98,'Inputs &amp; Assumptions'!$D$122+2),0)</f>
        <v>324194.227022</v>
      </c>
      <c r="G56" s="39" t="n">
        <f aca="false">IF(AND(('Inputs &amp; Assumptions'!$D$122+3)&gt;=1,('Inputs &amp; Assumptions'!$D$122+3)&lt;='Inputs &amp; Assumptions'!$C$13),'Inputs &amp; Assumptions'!G$51/4*INDEX('Inputs &amp; Assumptions'!$E$70:$E$98,'Inputs &amp; Assumptions'!$D$122+3),0)</f>
        <v>314468.40021134</v>
      </c>
      <c r="H56" s="39" t="n">
        <f aca="false">IF(AND(('Inputs &amp; Assumptions'!$D$122+4)&gt;=1,('Inputs &amp; Assumptions'!$D$122+4)&lt;='Inputs &amp; Assumptions'!$C$13),'Inputs &amp; Assumptions'!H$51/4*INDEX('Inputs &amp; Assumptions'!$E$70:$E$98,'Inputs &amp; Assumptions'!$D$122+4),0)</f>
        <v>305034.348205</v>
      </c>
      <c r="I56" s="39" t="n">
        <f aca="false">IF(AND(('Inputs &amp; Assumptions'!$D$122+5)&gt;=1,('Inputs &amp; Assumptions'!$D$122+5)&lt;='Inputs &amp; Assumptions'!$C$13),'Inputs &amp; Assumptions'!I$51/4*INDEX('Inputs &amp; Assumptions'!$E$70:$E$98,'Inputs &amp; Assumptions'!$D$122+5),0)</f>
        <v>295883.31775885</v>
      </c>
      <c r="J56" s="39" t="n">
        <f aca="false">IF(AND(('Inputs &amp; Assumptions'!$D$122+6)&gt;=1,('Inputs &amp; Assumptions'!$D$122+6)&lt;='Inputs &amp; Assumptions'!$C$13),'Inputs &amp; Assumptions'!J$51/4*INDEX('Inputs &amp; Assumptions'!$E$70:$E$98,'Inputs &amp; Assumptions'!$D$122+6),0)</f>
        <v>287006.818226084</v>
      </c>
      <c r="K56" s="39" t="n">
        <f aca="false">IF(AND(('Inputs &amp; Assumptions'!$D$122+7)&gt;=1,('Inputs &amp; Assumptions'!$D$122+7)&lt;='Inputs &amp; Assumptions'!$C$13),'Inputs &amp; Assumptions'!K$51/4*INDEX('Inputs &amp; Assumptions'!$E$70:$E$98,'Inputs &amp; Assumptions'!$D$122+7),0)</f>
        <v>278396.613679302</v>
      </c>
      <c r="L56" s="39" t="n">
        <f aca="false">IF(AND(('Inputs &amp; Assumptions'!$D$122+8)&gt;=1,('Inputs &amp; Assumptions'!$D$122+8)&lt;='Inputs &amp; Assumptions'!$C$13),'Inputs &amp; Assumptions'!L$51/4*INDEX('Inputs &amp; Assumptions'!$E$70:$E$98,'Inputs &amp; Assumptions'!$D$122+8),0)</f>
        <v>270044.715268923</v>
      </c>
      <c r="M56" s="39" t="n">
        <f aca="false">IF(AND(('Inputs &amp; Assumptions'!$D$122+9)&gt;=1,('Inputs &amp; Assumptions'!$D$122+9)&lt;='Inputs &amp; Assumptions'!$C$13),'Inputs &amp; Assumptions'!M$51/4*INDEX('Inputs &amp; Assumptions'!$E$70:$E$98,'Inputs &amp; Assumptions'!$D$122+9),0)</f>
        <v>261943.373810855</v>
      </c>
      <c r="N56" s="39" t="n">
        <f aca="false">IF(AND(('Inputs &amp; Assumptions'!$D$122+10)&gt;=1,('Inputs &amp; Assumptions'!$D$122+10)&lt;='Inputs &amp; Assumptions'!$C$13),'Inputs &amp; Assumptions'!N$51/4*INDEX('Inputs &amp; Assumptions'!$E$70:$E$98,'Inputs &amp; Assumptions'!$D$122+10),0)</f>
        <v>254085.072596529</v>
      </c>
      <c r="O56" s="39" t="n">
        <f aca="false">IF(AND(('Inputs &amp; Assumptions'!$D$122+11)&gt;=1,('Inputs &amp; Assumptions'!$D$122+11)&lt;='Inputs &amp; Assumptions'!$C$13),'Inputs &amp; Assumptions'!O$51/4*INDEX('Inputs &amp; Assumptions'!$E$70:$E$98,'Inputs &amp; Assumptions'!$D$122+11),0)</f>
        <v>246462.520418634</v>
      </c>
      <c r="P56" s="39" t="n">
        <f aca="false">IF(AND(('Inputs &amp; Assumptions'!$D$122+12)&gt;=1,('Inputs &amp; Assumptions'!$D$122+12)&lt;='Inputs &amp; Assumptions'!$C$13),'Inputs &amp; Assumptions'!P$51/4*INDEX('Inputs &amp; Assumptions'!$E$70:$E$98,'Inputs &amp; Assumptions'!$D$122+12),0)</f>
        <v>239068.644806075</v>
      </c>
      <c r="Q56" s="39" t="n">
        <f aca="false">IF(AND(('Inputs &amp; Assumptions'!$D$122+13)&gt;=1,('Inputs &amp; Assumptions'!$D$122+13)&lt;='Inputs &amp; Assumptions'!$C$13),'Inputs &amp; Assumptions'!Q$51/4*INDEX('Inputs &amp; Assumptions'!$E$70:$E$98,'Inputs &amp; Assumptions'!$D$122+13),0)</f>
        <v>231896.585461892</v>
      </c>
      <c r="R56" s="39" t="n">
        <f aca="false">IF(AND(('Inputs &amp; Assumptions'!$D$122+14)&gt;=1,('Inputs &amp; Assumptions'!$D$122+14)&lt;='Inputs &amp; Assumptions'!$C$13),'Inputs &amp; Assumptions'!R$51/4*INDEX('Inputs &amp; Assumptions'!$E$70:$E$98,'Inputs &amp; Assumptions'!$D$122+14),0)</f>
        <v>224939.687898036</v>
      </c>
      <c r="S56" s="39" t="n">
        <f aca="false">IF(AND(('Inputs &amp; Assumptions'!$D$122+15)&gt;=1,('Inputs &amp; Assumptions'!$D$122+15)&lt;='Inputs &amp; Assumptions'!$C$13),'Inputs &amp; Assumptions'!S$51/4*INDEX('Inputs &amp; Assumptions'!$E$70:$E$98,'Inputs &amp; Assumptions'!$D$122+15),0)</f>
        <v>218191.497261094</v>
      </c>
      <c r="T56" s="39" t="n">
        <f aca="false">IF(AND(('Inputs &amp; Assumptions'!$D$122+16)&gt;=1,('Inputs &amp; Assumptions'!$D$122+16)&lt;='Inputs &amp; Assumptions'!$C$13),'Inputs &amp; Assumptions'!T$51/4*INDEX('Inputs &amp; Assumptions'!$E$70:$E$98,'Inputs &amp; Assumptions'!$D$122+16),0)</f>
        <v>211645.752343262</v>
      </c>
      <c r="U56" s="39" t="n">
        <f aca="false">IF(AND(('Inputs &amp; Assumptions'!$D$122+17)&gt;=1,('Inputs &amp; Assumptions'!$D$122+17)&lt;='Inputs &amp; Assumptions'!$C$13),'Inputs &amp; Assumptions'!U$51/4*INDEX('Inputs &amp; Assumptions'!$E$70:$E$98,'Inputs &amp; Assumptions'!$D$122+17),0)</f>
        <v>205296.379772964</v>
      </c>
      <c r="V56" s="39" t="n">
        <f aca="false">IF(AND(('Inputs &amp; Assumptions'!$D$122+18)&gt;=1,('Inputs &amp; Assumptions'!$D$122+18)&lt;='Inputs &amp; Assumptions'!$C$13),'Inputs &amp; Assumptions'!V$51/4*INDEX('Inputs &amp; Assumptions'!$E$70:$E$98,'Inputs &amp; Assumptions'!$D$122+18),0)</f>
        <v>199137.488379775</v>
      </c>
      <c r="W56" s="39" t="n">
        <f aca="false">IF(AND(('Inputs &amp; Assumptions'!$D$122+19)&gt;=1,('Inputs &amp; Assumptions'!$D$122+19)&lt;='Inputs &amp; Assumptions'!$C$13),'Inputs &amp; Assumptions'!W$51/4*INDEX('Inputs &amp; Assumptions'!$E$70:$E$98,'Inputs &amp; Assumptions'!$D$122+19),0)</f>
        <v>193163.363728382</v>
      </c>
      <c r="X56" s="39" t="n">
        <f aca="false">IF(AND(('Inputs &amp; Assumptions'!$D$122+20)&gt;=1,('Inputs &amp; Assumptions'!$D$122+20)&lt;='Inputs &amp; Assumptions'!$C$13),'Inputs &amp; Assumptions'!X$51/4*INDEX('Inputs &amp; Assumptions'!$E$70:$E$98,'Inputs &amp; Assumptions'!$D$122+20),0)</f>
        <v>187368.46281653</v>
      </c>
      <c r="Y56" s="39" t="n">
        <f aca="false">IF(AND(('Inputs &amp; Assumptions'!$D$122+21)&gt;=1,('Inputs &amp; Assumptions'!$D$122+21)&lt;='Inputs &amp; Assumptions'!$C$13),'Inputs &amp; Assumptions'!Y$51/4*INDEX('Inputs &amp; Assumptions'!$E$70:$E$98,'Inputs &amp; Assumptions'!$D$122+21),0)</f>
        <v>181747.408932034</v>
      </c>
      <c r="Z56" s="39" t="n">
        <f aca="false">IF(AND(('Inputs &amp; Assumptions'!$D$122+22)&gt;=1,('Inputs &amp; Assumptions'!$D$122+22)&lt;='Inputs &amp; Assumptions'!$C$13),'Inputs &amp; Assumptions'!Z$51/4*INDEX('Inputs &amp; Assumptions'!$E$70:$E$98,'Inputs &amp; Assumptions'!$D$122+22),0)</f>
        <v>0</v>
      </c>
      <c r="AA56" s="39" t="n">
        <f aca="false">IF(AND(('Inputs &amp; Assumptions'!$D$122+23)&gt;=1,('Inputs &amp; Assumptions'!$D$122+23)&lt;='Inputs &amp; Assumptions'!$C$13),'Inputs &amp; Assumptions'!AA$51/4*INDEX('Inputs &amp; Assumptions'!$E$70:$E$98,'Inputs &amp; Assumptions'!$D$122+23),0)</f>
        <v>0</v>
      </c>
      <c r="AB56" s="39" t="n">
        <f aca="false">IF(AND(('Inputs &amp; Assumptions'!$D$122+24)&gt;=1,('Inputs &amp; Assumptions'!$D$122+24)&lt;='Inputs &amp; Assumptions'!$C$13),'Inputs &amp; Assumptions'!AB$51/4*INDEX('Inputs &amp; Assumptions'!$E$70:$E$98,'Inputs &amp; Assumptions'!$D$122+24),0)</f>
        <v>0</v>
      </c>
      <c r="AC56" s="39" t="n">
        <f aca="false">IF(AND(('Inputs &amp; Assumptions'!$D$122+25)&gt;=1,('Inputs &amp; Assumptions'!$D$122+25)&lt;='Inputs &amp; Assumptions'!$C$13),'Inputs &amp; Assumptions'!AC$51/4*INDEX('Inputs &amp; Assumptions'!$E$70:$E$98,'Inputs &amp; Assumptions'!$D$122+25),0)</f>
        <v>0</v>
      </c>
      <c r="AD56" s="39" t="n">
        <f aca="false">IF(AND(('Inputs &amp; Assumptions'!$D$122+26)&gt;=1,('Inputs &amp; Assumptions'!$D$122+26)&lt;='Inputs &amp; Assumptions'!$C$13),'Inputs &amp; Assumptions'!AD$51/4*INDEX('Inputs &amp; Assumptions'!$E$70:$E$98,'Inputs &amp; Assumptions'!$D$122+26),0)</f>
        <v>0</v>
      </c>
      <c r="AE56" s="39" t="n">
        <f aca="false">IF(AND(('Inputs &amp; Assumptions'!$D$122+27)&gt;=1,('Inputs &amp; Assumptions'!$D$122+27)&lt;='Inputs &amp; Assumptions'!$C$13),'Inputs &amp; Assumptions'!AE$51/4*INDEX('Inputs &amp; Assumptions'!$E$70:$E$98,'Inputs &amp; Assumptions'!$D$122+27),0)</f>
        <v>0</v>
      </c>
      <c r="AF56" s="39" t="n">
        <f aca="false">IF(AND(('Inputs &amp; Assumptions'!$D$122+28)&gt;=1,('Inputs &amp; Assumptions'!$D$122+28)&lt;='Inputs &amp; Assumptions'!$C$13),'Inputs &amp; Assumptions'!AF$51/4*INDEX('Inputs &amp; Assumptions'!$E$70:$E$98,'Inputs &amp; Assumptions'!$D$122+28),0)</f>
        <v>0</v>
      </c>
      <c r="AG56" s="39" t="n">
        <f aca="false">IF(AND(('Inputs &amp; Assumptions'!$D$122+29)&gt;=1,('Inputs &amp; Assumptions'!$D$122+29)&lt;='Inputs &amp; Assumptions'!$C$13),'Inputs &amp; Assumptions'!AG$51/4*INDEX('Inputs &amp; Assumptions'!$E$70:$E$98,'Inputs &amp; Assumptions'!$D$122+29),0)</f>
        <v>0</v>
      </c>
      <c r="AH56" s="39" t="n">
        <f aca="false">IF(AND(('Inputs &amp; Assumptions'!$D$122+30)&gt;=1,('Inputs &amp; Assumptions'!$D$122+30)&lt;='Inputs &amp; Assumptions'!$C$13),'Inputs &amp; Assumptions'!AH$51/4*INDEX('Inputs &amp; Assumptions'!$E$70:$E$98,'Inputs &amp; Assumptions'!$D$122+30),0)</f>
        <v>0</v>
      </c>
      <c r="AI56" s="39" t="n">
        <f aca="false">IF(AND(('Inputs &amp; Assumptions'!$D$122+31)&gt;=1,('Inputs &amp; Assumptions'!$D$122+31)&lt;='Inputs &amp; Assumptions'!$C$13),'Inputs &amp; Assumptions'!AI$51/4*INDEX('Inputs &amp; Assumptions'!$E$70:$E$98,'Inputs &amp; Assumptions'!$D$122+31),0)</f>
        <v>0</v>
      </c>
      <c r="AJ56" s="39" t="n">
        <f aca="false">IF(AND(('Inputs &amp; Assumptions'!$D$122+32)&gt;=1,('Inputs &amp; Assumptions'!$D$122+32)&lt;='Inputs &amp; Assumptions'!$C$13),'Inputs &amp; Assumptions'!AJ$51/4*INDEX('Inputs &amp; Assumptions'!$E$70:$E$98,'Inputs &amp; Assumptions'!$D$122+32),0)</f>
        <v>0</v>
      </c>
      <c r="AK56" s="39" t="n">
        <f aca="false">IF(AND(('Inputs &amp; Assumptions'!$D$122+33)&gt;=1,('Inputs &amp; Assumptions'!$D$122+33)&lt;='Inputs &amp; Assumptions'!$C$13),'Inputs &amp; Assumptions'!AK$51/4*INDEX('Inputs &amp; Assumptions'!$E$70:$E$98,'Inputs &amp; Assumptions'!$D$122+33),0)</f>
        <v>0</v>
      </c>
      <c r="AL56" s="39" t="n">
        <f aca="false">IF(AND(('Inputs &amp; Assumptions'!$D$122+34)&gt;=1,('Inputs &amp; Assumptions'!$D$122+34)&lt;='Inputs &amp; Assumptions'!$C$13),'Inputs &amp; Assumptions'!AL$51/4*INDEX('Inputs &amp; Assumptions'!$E$70:$E$98,'Inputs &amp; Assumptions'!$D$122+34),0)</f>
        <v>0</v>
      </c>
      <c r="AM56" s="39" t="n">
        <f aca="false">IF(AND(('Inputs &amp; Assumptions'!$D$122+35)&gt;=1,('Inputs &amp; Assumptions'!$D$122+35)&lt;='Inputs &amp; Assumptions'!$C$13),'Inputs &amp; Assumptions'!AM$51/4*INDEX('Inputs &amp; Assumptions'!$E$70:$E$98,'Inputs &amp; Assumptions'!$D$122+35),0)</f>
        <v>0</v>
      </c>
      <c r="AN56" s="39" t="n">
        <f aca="false">IF(AND(('Inputs &amp; Assumptions'!$D$122+36)&gt;=1,('Inputs &amp; Assumptions'!$D$122+36)&lt;='Inputs &amp; Assumptions'!$C$13),'Inputs &amp; Assumptions'!AN$51/4*INDEX('Inputs &amp; Assumptions'!$E$70:$E$98,'Inputs &amp; Assumptions'!$D$122+36),0)</f>
        <v>0</v>
      </c>
    </row>
    <row r="57" customFormat="false" ht="15" hidden="false" customHeight="false" outlineLevel="0" collapsed="false">
      <c r="B57" s="38" t="n">
        <f aca="false">'Inputs &amp; Assumptions'!$B$123</f>
        <v>22</v>
      </c>
      <c r="E57" s="39" t="n">
        <f aca="false">IF(AND(('Inputs &amp; Assumptions'!$D$123+1)&gt;=1,('Inputs &amp; Assumptions'!$D$123+1)&lt;='Inputs &amp; Assumptions'!$C$13),'Inputs &amp; Assumptions'!E$51/4*INDEX('Inputs &amp; Assumptions'!$E$70:$E$98,'Inputs &amp; Assumptions'!$D$123+1),0)</f>
        <v>334220.8526</v>
      </c>
      <c r="F57" s="39" t="n">
        <f aca="false">IF(AND(('Inputs &amp; Assumptions'!$D$123+2)&gt;=1,('Inputs &amp; Assumptions'!$D$123+2)&lt;='Inputs &amp; Assumptions'!$C$13),'Inputs &amp; Assumptions'!F$51/4*INDEX('Inputs &amp; Assumptions'!$E$70:$E$98,'Inputs &amp; Assumptions'!$D$123+2),0)</f>
        <v>324194.227022</v>
      </c>
      <c r="G57" s="39" t="n">
        <f aca="false">IF(AND(('Inputs &amp; Assumptions'!$D$123+3)&gt;=1,('Inputs &amp; Assumptions'!$D$123+3)&lt;='Inputs &amp; Assumptions'!$C$13),'Inputs &amp; Assumptions'!G$51/4*INDEX('Inputs &amp; Assumptions'!$E$70:$E$98,'Inputs &amp; Assumptions'!$D$123+3),0)</f>
        <v>314468.40021134</v>
      </c>
      <c r="H57" s="39" t="n">
        <f aca="false">IF(AND(('Inputs &amp; Assumptions'!$D$123+4)&gt;=1,('Inputs &amp; Assumptions'!$D$123+4)&lt;='Inputs &amp; Assumptions'!$C$13),'Inputs &amp; Assumptions'!H$51/4*INDEX('Inputs &amp; Assumptions'!$E$70:$E$98,'Inputs &amp; Assumptions'!$D$123+4),0)</f>
        <v>305034.348205</v>
      </c>
      <c r="I57" s="39" t="n">
        <f aca="false">IF(AND(('Inputs &amp; Assumptions'!$D$123+5)&gt;=1,('Inputs &amp; Assumptions'!$D$123+5)&lt;='Inputs &amp; Assumptions'!$C$13),'Inputs &amp; Assumptions'!I$51/4*INDEX('Inputs &amp; Assumptions'!$E$70:$E$98,'Inputs &amp; Assumptions'!$D$123+5),0)</f>
        <v>295883.31775885</v>
      </c>
      <c r="J57" s="39" t="n">
        <f aca="false">IF(AND(('Inputs &amp; Assumptions'!$D$123+6)&gt;=1,('Inputs &amp; Assumptions'!$D$123+6)&lt;='Inputs &amp; Assumptions'!$C$13),'Inputs &amp; Assumptions'!J$51/4*INDEX('Inputs &amp; Assumptions'!$E$70:$E$98,'Inputs &amp; Assumptions'!$D$123+6),0)</f>
        <v>287006.818226084</v>
      </c>
      <c r="K57" s="39" t="n">
        <f aca="false">IF(AND(('Inputs &amp; Assumptions'!$D$123+7)&gt;=1,('Inputs &amp; Assumptions'!$D$123+7)&lt;='Inputs &amp; Assumptions'!$C$13),'Inputs &amp; Assumptions'!K$51/4*INDEX('Inputs &amp; Assumptions'!$E$70:$E$98,'Inputs &amp; Assumptions'!$D$123+7),0)</f>
        <v>278396.613679302</v>
      </c>
      <c r="L57" s="39" t="n">
        <f aca="false">IF(AND(('Inputs &amp; Assumptions'!$D$123+8)&gt;=1,('Inputs &amp; Assumptions'!$D$123+8)&lt;='Inputs &amp; Assumptions'!$C$13),'Inputs &amp; Assumptions'!L$51/4*INDEX('Inputs &amp; Assumptions'!$E$70:$E$98,'Inputs &amp; Assumptions'!$D$123+8),0)</f>
        <v>270044.715268923</v>
      </c>
      <c r="M57" s="39" t="n">
        <f aca="false">IF(AND(('Inputs &amp; Assumptions'!$D$123+9)&gt;=1,('Inputs &amp; Assumptions'!$D$123+9)&lt;='Inputs &amp; Assumptions'!$C$13),'Inputs &amp; Assumptions'!M$51/4*INDEX('Inputs &amp; Assumptions'!$E$70:$E$98,'Inputs &amp; Assumptions'!$D$123+9),0)</f>
        <v>261943.373810855</v>
      </c>
      <c r="N57" s="39" t="n">
        <f aca="false">IF(AND(('Inputs &amp; Assumptions'!$D$123+10)&gt;=1,('Inputs &amp; Assumptions'!$D$123+10)&lt;='Inputs &amp; Assumptions'!$C$13),'Inputs &amp; Assumptions'!N$51/4*INDEX('Inputs &amp; Assumptions'!$E$70:$E$98,'Inputs &amp; Assumptions'!$D$123+10),0)</f>
        <v>254085.072596529</v>
      </c>
      <c r="O57" s="39" t="n">
        <f aca="false">IF(AND(('Inputs &amp; Assumptions'!$D$123+11)&gt;=1,('Inputs &amp; Assumptions'!$D$123+11)&lt;='Inputs &amp; Assumptions'!$C$13),'Inputs &amp; Assumptions'!O$51/4*INDEX('Inputs &amp; Assumptions'!$E$70:$E$98,'Inputs &amp; Assumptions'!$D$123+11),0)</f>
        <v>246462.520418634</v>
      </c>
      <c r="P57" s="39" t="n">
        <f aca="false">IF(AND(('Inputs &amp; Assumptions'!$D$123+12)&gt;=1,('Inputs &amp; Assumptions'!$D$123+12)&lt;='Inputs &amp; Assumptions'!$C$13),'Inputs &amp; Assumptions'!P$51/4*INDEX('Inputs &amp; Assumptions'!$E$70:$E$98,'Inputs &amp; Assumptions'!$D$123+12),0)</f>
        <v>239068.644806075</v>
      </c>
      <c r="Q57" s="39" t="n">
        <f aca="false">IF(AND(('Inputs &amp; Assumptions'!$D$123+13)&gt;=1,('Inputs &amp; Assumptions'!$D$123+13)&lt;='Inputs &amp; Assumptions'!$C$13),'Inputs &amp; Assumptions'!Q$51/4*INDEX('Inputs &amp; Assumptions'!$E$70:$E$98,'Inputs &amp; Assumptions'!$D$123+13),0)</f>
        <v>231896.585461892</v>
      </c>
      <c r="R57" s="39" t="n">
        <f aca="false">IF(AND(('Inputs &amp; Assumptions'!$D$123+14)&gt;=1,('Inputs &amp; Assumptions'!$D$123+14)&lt;='Inputs &amp; Assumptions'!$C$13),'Inputs &amp; Assumptions'!R$51/4*INDEX('Inputs &amp; Assumptions'!$E$70:$E$98,'Inputs &amp; Assumptions'!$D$123+14),0)</f>
        <v>224939.687898036</v>
      </c>
      <c r="S57" s="39" t="n">
        <f aca="false">IF(AND(('Inputs &amp; Assumptions'!$D$123+15)&gt;=1,('Inputs &amp; Assumptions'!$D$123+15)&lt;='Inputs &amp; Assumptions'!$C$13),'Inputs &amp; Assumptions'!S$51/4*INDEX('Inputs &amp; Assumptions'!$E$70:$E$98,'Inputs &amp; Assumptions'!$D$123+15),0)</f>
        <v>218191.497261094</v>
      </c>
      <c r="T57" s="39" t="n">
        <f aca="false">IF(AND(('Inputs &amp; Assumptions'!$D$123+16)&gt;=1,('Inputs &amp; Assumptions'!$D$123+16)&lt;='Inputs &amp; Assumptions'!$C$13),'Inputs &amp; Assumptions'!T$51/4*INDEX('Inputs &amp; Assumptions'!$E$70:$E$98,'Inputs &amp; Assumptions'!$D$123+16),0)</f>
        <v>211645.752343262</v>
      </c>
      <c r="U57" s="39" t="n">
        <f aca="false">IF(AND(('Inputs &amp; Assumptions'!$D$123+17)&gt;=1,('Inputs &amp; Assumptions'!$D$123+17)&lt;='Inputs &amp; Assumptions'!$C$13),'Inputs &amp; Assumptions'!U$51/4*INDEX('Inputs &amp; Assumptions'!$E$70:$E$98,'Inputs &amp; Assumptions'!$D$123+17),0)</f>
        <v>205296.379772964</v>
      </c>
      <c r="V57" s="39" t="n">
        <f aca="false">IF(AND(('Inputs &amp; Assumptions'!$D$123+18)&gt;=1,('Inputs &amp; Assumptions'!$D$123+18)&lt;='Inputs &amp; Assumptions'!$C$13),'Inputs &amp; Assumptions'!V$51/4*INDEX('Inputs &amp; Assumptions'!$E$70:$E$98,'Inputs &amp; Assumptions'!$D$123+18),0)</f>
        <v>199137.488379775</v>
      </c>
      <c r="W57" s="39" t="n">
        <f aca="false">IF(AND(('Inputs &amp; Assumptions'!$D$123+19)&gt;=1,('Inputs &amp; Assumptions'!$D$123+19)&lt;='Inputs &amp; Assumptions'!$C$13),'Inputs &amp; Assumptions'!W$51/4*INDEX('Inputs &amp; Assumptions'!$E$70:$E$98,'Inputs &amp; Assumptions'!$D$123+19),0)</f>
        <v>193163.363728382</v>
      </c>
      <c r="X57" s="39" t="n">
        <f aca="false">IF(AND(('Inputs &amp; Assumptions'!$D$123+20)&gt;=1,('Inputs &amp; Assumptions'!$D$123+20)&lt;='Inputs &amp; Assumptions'!$C$13),'Inputs &amp; Assumptions'!X$51/4*INDEX('Inputs &amp; Assumptions'!$E$70:$E$98,'Inputs &amp; Assumptions'!$D$123+20),0)</f>
        <v>187368.46281653</v>
      </c>
      <c r="Y57" s="39" t="n">
        <f aca="false">IF(AND(('Inputs &amp; Assumptions'!$D$123+21)&gt;=1,('Inputs &amp; Assumptions'!$D$123+21)&lt;='Inputs &amp; Assumptions'!$C$13),'Inputs &amp; Assumptions'!Y$51/4*INDEX('Inputs &amp; Assumptions'!$E$70:$E$98,'Inputs &amp; Assumptions'!$D$123+21),0)</f>
        <v>181747.408932034</v>
      </c>
      <c r="Z57" s="39" t="n">
        <f aca="false">IF(AND(('Inputs &amp; Assumptions'!$D$123+22)&gt;=1,('Inputs &amp; Assumptions'!$D$123+22)&lt;='Inputs &amp; Assumptions'!$C$13),'Inputs &amp; Assumptions'!Z$51/4*INDEX('Inputs &amp; Assumptions'!$E$70:$E$98,'Inputs &amp; Assumptions'!$D$123+22),0)</f>
        <v>0</v>
      </c>
      <c r="AA57" s="39" t="n">
        <f aca="false">IF(AND(('Inputs &amp; Assumptions'!$D$123+23)&gt;=1,('Inputs &amp; Assumptions'!$D$123+23)&lt;='Inputs &amp; Assumptions'!$C$13),'Inputs &amp; Assumptions'!AA$51/4*INDEX('Inputs &amp; Assumptions'!$E$70:$E$98,'Inputs &amp; Assumptions'!$D$123+23),0)</f>
        <v>0</v>
      </c>
      <c r="AB57" s="39" t="n">
        <f aca="false">IF(AND(('Inputs &amp; Assumptions'!$D$123+24)&gt;=1,('Inputs &amp; Assumptions'!$D$123+24)&lt;='Inputs &amp; Assumptions'!$C$13),'Inputs &amp; Assumptions'!AB$51/4*INDEX('Inputs &amp; Assumptions'!$E$70:$E$98,'Inputs &amp; Assumptions'!$D$123+24),0)</f>
        <v>0</v>
      </c>
      <c r="AC57" s="39" t="n">
        <f aca="false">IF(AND(('Inputs &amp; Assumptions'!$D$123+25)&gt;=1,('Inputs &amp; Assumptions'!$D$123+25)&lt;='Inputs &amp; Assumptions'!$C$13),'Inputs &amp; Assumptions'!AC$51/4*INDEX('Inputs &amp; Assumptions'!$E$70:$E$98,'Inputs &amp; Assumptions'!$D$123+25),0)</f>
        <v>0</v>
      </c>
      <c r="AD57" s="39" t="n">
        <f aca="false">IF(AND(('Inputs &amp; Assumptions'!$D$123+26)&gt;=1,('Inputs &amp; Assumptions'!$D$123+26)&lt;='Inputs &amp; Assumptions'!$C$13),'Inputs &amp; Assumptions'!AD$51/4*INDEX('Inputs &amp; Assumptions'!$E$70:$E$98,'Inputs &amp; Assumptions'!$D$123+26),0)</f>
        <v>0</v>
      </c>
      <c r="AE57" s="39" t="n">
        <f aca="false">IF(AND(('Inputs &amp; Assumptions'!$D$123+27)&gt;=1,('Inputs &amp; Assumptions'!$D$123+27)&lt;='Inputs &amp; Assumptions'!$C$13),'Inputs &amp; Assumptions'!AE$51/4*INDEX('Inputs &amp; Assumptions'!$E$70:$E$98,'Inputs &amp; Assumptions'!$D$123+27),0)</f>
        <v>0</v>
      </c>
      <c r="AF57" s="39" t="n">
        <f aca="false">IF(AND(('Inputs &amp; Assumptions'!$D$123+28)&gt;=1,('Inputs &amp; Assumptions'!$D$123+28)&lt;='Inputs &amp; Assumptions'!$C$13),'Inputs &amp; Assumptions'!AF$51/4*INDEX('Inputs &amp; Assumptions'!$E$70:$E$98,'Inputs &amp; Assumptions'!$D$123+28),0)</f>
        <v>0</v>
      </c>
      <c r="AG57" s="39" t="n">
        <f aca="false">IF(AND(('Inputs &amp; Assumptions'!$D$123+29)&gt;=1,('Inputs &amp; Assumptions'!$D$123+29)&lt;='Inputs &amp; Assumptions'!$C$13),'Inputs &amp; Assumptions'!AG$51/4*INDEX('Inputs &amp; Assumptions'!$E$70:$E$98,'Inputs &amp; Assumptions'!$D$123+29),0)</f>
        <v>0</v>
      </c>
      <c r="AH57" s="39" t="n">
        <f aca="false">IF(AND(('Inputs &amp; Assumptions'!$D$123+30)&gt;=1,('Inputs &amp; Assumptions'!$D$123+30)&lt;='Inputs &amp; Assumptions'!$C$13),'Inputs &amp; Assumptions'!AH$51/4*INDEX('Inputs &amp; Assumptions'!$E$70:$E$98,'Inputs &amp; Assumptions'!$D$123+30),0)</f>
        <v>0</v>
      </c>
      <c r="AI57" s="39" t="n">
        <f aca="false">IF(AND(('Inputs &amp; Assumptions'!$D$123+31)&gt;=1,('Inputs &amp; Assumptions'!$D$123+31)&lt;='Inputs &amp; Assumptions'!$C$13),'Inputs &amp; Assumptions'!AI$51/4*INDEX('Inputs &amp; Assumptions'!$E$70:$E$98,'Inputs &amp; Assumptions'!$D$123+31),0)</f>
        <v>0</v>
      </c>
      <c r="AJ57" s="39" t="n">
        <f aca="false">IF(AND(('Inputs &amp; Assumptions'!$D$123+32)&gt;=1,('Inputs &amp; Assumptions'!$D$123+32)&lt;='Inputs &amp; Assumptions'!$C$13),'Inputs &amp; Assumptions'!AJ$51/4*INDEX('Inputs &amp; Assumptions'!$E$70:$E$98,'Inputs &amp; Assumptions'!$D$123+32),0)</f>
        <v>0</v>
      </c>
      <c r="AK57" s="39" t="n">
        <f aca="false">IF(AND(('Inputs &amp; Assumptions'!$D$123+33)&gt;=1,('Inputs &amp; Assumptions'!$D$123+33)&lt;='Inputs &amp; Assumptions'!$C$13),'Inputs &amp; Assumptions'!AK$51/4*INDEX('Inputs &amp; Assumptions'!$E$70:$E$98,'Inputs &amp; Assumptions'!$D$123+33),0)</f>
        <v>0</v>
      </c>
      <c r="AL57" s="39" t="n">
        <f aca="false">IF(AND(('Inputs &amp; Assumptions'!$D$123+34)&gt;=1,('Inputs &amp; Assumptions'!$D$123+34)&lt;='Inputs &amp; Assumptions'!$C$13),'Inputs &amp; Assumptions'!AL$51/4*INDEX('Inputs &amp; Assumptions'!$E$70:$E$98,'Inputs &amp; Assumptions'!$D$123+34),0)</f>
        <v>0</v>
      </c>
      <c r="AM57" s="39" t="n">
        <f aca="false">IF(AND(('Inputs &amp; Assumptions'!$D$123+35)&gt;=1,('Inputs &amp; Assumptions'!$D$123+35)&lt;='Inputs &amp; Assumptions'!$C$13),'Inputs &amp; Assumptions'!AM$51/4*INDEX('Inputs &amp; Assumptions'!$E$70:$E$98,'Inputs &amp; Assumptions'!$D$123+35),0)</f>
        <v>0</v>
      </c>
      <c r="AN57" s="39" t="n">
        <f aca="false">IF(AND(('Inputs &amp; Assumptions'!$D$123+36)&gt;=1,('Inputs &amp; Assumptions'!$D$123+36)&lt;='Inputs &amp; Assumptions'!$C$13),'Inputs &amp; Assumptions'!AN$51/4*INDEX('Inputs &amp; Assumptions'!$E$70:$E$98,'Inputs &amp; Assumptions'!$D$123+36),0)</f>
        <v>0</v>
      </c>
    </row>
    <row r="58" customFormat="false" ht="15" hidden="false" customHeight="false" outlineLevel="0" collapsed="false">
      <c r="B58" s="38" t="n">
        <f aca="false">'Inputs &amp; Assumptions'!$B$124</f>
        <v>23</v>
      </c>
      <c r="E58" s="39" t="n">
        <f aca="false">IF(AND(('Inputs &amp; Assumptions'!$D$124+1)&gt;=1,('Inputs &amp; Assumptions'!$D$124+1)&lt;='Inputs &amp; Assumptions'!$C$13),'Inputs &amp; Assumptions'!E$51/4*INDEX('Inputs &amp; Assumptions'!$E$70:$E$98,'Inputs &amp; Assumptions'!$D$124+1),0)</f>
        <v>324194.227022</v>
      </c>
      <c r="F58" s="39" t="n">
        <f aca="false">IF(AND(('Inputs &amp; Assumptions'!$D$124+2)&gt;=1,('Inputs &amp; Assumptions'!$D$124+2)&lt;='Inputs &amp; Assumptions'!$C$13),'Inputs &amp; Assumptions'!F$51/4*INDEX('Inputs &amp; Assumptions'!$E$70:$E$98,'Inputs &amp; Assumptions'!$D$124+2),0)</f>
        <v>314468.40021134</v>
      </c>
      <c r="G58" s="39" t="n">
        <f aca="false">IF(AND(('Inputs &amp; Assumptions'!$D$124+3)&gt;=1,('Inputs &amp; Assumptions'!$D$124+3)&lt;='Inputs &amp; Assumptions'!$C$13),'Inputs &amp; Assumptions'!G$51/4*INDEX('Inputs &amp; Assumptions'!$E$70:$E$98,'Inputs &amp; Assumptions'!$D$124+3),0)</f>
        <v>305034.348205</v>
      </c>
      <c r="H58" s="39" t="n">
        <f aca="false">IF(AND(('Inputs &amp; Assumptions'!$D$124+4)&gt;=1,('Inputs &amp; Assumptions'!$D$124+4)&lt;='Inputs &amp; Assumptions'!$C$13),'Inputs &amp; Assumptions'!H$51/4*INDEX('Inputs &amp; Assumptions'!$E$70:$E$98,'Inputs &amp; Assumptions'!$D$124+4),0)</f>
        <v>295883.31775885</v>
      </c>
      <c r="I58" s="39" t="n">
        <f aca="false">IF(AND(('Inputs &amp; Assumptions'!$D$124+5)&gt;=1,('Inputs &amp; Assumptions'!$D$124+5)&lt;='Inputs &amp; Assumptions'!$C$13),'Inputs &amp; Assumptions'!I$51/4*INDEX('Inputs &amp; Assumptions'!$E$70:$E$98,'Inputs &amp; Assumptions'!$D$124+5),0)</f>
        <v>287006.818226084</v>
      </c>
      <c r="J58" s="39" t="n">
        <f aca="false">IF(AND(('Inputs &amp; Assumptions'!$D$124+6)&gt;=1,('Inputs &amp; Assumptions'!$D$124+6)&lt;='Inputs &amp; Assumptions'!$C$13),'Inputs &amp; Assumptions'!J$51/4*INDEX('Inputs &amp; Assumptions'!$E$70:$E$98,'Inputs &amp; Assumptions'!$D$124+6),0)</f>
        <v>278396.613679302</v>
      </c>
      <c r="K58" s="39" t="n">
        <f aca="false">IF(AND(('Inputs &amp; Assumptions'!$D$124+7)&gt;=1,('Inputs &amp; Assumptions'!$D$124+7)&lt;='Inputs &amp; Assumptions'!$C$13),'Inputs &amp; Assumptions'!K$51/4*INDEX('Inputs &amp; Assumptions'!$E$70:$E$98,'Inputs &amp; Assumptions'!$D$124+7),0)</f>
        <v>270044.715268923</v>
      </c>
      <c r="L58" s="39" t="n">
        <f aca="false">IF(AND(('Inputs &amp; Assumptions'!$D$124+8)&gt;=1,('Inputs &amp; Assumptions'!$D$124+8)&lt;='Inputs &amp; Assumptions'!$C$13),'Inputs &amp; Assumptions'!L$51/4*INDEX('Inputs &amp; Assumptions'!$E$70:$E$98,'Inputs &amp; Assumptions'!$D$124+8),0)</f>
        <v>261943.373810855</v>
      </c>
      <c r="M58" s="39" t="n">
        <f aca="false">IF(AND(('Inputs &amp; Assumptions'!$D$124+9)&gt;=1,('Inputs &amp; Assumptions'!$D$124+9)&lt;='Inputs &amp; Assumptions'!$C$13),'Inputs &amp; Assumptions'!M$51/4*INDEX('Inputs &amp; Assumptions'!$E$70:$E$98,'Inputs &amp; Assumptions'!$D$124+9),0)</f>
        <v>254085.072596529</v>
      </c>
      <c r="N58" s="39" t="n">
        <f aca="false">IF(AND(('Inputs &amp; Assumptions'!$D$124+10)&gt;=1,('Inputs &amp; Assumptions'!$D$124+10)&lt;='Inputs &amp; Assumptions'!$C$13),'Inputs &amp; Assumptions'!N$51/4*INDEX('Inputs &amp; Assumptions'!$E$70:$E$98,'Inputs &amp; Assumptions'!$D$124+10),0)</f>
        <v>246462.520418634</v>
      </c>
      <c r="O58" s="39" t="n">
        <f aca="false">IF(AND(('Inputs &amp; Assumptions'!$D$124+11)&gt;=1,('Inputs &amp; Assumptions'!$D$124+11)&lt;='Inputs &amp; Assumptions'!$C$13),'Inputs &amp; Assumptions'!O$51/4*INDEX('Inputs &amp; Assumptions'!$E$70:$E$98,'Inputs &amp; Assumptions'!$D$124+11),0)</f>
        <v>239068.644806075</v>
      </c>
      <c r="P58" s="39" t="n">
        <f aca="false">IF(AND(('Inputs &amp; Assumptions'!$D$124+12)&gt;=1,('Inputs &amp; Assumptions'!$D$124+12)&lt;='Inputs &amp; Assumptions'!$C$13),'Inputs &amp; Assumptions'!P$51/4*INDEX('Inputs &amp; Assumptions'!$E$70:$E$98,'Inputs &amp; Assumptions'!$D$124+12),0)</f>
        <v>231896.585461892</v>
      </c>
      <c r="Q58" s="39" t="n">
        <f aca="false">IF(AND(('Inputs &amp; Assumptions'!$D$124+13)&gt;=1,('Inputs &amp; Assumptions'!$D$124+13)&lt;='Inputs &amp; Assumptions'!$C$13),'Inputs &amp; Assumptions'!Q$51/4*INDEX('Inputs &amp; Assumptions'!$E$70:$E$98,'Inputs &amp; Assumptions'!$D$124+13),0)</f>
        <v>224939.687898036</v>
      </c>
      <c r="R58" s="39" t="n">
        <f aca="false">IF(AND(('Inputs &amp; Assumptions'!$D$124+14)&gt;=1,('Inputs &amp; Assumptions'!$D$124+14)&lt;='Inputs &amp; Assumptions'!$C$13),'Inputs &amp; Assumptions'!R$51/4*INDEX('Inputs &amp; Assumptions'!$E$70:$E$98,'Inputs &amp; Assumptions'!$D$124+14),0)</f>
        <v>218191.497261094</v>
      </c>
      <c r="S58" s="39" t="n">
        <f aca="false">IF(AND(('Inputs &amp; Assumptions'!$D$124+15)&gt;=1,('Inputs &amp; Assumptions'!$D$124+15)&lt;='Inputs &amp; Assumptions'!$C$13),'Inputs &amp; Assumptions'!S$51/4*INDEX('Inputs &amp; Assumptions'!$E$70:$E$98,'Inputs &amp; Assumptions'!$D$124+15),0)</f>
        <v>211645.752343262</v>
      </c>
      <c r="T58" s="39" t="n">
        <f aca="false">IF(AND(('Inputs &amp; Assumptions'!$D$124+16)&gt;=1,('Inputs &amp; Assumptions'!$D$124+16)&lt;='Inputs &amp; Assumptions'!$C$13),'Inputs &amp; Assumptions'!T$51/4*INDEX('Inputs &amp; Assumptions'!$E$70:$E$98,'Inputs &amp; Assumptions'!$D$124+16),0)</f>
        <v>205296.379772964</v>
      </c>
      <c r="U58" s="39" t="n">
        <f aca="false">IF(AND(('Inputs &amp; Assumptions'!$D$124+17)&gt;=1,('Inputs &amp; Assumptions'!$D$124+17)&lt;='Inputs &amp; Assumptions'!$C$13),'Inputs &amp; Assumptions'!U$51/4*INDEX('Inputs &amp; Assumptions'!$E$70:$E$98,'Inputs &amp; Assumptions'!$D$124+17),0)</f>
        <v>199137.488379775</v>
      </c>
      <c r="V58" s="39" t="n">
        <f aca="false">IF(AND(('Inputs &amp; Assumptions'!$D$124+18)&gt;=1,('Inputs &amp; Assumptions'!$D$124+18)&lt;='Inputs &amp; Assumptions'!$C$13),'Inputs &amp; Assumptions'!V$51/4*INDEX('Inputs &amp; Assumptions'!$E$70:$E$98,'Inputs &amp; Assumptions'!$D$124+18),0)</f>
        <v>193163.363728382</v>
      </c>
      <c r="W58" s="39" t="n">
        <f aca="false">IF(AND(('Inputs &amp; Assumptions'!$D$124+19)&gt;=1,('Inputs &amp; Assumptions'!$D$124+19)&lt;='Inputs &amp; Assumptions'!$C$13),'Inputs &amp; Assumptions'!W$51/4*INDEX('Inputs &amp; Assumptions'!$E$70:$E$98,'Inputs &amp; Assumptions'!$D$124+19),0)</f>
        <v>187368.46281653</v>
      </c>
      <c r="X58" s="39" t="n">
        <f aca="false">IF(AND(('Inputs &amp; Assumptions'!$D$124+20)&gt;=1,('Inputs &amp; Assumptions'!$D$124+20)&lt;='Inputs &amp; Assumptions'!$C$13),'Inputs &amp; Assumptions'!X$51/4*INDEX('Inputs &amp; Assumptions'!$E$70:$E$98,'Inputs &amp; Assumptions'!$D$124+20),0)</f>
        <v>181747.408932034</v>
      </c>
      <c r="Y58" s="39" t="n">
        <f aca="false">IF(AND(('Inputs &amp; Assumptions'!$D$124+21)&gt;=1,('Inputs &amp; Assumptions'!$D$124+21)&lt;='Inputs &amp; Assumptions'!$C$13),'Inputs &amp; Assumptions'!Y$51/4*INDEX('Inputs &amp; Assumptions'!$E$70:$E$98,'Inputs &amp; Assumptions'!$D$124+21),0)</f>
        <v>0</v>
      </c>
      <c r="Z58" s="39" t="n">
        <f aca="false">IF(AND(('Inputs &amp; Assumptions'!$D$124+22)&gt;=1,('Inputs &amp; Assumptions'!$D$124+22)&lt;='Inputs &amp; Assumptions'!$C$13),'Inputs &amp; Assumptions'!Z$51/4*INDEX('Inputs &amp; Assumptions'!$E$70:$E$98,'Inputs &amp; Assumptions'!$D$124+22),0)</f>
        <v>0</v>
      </c>
      <c r="AA58" s="39" t="n">
        <f aca="false">IF(AND(('Inputs &amp; Assumptions'!$D$124+23)&gt;=1,('Inputs &amp; Assumptions'!$D$124+23)&lt;='Inputs &amp; Assumptions'!$C$13),'Inputs &amp; Assumptions'!AA$51/4*INDEX('Inputs &amp; Assumptions'!$E$70:$E$98,'Inputs &amp; Assumptions'!$D$124+23),0)</f>
        <v>0</v>
      </c>
      <c r="AB58" s="39" t="n">
        <f aca="false">IF(AND(('Inputs &amp; Assumptions'!$D$124+24)&gt;=1,('Inputs &amp; Assumptions'!$D$124+24)&lt;='Inputs &amp; Assumptions'!$C$13),'Inputs &amp; Assumptions'!AB$51/4*INDEX('Inputs &amp; Assumptions'!$E$70:$E$98,'Inputs &amp; Assumptions'!$D$124+24),0)</f>
        <v>0</v>
      </c>
      <c r="AC58" s="39" t="n">
        <f aca="false">IF(AND(('Inputs &amp; Assumptions'!$D$124+25)&gt;=1,('Inputs &amp; Assumptions'!$D$124+25)&lt;='Inputs &amp; Assumptions'!$C$13),'Inputs &amp; Assumptions'!AC$51/4*INDEX('Inputs &amp; Assumptions'!$E$70:$E$98,'Inputs &amp; Assumptions'!$D$124+25),0)</f>
        <v>0</v>
      </c>
      <c r="AD58" s="39" t="n">
        <f aca="false">IF(AND(('Inputs &amp; Assumptions'!$D$124+26)&gt;=1,('Inputs &amp; Assumptions'!$D$124+26)&lt;='Inputs &amp; Assumptions'!$C$13),'Inputs &amp; Assumptions'!AD$51/4*INDEX('Inputs &amp; Assumptions'!$E$70:$E$98,'Inputs &amp; Assumptions'!$D$124+26),0)</f>
        <v>0</v>
      </c>
      <c r="AE58" s="39" t="n">
        <f aca="false">IF(AND(('Inputs &amp; Assumptions'!$D$124+27)&gt;=1,('Inputs &amp; Assumptions'!$D$124+27)&lt;='Inputs &amp; Assumptions'!$C$13),'Inputs &amp; Assumptions'!AE$51/4*INDEX('Inputs &amp; Assumptions'!$E$70:$E$98,'Inputs &amp; Assumptions'!$D$124+27),0)</f>
        <v>0</v>
      </c>
      <c r="AF58" s="39" t="n">
        <f aca="false">IF(AND(('Inputs &amp; Assumptions'!$D$124+28)&gt;=1,('Inputs &amp; Assumptions'!$D$124+28)&lt;='Inputs &amp; Assumptions'!$C$13),'Inputs &amp; Assumptions'!AF$51/4*INDEX('Inputs &amp; Assumptions'!$E$70:$E$98,'Inputs &amp; Assumptions'!$D$124+28),0)</f>
        <v>0</v>
      </c>
      <c r="AG58" s="39" t="n">
        <f aca="false">IF(AND(('Inputs &amp; Assumptions'!$D$124+29)&gt;=1,('Inputs &amp; Assumptions'!$D$124+29)&lt;='Inputs &amp; Assumptions'!$C$13),'Inputs &amp; Assumptions'!AG$51/4*INDEX('Inputs &amp; Assumptions'!$E$70:$E$98,'Inputs &amp; Assumptions'!$D$124+29),0)</f>
        <v>0</v>
      </c>
      <c r="AH58" s="39" t="n">
        <f aca="false">IF(AND(('Inputs &amp; Assumptions'!$D$124+30)&gt;=1,('Inputs &amp; Assumptions'!$D$124+30)&lt;='Inputs &amp; Assumptions'!$C$13),'Inputs &amp; Assumptions'!AH$51/4*INDEX('Inputs &amp; Assumptions'!$E$70:$E$98,'Inputs &amp; Assumptions'!$D$124+30),0)</f>
        <v>0</v>
      </c>
      <c r="AI58" s="39" t="n">
        <f aca="false">IF(AND(('Inputs &amp; Assumptions'!$D$124+31)&gt;=1,('Inputs &amp; Assumptions'!$D$124+31)&lt;='Inputs &amp; Assumptions'!$C$13),'Inputs &amp; Assumptions'!AI$51/4*INDEX('Inputs &amp; Assumptions'!$E$70:$E$98,'Inputs &amp; Assumptions'!$D$124+31),0)</f>
        <v>0</v>
      </c>
      <c r="AJ58" s="39" t="n">
        <f aca="false">IF(AND(('Inputs &amp; Assumptions'!$D$124+32)&gt;=1,('Inputs &amp; Assumptions'!$D$124+32)&lt;='Inputs &amp; Assumptions'!$C$13),'Inputs &amp; Assumptions'!AJ$51/4*INDEX('Inputs &amp; Assumptions'!$E$70:$E$98,'Inputs &amp; Assumptions'!$D$124+32),0)</f>
        <v>0</v>
      </c>
      <c r="AK58" s="39" t="n">
        <f aca="false">IF(AND(('Inputs &amp; Assumptions'!$D$124+33)&gt;=1,('Inputs &amp; Assumptions'!$D$124+33)&lt;='Inputs &amp; Assumptions'!$C$13),'Inputs &amp; Assumptions'!AK$51/4*INDEX('Inputs &amp; Assumptions'!$E$70:$E$98,'Inputs &amp; Assumptions'!$D$124+33),0)</f>
        <v>0</v>
      </c>
      <c r="AL58" s="39" t="n">
        <f aca="false">IF(AND(('Inputs &amp; Assumptions'!$D$124+34)&gt;=1,('Inputs &amp; Assumptions'!$D$124+34)&lt;='Inputs &amp; Assumptions'!$C$13),'Inputs &amp; Assumptions'!AL$51/4*INDEX('Inputs &amp; Assumptions'!$E$70:$E$98,'Inputs &amp; Assumptions'!$D$124+34),0)</f>
        <v>0</v>
      </c>
      <c r="AM58" s="39" t="n">
        <f aca="false">IF(AND(('Inputs &amp; Assumptions'!$D$124+35)&gt;=1,('Inputs &amp; Assumptions'!$D$124+35)&lt;='Inputs &amp; Assumptions'!$C$13),'Inputs &amp; Assumptions'!AM$51/4*INDEX('Inputs &amp; Assumptions'!$E$70:$E$98,'Inputs &amp; Assumptions'!$D$124+35),0)</f>
        <v>0</v>
      </c>
      <c r="AN58" s="39" t="n">
        <f aca="false">IF(AND(('Inputs &amp; Assumptions'!$D$124+36)&gt;=1,('Inputs &amp; Assumptions'!$D$124+36)&lt;='Inputs &amp; Assumptions'!$C$13),'Inputs &amp; Assumptions'!AN$51/4*INDEX('Inputs &amp; Assumptions'!$E$70:$E$98,'Inputs &amp; Assumptions'!$D$124+36),0)</f>
        <v>0</v>
      </c>
    </row>
    <row r="59" customFormat="false" ht="15" hidden="false" customHeight="false" outlineLevel="0" collapsed="false">
      <c r="B59" s="38" t="n">
        <f aca="false">'Inputs &amp; Assumptions'!$B$125</f>
        <v>24</v>
      </c>
      <c r="E59" s="39" t="n">
        <f aca="false">IF(AND(('Inputs &amp; Assumptions'!$D$125+1)&gt;=1,('Inputs &amp; Assumptions'!$D$125+1)&lt;='Inputs &amp; Assumptions'!$C$13),'Inputs &amp; Assumptions'!E$51/4*INDEX('Inputs &amp; Assumptions'!$E$70:$E$98,'Inputs &amp; Assumptions'!$D$125+1),0)</f>
        <v>324194.227022</v>
      </c>
      <c r="F59" s="39" t="n">
        <f aca="false">IF(AND(('Inputs &amp; Assumptions'!$D$125+2)&gt;=1,('Inputs &amp; Assumptions'!$D$125+2)&lt;='Inputs &amp; Assumptions'!$C$13),'Inputs &amp; Assumptions'!F$51/4*INDEX('Inputs &amp; Assumptions'!$E$70:$E$98,'Inputs &amp; Assumptions'!$D$125+2),0)</f>
        <v>314468.40021134</v>
      </c>
      <c r="G59" s="39" t="n">
        <f aca="false">IF(AND(('Inputs &amp; Assumptions'!$D$125+3)&gt;=1,('Inputs &amp; Assumptions'!$D$125+3)&lt;='Inputs &amp; Assumptions'!$C$13),'Inputs &amp; Assumptions'!G$51/4*INDEX('Inputs &amp; Assumptions'!$E$70:$E$98,'Inputs &amp; Assumptions'!$D$125+3),0)</f>
        <v>305034.348205</v>
      </c>
      <c r="H59" s="39" t="n">
        <f aca="false">IF(AND(('Inputs &amp; Assumptions'!$D$125+4)&gt;=1,('Inputs &amp; Assumptions'!$D$125+4)&lt;='Inputs &amp; Assumptions'!$C$13),'Inputs &amp; Assumptions'!H$51/4*INDEX('Inputs &amp; Assumptions'!$E$70:$E$98,'Inputs &amp; Assumptions'!$D$125+4),0)</f>
        <v>295883.31775885</v>
      </c>
      <c r="I59" s="39" t="n">
        <f aca="false">IF(AND(('Inputs &amp; Assumptions'!$D$125+5)&gt;=1,('Inputs &amp; Assumptions'!$D$125+5)&lt;='Inputs &amp; Assumptions'!$C$13),'Inputs &amp; Assumptions'!I$51/4*INDEX('Inputs &amp; Assumptions'!$E$70:$E$98,'Inputs &amp; Assumptions'!$D$125+5),0)</f>
        <v>287006.818226084</v>
      </c>
      <c r="J59" s="39" t="n">
        <f aca="false">IF(AND(('Inputs &amp; Assumptions'!$D$125+6)&gt;=1,('Inputs &amp; Assumptions'!$D$125+6)&lt;='Inputs &amp; Assumptions'!$C$13),'Inputs &amp; Assumptions'!J$51/4*INDEX('Inputs &amp; Assumptions'!$E$70:$E$98,'Inputs &amp; Assumptions'!$D$125+6),0)</f>
        <v>278396.613679302</v>
      </c>
      <c r="K59" s="39" t="n">
        <f aca="false">IF(AND(('Inputs &amp; Assumptions'!$D$125+7)&gt;=1,('Inputs &amp; Assumptions'!$D$125+7)&lt;='Inputs &amp; Assumptions'!$C$13),'Inputs &amp; Assumptions'!K$51/4*INDEX('Inputs &amp; Assumptions'!$E$70:$E$98,'Inputs &amp; Assumptions'!$D$125+7),0)</f>
        <v>270044.715268923</v>
      </c>
      <c r="L59" s="39" t="n">
        <f aca="false">IF(AND(('Inputs &amp; Assumptions'!$D$125+8)&gt;=1,('Inputs &amp; Assumptions'!$D$125+8)&lt;='Inputs &amp; Assumptions'!$C$13),'Inputs &amp; Assumptions'!L$51/4*INDEX('Inputs &amp; Assumptions'!$E$70:$E$98,'Inputs &amp; Assumptions'!$D$125+8),0)</f>
        <v>261943.373810855</v>
      </c>
      <c r="M59" s="39" t="n">
        <f aca="false">IF(AND(('Inputs &amp; Assumptions'!$D$125+9)&gt;=1,('Inputs &amp; Assumptions'!$D$125+9)&lt;='Inputs &amp; Assumptions'!$C$13),'Inputs &amp; Assumptions'!M$51/4*INDEX('Inputs &amp; Assumptions'!$E$70:$E$98,'Inputs &amp; Assumptions'!$D$125+9),0)</f>
        <v>254085.072596529</v>
      </c>
      <c r="N59" s="39" t="n">
        <f aca="false">IF(AND(('Inputs &amp; Assumptions'!$D$125+10)&gt;=1,('Inputs &amp; Assumptions'!$D$125+10)&lt;='Inputs &amp; Assumptions'!$C$13),'Inputs &amp; Assumptions'!N$51/4*INDEX('Inputs &amp; Assumptions'!$E$70:$E$98,'Inputs &amp; Assumptions'!$D$125+10),0)</f>
        <v>246462.520418634</v>
      </c>
      <c r="O59" s="39" t="n">
        <f aca="false">IF(AND(('Inputs &amp; Assumptions'!$D$125+11)&gt;=1,('Inputs &amp; Assumptions'!$D$125+11)&lt;='Inputs &amp; Assumptions'!$C$13),'Inputs &amp; Assumptions'!O$51/4*INDEX('Inputs &amp; Assumptions'!$E$70:$E$98,'Inputs &amp; Assumptions'!$D$125+11),0)</f>
        <v>239068.644806075</v>
      </c>
      <c r="P59" s="39" t="n">
        <f aca="false">IF(AND(('Inputs &amp; Assumptions'!$D$125+12)&gt;=1,('Inputs &amp; Assumptions'!$D$125+12)&lt;='Inputs &amp; Assumptions'!$C$13),'Inputs &amp; Assumptions'!P$51/4*INDEX('Inputs &amp; Assumptions'!$E$70:$E$98,'Inputs &amp; Assumptions'!$D$125+12),0)</f>
        <v>231896.585461892</v>
      </c>
      <c r="Q59" s="39" t="n">
        <f aca="false">IF(AND(('Inputs &amp; Assumptions'!$D$125+13)&gt;=1,('Inputs &amp; Assumptions'!$D$125+13)&lt;='Inputs &amp; Assumptions'!$C$13),'Inputs &amp; Assumptions'!Q$51/4*INDEX('Inputs &amp; Assumptions'!$E$70:$E$98,'Inputs &amp; Assumptions'!$D$125+13),0)</f>
        <v>224939.687898036</v>
      </c>
      <c r="R59" s="39" t="n">
        <f aca="false">IF(AND(('Inputs &amp; Assumptions'!$D$125+14)&gt;=1,('Inputs &amp; Assumptions'!$D$125+14)&lt;='Inputs &amp; Assumptions'!$C$13),'Inputs &amp; Assumptions'!R$51/4*INDEX('Inputs &amp; Assumptions'!$E$70:$E$98,'Inputs &amp; Assumptions'!$D$125+14),0)</f>
        <v>218191.497261094</v>
      </c>
      <c r="S59" s="39" t="n">
        <f aca="false">IF(AND(('Inputs &amp; Assumptions'!$D$125+15)&gt;=1,('Inputs &amp; Assumptions'!$D$125+15)&lt;='Inputs &amp; Assumptions'!$C$13),'Inputs &amp; Assumptions'!S$51/4*INDEX('Inputs &amp; Assumptions'!$E$70:$E$98,'Inputs &amp; Assumptions'!$D$125+15),0)</f>
        <v>211645.752343262</v>
      </c>
      <c r="T59" s="39" t="n">
        <f aca="false">IF(AND(('Inputs &amp; Assumptions'!$D$125+16)&gt;=1,('Inputs &amp; Assumptions'!$D$125+16)&lt;='Inputs &amp; Assumptions'!$C$13),'Inputs &amp; Assumptions'!T$51/4*INDEX('Inputs &amp; Assumptions'!$E$70:$E$98,'Inputs &amp; Assumptions'!$D$125+16),0)</f>
        <v>205296.379772964</v>
      </c>
      <c r="U59" s="39" t="n">
        <f aca="false">IF(AND(('Inputs &amp; Assumptions'!$D$125+17)&gt;=1,('Inputs &amp; Assumptions'!$D$125+17)&lt;='Inputs &amp; Assumptions'!$C$13),'Inputs &amp; Assumptions'!U$51/4*INDEX('Inputs &amp; Assumptions'!$E$70:$E$98,'Inputs &amp; Assumptions'!$D$125+17),0)</f>
        <v>199137.488379775</v>
      </c>
      <c r="V59" s="39" t="n">
        <f aca="false">IF(AND(('Inputs &amp; Assumptions'!$D$125+18)&gt;=1,('Inputs &amp; Assumptions'!$D$125+18)&lt;='Inputs &amp; Assumptions'!$C$13),'Inputs &amp; Assumptions'!V$51/4*INDEX('Inputs &amp; Assumptions'!$E$70:$E$98,'Inputs &amp; Assumptions'!$D$125+18),0)</f>
        <v>193163.363728382</v>
      </c>
      <c r="W59" s="39" t="n">
        <f aca="false">IF(AND(('Inputs &amp; Assumptions'!$D$125+19)&gt;=1,('Inputs &amp; Assumptions'!$D$125+19)&lt;='Inputs &amp; Assumptions'!$C$13),'Inputs &amp; Assumptions'!W$51/4*INDEX('Inputs &amp; Assumptions'!$E$70:$E$98,'Inputs &amp; Assumptions'!$D$125+19),0)</f>
        <v>187368.46281653</v>
      </c>
      <c r="X59" s="39" t="n">
        <f aca="false">IF(AND(('Inputs &amp; Assumptions'!$D$125+20)&gt;=1,('Inputs &amp; Assumptions'!$D$125+20)&lt;='Inputs &amp; Assumptions'!$C$13),'Inputs &amp; Assumptions'!X$51/4*INDEX('Inputs &amp; Assumptions'!$E$70:$E$98,'Inputs &amp; Assumptions'!$D$125+20),0)</f>
        <v>181747.408932034</v>
      </c>
      <c r="Y59" s="39" t="n">
        <f aca="false">IF(AND(('Inputs &amp; Assumptions'!$D$125+21)&gt;=1,('Inputs &amp; Assumptions'!$D$125+21)&lt;='Inputs &amp; Assumptions'!$C$13),'Inputs &amp; Assumptions'!Y$51/4*INDEX('Inputs &amp; Assumptions'!$E$70:$E$98,'Inputs &amp; Assumptions'!$D$125+21),0)</f>
        <v>0</v>
      </c>
      <c r="Z59" s="39" t="n">
        <f aca="false">IF(AND(('Inputs &amp; Assumptions'!$D$125+22)&gt;=1,('Inputs &amp; Assumptions'!$D$125+22)&lt;='Inputs &amp; Assumptions'!$C$13),'Inputs &amp; Assumptions'!Z$51/4*INDEX('Inputs &amp; Assumptions'!$E$70:$E$98,'Inputs &amp; Assumptions'!$D$125+22),0)</f>
        <v>0</v>
      </c>
      <c r="AA59" s="39" t="n">
        <f aca="false">IF(AND(('Inputs &amp; Assumptions'!$D$125+23)&gt;=1,('Inputs &amp; Assumptions'!$D$125+23)&lt;='Inputs &amp; Assumptions'!$C$13),'Inputs &amp; Assumptions'!AA$51/4*INDEX('Inputs &amp; Assumptions'!$E$70:$E$98,'Inputs &amp; Assumptions'!$D$125+23),0)</f>
        <v>0</v>
      </c>
      <c r="AB59" s="39" t="n">
        <f aca="false">IF(AND(('Inputs &amp; Assumptions'!$D$125+24)&gt;=1,('Inputs &amp; Assumptions'!$D$125+24)&lt;='Inputs &amp; Assumptions'!$C$13),'Inputs &amp; Assumptions'!AB$51/4*INDEX('Inputs &amp; Assumptions'!$E$70:$E$98,'Inputs &amp; Assumptions'!$D$125+24),0)</f>
        <v>0</v>
      </c>
      <c r="AC59" s="39" t="n">
        <f aca="false">IF(AND(('Inputs &amp; Assumptions'!$D$125+25)&gt;=1,('Inputs &amp; Assumptions'!$D$125+25)&lt;='Inputs &amp; Assumptions'!$C$13),'Inputs &amp; Assumptions'!AC$51/4*INDEX('Inputs &amp; Assumptions'!$E$70:$E$98,'Inputs &amp; Assumptions'!$D$125+25),0)</f>
        <v>0</v>
      </c>
      <c r="AD59" s="39" t="n">
        <f aca="false">IF(AND(('Inputs &amp; Assumptions'!$D$125+26)&gt;=1,('Inputs &amp; Assumptions'!$D$125+26)&lt;='Inputs &amp; Assumptions'!$C$13),'Inputs &amp; Assumptions'!AD$51/4*INDEX('Inputs &amp; Assumptions'!$E$70:$E$98,'Inputs &amp; Assumptions'!$D$125+26),0)</f>
        <v>0</v>
      </c>
      <c r="AE59" s="39" t="n">
        <f aca="false">IF(AND(('Inputs &amp; Assumptions'!$D$125+27)&gt;=1,('Inputs &amp; Assumptions'!$D$125+27)&lt;='Inputs &amp; Assumptions'!$C$13),'Inputs &amp; Assumptions'!AE$51/4*INDEX('Inputs &amp; Assumptions'!$E$70:$E$98,'Inputs &amp; Assumptions'!$D$125+27),0)</f>
        <v>0</v>
      </c>
      <c r="AF59" s="39" t="n">
        <f aca="false">IF(AND(('Inputs &amp; Assumptions'!$D$125+28)&gt;=1,('Inputs &amp; Assumptions'!$D$125+28)&lt;='Inputs &amp; Assumptions'!$C$13),'Inputs &amp; Assumptions'!AF$51/4*INDEX('Inputs &amp; Assumptions'!$E$70:$E$98,'Inputs &amp; Assumptions'!$D$125+28),0)</f>
        <v>0</v>
      </c>
      <c r="AG59" s="39" t="n">
        <f aca="false">IF(AND(('Inputs &amp; Assumptions'!$D$125+29)&gt;=1,('Inputs &amp; Assumptions'!$D$125+29)&lt;='Inputs &amp; Assumptions'!$C$13),'Inputs &amp; Assumptions'!AG$51/4*INDEX('Inputs &amp; Assumptions'!$E$70:$E$98,'Inputs &amp; Assumptions'!$D$125+29),0)</f>
        <v>0</v>
      </c>
      <c r="AH59" s="39" t="n">
        <f aca="false">IF(AND(('Inputs &amp; Assumptions'!$D$125+30)&gt;=1,('Inputs &amp; Assumptions'!$D$125+30)&lt;='Inputs &amp; Assumptions'!$C$13),'Inputs &amp; Assumptions'!AH$51/4*INDEX('Inputs &amp; Assumptions'!$E$70:$E$98,'Inputs &amp; Assumptions'!$D$125+30),0)</f>
        <v>0</v>
      </c>
      <c r="AI59" s="39" t="n">
        <f aca="false">IF(AND(('Inputs &amp; Assumptions'!$D$125+31)&gt;=1,('Inputs &amp; Assumptions'!$D$125+31)&lt;='Inputs &amp; Assumptions'!$C$13),'Inputs &amp; Assumptions'!AI$51/4*INDEX('Inputs &amp; Assumptions'!$E$70:$E$98,'Inputs &amp; Assumptions'!$D$125+31),0)</f>
        <v>0</v>
      </c>
      <c r="AJ59" s="39" t="n">
        <f aca="false">IF(AND(('Inputs &amp; Assumptions'!$D$125+32)&gt;=1,('Inputs &amp; Assumptions'!$D$125+32)&lt;='Inputs &amp; Assumptions'!$C$13),'Inputs &amp; Assumptions'!AJ$51/4*INDEX('Inputs &amp; Assumptions'!$E$70:$E$98,'Inputs &amp; Assumptions'!$D$125+32),0)</f>
        <v>0</v>
      </c>
      <c r="AK59" s="39" t="n">
        <f aca="false">IF(AND(('Inputs &amp; Assumptions'!$D$125+33)&gt;=1,('Inputs &amp; Assumptions'!$D$125+33)&lt;='Inputs &amp; Assumptions'!$C$13),'Inputs &amp; Assumptions'!AK$51/4*INDEX('Inputs &amp; Assumptions'!$E$70:$E$98,'Inputs &amp; Assumptions'!$D$125+33),0)</f>
        <v>0</v>
      </c>
      <c r="AL59" s="39" t="n">
        <f aca="false">IF(AND(('Inputs &amp; Assumptions'!$D$125+34)&gt;=1,('Inputs &amp; Assumptions'!$D$125+34)&lt;='Inputs &amp; Assumptions'!$C$13),'Inputs &amp; Assumptions'!AL$51/4*INDEX('Inputs &amp; Assumptions'!$E$70:$E$98,'Inputs &amp; Assumptions'!$D$125+34),0)</f>
        <v>0</v>
      </c>
      <c r="AM59" s="39" t="n">
        <f aca="false">IF(AND(('Inputs &amp; Assumptions'!$D$125+35)&gt;=1,('Inputs &amp; Assumptions'!$D$125+35)&lt;='Inputs &amp; Assumptions'!$C$13),'Inputs &amp; Assumptions'!AM$51/4*INDEX('Inputs &amp; Assumptions'!$E$70:$E$98,'Inputs &amp; Assumptions'!$D$125+35),0)</f>
        <v>0</v>
      </c>
      <c r="AN59" s="39" t="n">
        <f aca="false">IF(AND(('Inputs &amp; Assumptions'!$D$125+36)&gt;=1,('Inputs &amp; Assumptions'!$D$125+36)&lt;='Inputs &amp; Assumptions'!$C$13),'Inputs &amp; Assumptions'!AN$51/4*INDEX('Inputs &amp; Assumptions'!$E$70:$E$98,'Inputs &amp; Assumptions'!$D$125+36),0)</f>
        <v>0</v>
      </c>
    </row>
    <row r="60" customFormat="false" ht="15" hidden="false" customHeight="false" outlineLevel="0" collapsed="false">
      <c r="B60" s="38" t="n">
        <f aca="false">'Inputs &amp; Assumptions'!$B$126</f>
        <v>25</v>
      </c>
      <c r="E60" s="39" t="n">
        <f aca="false">IF(AND(('Inputs &amp; Assumptions'!$D$126+1)&gt;=1,('Inputs &amp; Assumptions'!$D$126+1)&lt;='Inputs &amp; Assumptions'!$C$13),'Inputs &amp; Assumptions'!E$51/4*INDEX('Inputs &amp; Assumptions'!$E$70:$E$98,'Inputs &amp; Assumptions'!$D$126+1),0)</f>
        <v>324194.227022</v>
      </c>
      <c r="F60" s="39" t="n">
        <f aca="false">IF(AND(('Inputs &amp; Assumptions'!$D$126+2)&gt;=1,('Inputs &amp; Assumptions'!$D$126+2)&lt;='Inputs &amp; Assumptions'!$C$13),'Inputs &amp; Assumptions'!F$51/4*INDEX('Inputs &amp; Assumptions'!$E$70:$E$98,'Inputs &amp; Assumptions'!$D$126+2),0)</f>
        <v>314468.40021134</v>
      </c>
      <c r="G60" s="39" t="n">
        <f aca="false">IF(AND(('Inputs &amp; Assumptions'!$D$126+3)&gt;=1,('Inputs &amp; Assumptions'!$D$126+3)&lt;='Inputs &amp; Assumptions'!$C$13),'Inputs &amp; Assumptions'!G$51/4*INDEX('Inputs &amp; Assumptions'!$E$70:$E$98,'Inputs &amp; Assumptions'!$D$126+3),0)</f>
        <v>305034.348205</v>
      </c>
      <c r="H60" s="39" t="n">
        <f aca="false">IF(AND(('Inputs &amp; Assumptions'!$D$126+4)&gt;=1,('Inputs &amp; Assumptions'!$D$126+4)&lt;='Inputs &amp; Assumptions'!$C$13),'Inputs &amp; Assumptions'!H$51/4*INDEX('Inputs &amp; Assumptions'!$E$70:$E$98,'Inputs &amp; Assumptions'!$D$126+4),0)</f>
        <v>295883.31775885</v>
      </c>
      <c r="I60" s="39" t="n">
        <f aca="false">IF(AND(('Inputs &amp; Assumptions'!$D$126+5)&gt;=1,('Inputs &amp; Assumptions'!$D$126+5)&lt;='Inputs &amp; Assumptions'!$C$13),'Inputs &amp; Assumptions'!I$51/4*INDEX('Inputs &amp; Assumptions'!$E$70:$E$98,'Inputs &amp; Assumptions'!$D$126+5),0)</f>
        <v>287006.818226084</v>
      </c>
      <c r="J60" s="39" t="n">
        <f aca="false">IF(AND(('Inputs &amp; Assumptions'!$D$126+6)&gt;=1,('Inputs &amp; Assumptions'!$D$126+6)&lt;='Inputs &amp; Assumptions'!$C$13),'Inputs &amp; Assumptions'!J$51/4*INDEX('Inputs &amp; Assumptions'!$E$70:$E$98,'Inputs &amp; Assumptions'!$D$126+6),0)</f>
        <v>278396.613679302</v>
      </c>
      <c r="K60" s="39" t="n">
        <f aca="false">IF(AND(('Inputs &amp; Assumptions'!$D$126+7)&gt;=1,('Inputs &amp; Assumptions'!$D$126+7)&lt;='Inputs &amp; Assumptions'!$C$13),'Inputs &amp; Assumptions'!K$51/4*INDEX('Inputs &amp; Assumptions'!$E$70:$E$98,'Inputs &amp; Assumptions'!$D$126+7),0)</f>
        <v>270044.715268923</v>
      </c>
      <c r="L60" s="39" t="n">
        <f aca="false">IF(AND(('Inputs &amp; Assumptions'!$D$126+8)&gt;=1,('Inputs &amp; Assumptions'!$D$126+8)&lt;='Inputs &amp; Assumptions'!$C$13),'Inputs &amp; Assumptions'!L$51/4*INDEX('Inputs &amp; Assumptions'!$E$70:$E$98,'Inputs &amp; Assumptions'!$D$126+8),0)</f>
        <v>261943.373810855</v>
      </c>
      <c r="M60" s="39" t="n">
        <f aca="false">IF(AND(('Inputs &amp; Assumptions'!$D$126+9)&gt;=1,('Inputs &amp; Assumptions'!$D$126+9)&lt;='Inputs &amp; Assumptions'!$C$13),'Inputs &amp; Assumptions'!M$51/4*INDEX('Inputs &amp; Assumptions'!$E$70:$E$98,'Inputs &amp; Assumptions'!$D$126+9),0)</f>
        <v>254085.072596529</v>
      </c>
      <c r="N60" s="39" t="n">
        <f aca="false">IF(AND(('Inputs &amp; Assumptions'!$D$126+10)&gt;=1,('Inputs &amp; Assumptions'!$D$126+10)&lt;='Inputs &amp; Assumptions'!$C$13),'Inputs &amp; Assumptions'!N$51/4*INDEX('Inputs &amp; Assumptions'!$E$70:$E$98,'Inputs &amp; Assumptions'!$D$126+10),0)</f>
        <v>246462.520418634</v>
      </c>
      <c r="O60" s="39" t="n">
        <f aca="false">IF(AND(('Inputs &amp; Assumptions'!$D$126+11)&gt;=1,('Inputs &amp; Assumptions'!$D$126+11)&lt;='Inputs &amp; Assumptions'!$C$13),'Inputs &amp; Assumptions'!O$51/4*INDEX('Inputs &amp; Assumptions'!$E$70:$E$98,'Inputs &amp; Assumptions'!$D$126+11),0)</f>
        <v>239068.644806075</v>
      </c>
      <c r="P60" s="39" t="n">
        <f aca="false">IF(AND(('Inputs &amp; Assumptions'!$D$126+12)&gt;=1,('Inputs &amp; Assumptions'!$D$126+12)&lt;='Inputs &amp; Assumptions'!$C$13),'Inputs &amp; Assumptions'!P$51/4*INDEX('Inputs &amp; Assumptions'!$E$70:$E$98,'Inputs &amp; Assumptions'!$D$126+12),0)</f>
        <v>231896.585461892</v>
      </c>
      <c r="Q60" s="39" t="n">
        <f aca="false">IF(AND(('Inputs &amp; Assumptions'!$D$126+13)&gt;=1,('Inputs &amp; Assumptions'!$D$126+13)&lt;='Inputs &amp; Assumptions'!$C$13),'Inputs &amp; Assumptions'!Q$51/4*INDEX('Inputs &amp; Assumptions'!$E$70:$E$98,'Inputs &amp; Assumptions'!$D$126+13),0)</f>
        <v>224939.687898036</v>
      </c>
      <c r="R60" s="39" t="n">
        <f aca="false">IF(AND(('Inputs &amp; Assumptions'!$D$126+14)&gt;=1,('Inputs &amp; Assumptions'!$D$126+14)&lt;='Inputs &amp; Assumptions'!$C$13),'Inputs &amp; Assumptions'!R$51/4*INDEX('Inputs &amp; Assumptions'!$E$70:$E$98,'Inputs &amp; Assumptions'!$D$126+14),0)</f>
        <v>218191.497261094</v>
      </c>
      <c r="S60" s="39" t="n">
        <f aca="false">IF(AND(('Inputs &amp; Assumptions'!$D$126+15)&gt;=1,('Inputs &amp; Assumptions'!$D$126+15)&lt;='Inputs &amp; Assumptions'!$C$13),'Inputs &amp; Assumptions'!S$51/4*INDEX('Inputs &amp; Assumptions'!$E$70:$E$98,'Inputs &amp; Assumptions'!$D$126+15),0)</f>
        <v>211645.752343262</v>
      </c>
      <c r="T60" s="39" t="n">
        <f aca="false">IF(AND(('Inputs &amp; Assumptions'!$D$126+16)&gt;=1,('Inputs &amp; Assumptions'!$D$126+16)&lt;='Inputs &amp; Assumptions'!$C$13),'Inputs &amp; Assumptions'!T$51/4*INDEX('Inputs &amp; Assumptions'!$E$70:$E$98,'Inputs &amp; Assumptions'!$D$126+16),0)</f>
        <v>205296.379772964</v>
      </c>
      <c r="U60" s="39" t="n">
        <f aca="false">IF(AND(('Inputs &amp; Assumptions'!$D$126+17)&gt;=1,('Inputs &amp; Assumptions'!$D$126+17)&lt;='Inputs &amp; Assumptions'!$C$13),'Inputs &amp; Assumptions'!U$51/4*INDEX('Inputs &amp; Assumptions'!$E$70:$E$98,'Inputs &amp; Assumptions'!$D$126+17),0)</f>
        <v>199137.488379775</v>
      </c>
      <c r="V60" s="39" t="n">
        <f aca="false">IF(AND(('Inputs &amp; Assumptions'!$D$126+18)&gt;=1,('Inputs &amp; Assumptions'!$D$126+18)&lt;='Inputs &amp; Assumptions'!$C$13),'Inputs &amp; Assumptions'!V$51/4*INDEX('Inputs &amp; Assumptions'!$E$70:$E$98,'Inputs &amp; Assumptions'!$D$126+18),0)</f>
        <v>193163.363728382</v>
      </c>
      <c r="W60" s="39" t="n">
        <f aca="false">IF(AND(('Inputs &amp; Assumptions'!$D$126+19)&gt;=1,('Inputs &amp; Assumptions'!$D$126+19)&lt;='Inputs &amp; Assumptions'!$C$13),'Inputs &amp; Assumptions'!W$51/4*INDEX('Inputs &amp; Assumptions'!$E$70:$E$98,'Inputs &amp; Assumptions'!$D$126+19),0)</f>
        <v>187368.46281653</v>
      </c>
      <c r="X60" s="39" t="n">
        <f aca="false">IF(AND(('Inputs &amp; Assumptions'!$D$126+20)&gt;=1,('Inputs &amp; Assumptions'!$D$126+20)&lt;='Inputs &amp; Assumptions'!$C$13),'Inputs &amp; Assumptions'!X$51/4*INDEX('Inputs &amp; Assumptions'!$E$70:$E$98,'Inputs &amp; Assumptions'!$D$126+20),0)</f>
        <v>181747.408932034</v>
      </c>
      <c r="Y60" s="39" t="n">
        <f aca="false">IF(AND(('Inputs &amp; Assumptions'!$D$126+21)&gt;=1,('Inputs &amp; Assumptions'!$D$126+21)&lt;='Inputs &amp; Assumptions'!$C$13),'Inputs &amp; Assumptions'!Y$51/4*INDEX('Inputs &amp; Assumptions'!$E$70:$E$98,'Inputs &amp; Assumptions'!$D$126+21),0)</f>
        <v>0</v>
      </c>
      <c r="Z60" s="39" t="n">
        <f aca="false">IF(AND(('Inputs &amp; Assumptions'!$D$126+22)&gt;=1,('Inputs &amp; Assumptions'!$D$126+22)&lt;='Inputs &amp; Assumptions'!$C$13),'Inputs &amp; Assumptions'!Z$51/4*INDEX('Inputs &amp; Assumptions'!$E$70:$E$98,'Inputs &amp; Assumptions'!$D$126+22),0)</f>
        <v>0</v>
      </c>
      <c r="AA60" s="39" t="n">
        <f aca="false">IF(AND(('Inputs &amp; Assumptions'!$D$126+23)&gt;=1,('Inputs &amp; Assumptions'!$D$126+23)&lt;='Inputs &amp; Assumptions'!$C$13),'Inputs &amp; Assumptions'!AA$51/4*INDEX('Inputs &amp; Assumptions'!$E$70:$E$98,'Inputs &amp; Assumptions'!$D$126+23),0)</f>
        <v>0</v>
      </c>
      <c r="AB60" s="39" t="n">
        <f aca="false">IF(AND(('Inputs &amp; Assumptions'!$D$126+24)&gt;=1,('Inputs &amp; Assumptions'!$D$126+24)&lt;='Inputs &amp; Assumptions'!$C$13),'Inputs &amp; Assumptions'!AB$51/4*INDEX('Inputs &amp; Assumptions'!$E$70:$E$98,'Inputs &amp; Assumptions'!$D$126+24),0)</f>
        <v>0</v>
      </c>
      <c r="AC60" s="39" t="n">
        <f aca="false">IF(AND(('Inputs &amp; Assumptions'!$D$126+25)&gt;=1,('Inputs &amp; Assumptions'!$D$126+25)&lt;='Inputs &amp; Assumptions'!$C$13),'Inputs &amp; Assumptions'!AC$51/4*INDEX('Inputs &amp; Assumptions'!$E$70:$E$98,'Inputs &amp; Assumptions'!$D$126+25),0)</f>
        <v>0</v>
      </c>
      <c r="AD60" s="39" t="n">
        <f aca="false">IF(AND(('Inputs &amp; Assumptions'!$D$126+26)&gt;=1,('Inputs &amp; Assumptions'!$D$126+26)&lt;='Inputs &amp; Assumptions'!$C$13),'Inputs &amp; Assumptions'!AD$51/4*INDEX('Inputs &amp; Assumptions'!$E$70:$E$98,'Inputs &amp; Assumptions'!$D$126+26),0)</f>
        <v>0</v>
      </c>
      <c r="AE60" s="39" t="n">
        <f aca="false">IF(AND(('Inputs &amp; Assumptions'!$D$126+27)&gt;=1,('Inputs &amp; Assumptions'!$D$126+27)&lt;='Inputs &amp; Assumptions'!$C$13),'Inputs &amp; Assumptions'!AE$51/4*INDEX('Inputs &amp; Assumptions'!$E$70:$E$98,'Inputs &amp; Assumptions'!$D$126+27),0)</f>
        <v>0</v>
      </c>
      <c r="AF60" s="39" t="n">
        <f aca="false">IF(AND(('Inputs &amp; Assumptions'!$D$126+28)&gt;=1,('Inputs &amp; Assumptions'!$D$126+28)&lt;='Inputs &amp; Assumptions'!$C$13),'Inputs &amp; Assumptions'!AF$51/4*INDEX('Inputs &amp; Assumptions'!$E$70:$E$98,'Inputs &amp; Assumptions'!$D$126+28),0)</f>
        <v>0</v>
      </c>
      <c r="AG60" s="39" t="n">
        <f aca="false">IF(AND(('Inputs &amp; Assumptions'!$D$126+29)&gt;=1,('Inputs &amp; Assumptions'!$D$126+29)&lt;='Inputs &amp; Assumptions'!$C$13),'Inputs &amp; Assumptions'!AG$51/4*INDEX('Inputs &amp; Assumptions'!$E$70:$E$98,'Inputs &amp; Assumptions'!$D$126+29),0)</f>
        <v>0</v>
      </c>
      <c r="AH60" s="39" t="n">
        <f aca="false">IF(AND(('Inputs &amp; Assumptions'!$D$126+30)&gt;=1,('Inputs &amp; Assumptions'!$D$126+30)&lt;='Inputs &amp; Assumptions'!$C$13),'Inputs &amp; Assumptions'!AH$51/4*INDEX('Inputs &amp; Assumptions'!$E$70:$E$98,'Inputs &amp; Assumptions'!$D$126+30),0)</f>
        <v>0</v>
      </c>
      <c r="AI60" s="39" t="n">
        <f aca="false">IF(AND(('Inputs &amp; Assumptions'!$D$126+31)&gt;=1,('Inputs &amp; Assumptions'!$D$126+31)&lt;='Inputs &amp; Assumptions'!$C$13),'Inputs &amp; Assumptions'!AI$51/4*INDEX('Inputs &amp; Assumptions'!$E$70:$E$98,'Inputs &amp; Assumptions'!$D$126+31),0)</f>
        <v>0</v>
      </c>
      <c r="AJ60" s="39" t="n">
        <f aca="false">IF(AND(('Inputs &amp; Assumptions'!$D$126+32)&gt;=1,('Inputs &amp; Assumptions'!$D$126+32)&lt;='Inputs &amp; Assumptions'!$C$13),'Inputs &amp; Assumptions'!AJ$51/4*INDEX('Inputs &amp; Assumptions'!$E$70:$E$98,'Inputs &amp; Assumptions'!$D$126+32),0)</f>
        <v>0</v>
      </c>
      <c r="AK60" s="39" t="n">
        <f aca="false">IF(AND(('Inputs &amp; Assumptions'!$D$126+33)&gt;=1,('Inputs &amp; Assumptions'!$D$126+33)&lt;='Inputs &amp; Assumptions'!$C$13),'Inputs &amp; Assumptions'!AK$51/4*INDEX('Inputs &amp; Assumptions'!$E$70:$E$98,'Inputs &amp; Assumptions'!$D$126+33),0)</f>
        <v>0</v>
      </c>
      <c r="AL60" s="39" t="n">
        <f aca="false">IF(AND(('Inputs &amp; Assumptions'!$D$126+34)&gt;=1,('Inputs &amp; Assumptions'!$D$126+34)&lt;='Inputs &amp; Assumptions'!$C$13),'Inputs &amp; Assumptions'!AL$51/4*INDEX('Inputs &amp; Assumptions'!$E$70:$E$98,'Inputs &amp; Assumptions'!$D$126+34),0)</f>
        <v>0</v>
      </c>
      <c r="AM60" s="39" t="n">
        <f aca="false">IF(AND(('Inputs &amp; Assumptions'!$D$126+35)&gt;=1,('Inputs &amp; Assumptions'!$D$126+35)&lt;='Inputs &amp; Assumptions'!$C$13),'Inputs &amp; Assumptions'!AM$51/4*INDEX('Inputs &amp; Assumptions'!$E$70:$E$98,'Inputs &amp; Assumptions'!$D$126+35),0)</f>
        <v>0</v>
      </c>
      <c r="AN60" s="39" t="n">
        <f aca="false">IF(AND(('Inputs &amp; Assumptions'!$D$126+36)&gt;=1,('Inputs &amp; Assumptions'!$D$126+36)&lt;='Inputs &amp; Assumptions'!$C$13),'Inputs &amp; Assumptions'!AN$51/4*INDEX('Inputs &amp; Assumptions'!$E$70:$E$98,'Inputs &amp; Assumptions'!$D$126+36),0)</f>
        <v>0</v>
      </c>
    </row>
    <row r="61" customFormat="false" ht="15" hidden="false" customHeight="false" outlineLevel="0" collapsed="false">
      <c r="B61" s="38" t="n">
        <f aca="false">'Inputs &amp; Assumptions'!$B$127</f>
        <v>26</v>
      </c>
      <c r="E61" s="39" t="n">
        <f aca="false">IF(AND(('Inputs &amp; Assumptions'!$D$127+1)&gt;=1,('Inputs &amp; Assumptions'!$D$127+1)&lt;='Inputs &amp; Assumptions'!$C$13),'Inputs &amp; Assumptions'!E$51/4*INDEX('Inputs &amp; Assumptions'!$E$70:$E$98,'Inputs &amp; Assumptions'!$D$127+1),0)</f>
        <v>314468.40021134</v>
      </c>
      <c r="F61" s="39" t="n">
        <f aca="false">IF(AND(('Inputs &amp; Assumptions'!$D$127+2)&gt;=1,('Inputs &amp; Assumptions'!$D$127+2)&lt;='Inputs &amp; Assumptions'!$C$13),'Inputs &amp; Assumptions'!F$51/4*INDEX('Inputs &amp; Assumptions'!$E$70:$E$98,'Inputs &amp; Assumptions'!$D$127+2),0)</f>
        <v>305034.348205</v>
      </c>
      <c r="G61" s="39" t="n">
        <f aca="false">IF(AND(('Inputs &amp; Assumptions'!$D$127+3)&gt;=1,('Inputs &amp; Assumptions'!$D$127+3)&lt;='Inputs &amp; Assumptions'!$C$13),'Inputs &amp; Assumptions'!G$51/4*INDEX('Inputs &amp; Assumptions'!$E$70:$E$98,'Inputs &amp; Assumptions'!$D$127+3),0)</f>
        <v>295883.31775885</v>
      </c>
      <c r="H61" s="39" t="n">
        <f aca="false">IF(AND(('Inputs &amp; Assumptions'!$D$127+4)&gt;=1,('Inputs &amp; Assumptions'!$D$127+4)&lt;='Inputs &amp; Assumptions'!$C$13),'Inputs &amp; Assumptions'!H$51/4*INDEX('Inputs &amp; Assumptions'!$E$70:$E$98,'Inputs &amp; Assumptions'!$D$127+4),0)</f>
        <v>287006.818226084</v>
      </c>
      <c r="I61" s="39" t="n">
        <f aca="false">IF(AND(('Inputs &amp; Assumptions'!$D$127+5)&gt;=1,('Inputs &amp; Assumptions'!$D$127+5)&lt;='Inputs &amp; Assumptions'!$C$13),'Inputs &amp; Assumptions'!I$51/4*INDEX('Inputs &amp; Assumptions'!$E$70:$E$98,'Inputs &amp; Assumptions'!$D$127+5),0)</f>
        <v>278396.613679302</v>
      </c>
      <c r="J61" s="39" t="n">
        <f aca="false">IF(AND(('Inputs &amp; Assumptions'!$D$127+6)&gt;=1,('Inputs &amp; Assumptions'!$D$127+6)&lt;='Inputs &amp; Assumptions'!$C$13),'Inputs &amp; Assumptions'!J$51/4*INDEX('Inputs &amp; Assumptions'!$E$70:$E$98,'Inputs &amp; Assumptions'!$D$127+6),0)</f>
        <v>270044.715268923</v>
      </c>
      <c r="K61" s="39" t="n">
        <f aca="false">IF(AND(('Inputs &amp; Assumptions'!$D$127+7)&gt;=1,('Inputs &amp; Assumptions'!$D$127+7)&lt;='Inputs &amp; Assumptions'!$C$13),'Inputs &amp; Assumptions'!K$51/4*INDEX('Inputs &amp; Assumptions'!$E$70:$E$98,'Inputs &amp; Assumptions'!$D$127+7),0)</f>
        <v>261943.373810855</v>
      </c>
      <c r="L61" s="39" t="n">
        <f aca="false">IF(AND(('Inputs &amp; Assumptions'!$D$127+8)&gt;=1,('Inputs &amp; Assumptions'!$D$127+8)&lt;='Inputs &amp; Assumptions'!$C$13),'Inputs &amp; Assumptions'!L$51/4*INDEX('Inputs &amp; Assumptions'!$E$70:$E$98,'Inputs &amp; Assumptions'!$D$127+8),0)</f>
        <v>254085.072596529</v>
      </c>
      <c r="M61" s="39" t="n">
        <f aca="false">IF(AND(('Inputs &amp; Assumptions'!$D$127+9)&gt;=1,('Inputs &amp; Assumptions'!$D$127+9)&lt;='Inputs &amp; Assumptions'!$C$13),'Inputs &amp; Assumptions'!M$51/4*INDEX('Inputs &amp; Assumptions'!$E$70:$E$98,'Inputs &amp; Assumptions'!$D$127+9),0)</f>
        <v>246462.520418634</v>
      </c>
      <c r="N61" s="39" t="n">
        <f aca="false">IF(AND(('Inputs &amp; Assumptions'!$D$127+10)&gt;=1,('Inputs &amp; Assumptions'!$D$127+10)&lt;='Inputs &amp; Assumptions'!$C$13),'Inputs &amp; Assumptions'!N$51/4*INDEX('Inputs &amp; Assumptions'!$E$70:$E$98,'Inputs &amp; Assumptions'!$D$127+10),0)</f>
        <v>239068.644806075</v>
      </c>
      <c r="O61" s="39" t="n">
        <f aca="false">IF(AND(('Inputs &amp; Assumptions'!$D$127+11)&gt;=1,('Inputs &amp; Assumptions'!$D$127+11)&lt;='Inputs &amp; Assumptions'!$C$13),'Inputs &amp; Assumptions'!O$51/4*INDEX('Inputs &amp; Assumptions'!$E$70:$E$98,'Inputs &amp; Assumptions'!$D$127+11),0)</f>
        <v>231896.585461892</v>
      </c>
      <c r="P61" s="39" t="n">
        <f aca="false">IF(AND(('Inputs &amp; Assumptions'!$D$127+12)&gt;=1,('Inputs &amp; Assumptions'!$D$127+12)&lt;='Inputs &amp; Assumptions'!$C$13),'Inputs &amp; Assumptions'!P$51/4*INDEX('Inputs &amp; Assumptions'!$E$70:$E$98,'Inputs &amp; Assumptions'!$D$127+12),0)</f>
        <v>224939.687898036</v>
      </c>
      <c r="Q61" s="39" t="n">
        <f aca="false">IF(AND(('Inputs &amp; Assumptions'!$D$127+13)&gt;=1,('Inputs &amp; Assumptions'!$D$127+13)&lt;='Inputs &amp; Assumptions'!$C$13),'Inputs &amp; Assumptions'!Q$51/4*INDEX('Inputs &amp; Assumptions'!$E$70:$E$98,'Inputs &amp; Assumptions'!$D$127+13),0)</f>
        <v>218191.497261094</v>
      </c>
      <c r="R61" s="39" t="n">
        <f aca="false">IF(AND(('Inputs &amp; Assumptions'!$D$127+14)&gt;=1,('Inputs &amp; Assumptions'!$D$127+14)&lt;='Inputs &amp; Assumptions'!$C$13),'Inputs &amp; Assumptions'!R$51/4*INDEX('Inputs &amp; Assumptions'!$E$70:$E$98,'Inputs &amp; Assumptions'!$D$127+14),0)</f>
        <v>211645.752343262</v>
      </c>
      <c r="S61" s="39" t="n">
        <f aca="false">IF(AND(('Inputs &amp; Assumptions'!$D$127+15)&gt;=1,('Inputs &amp; Assumptions'!$D$127+15)&lt;='Inputs &amp; Assumptions'!$C$13),'Inputs &amp; Assumptions'!S$51/4*INDEX('Inputs &amp; Assumptions'!$E$70:$E$98,'Inputs &amp; Assumptions'!$D$127+15),0)</f>
        <v>205296.379772964</v>
      </c>
      <c r="T61" s="39" t="n">
        <f aca="false">IF(AND(('Inputs &amp; Assumptions'!$D$127+16)&gt;=1,('Inputs &amp; Assumptions'!$D$127+16)&lt;='Inputs &amp; Assumptions'!$C$13),'Inputs &amp; Assumptions'!T$51/4*INDEX('Inputs &amp; Assumptions'!$E$70:$E$98,'Inputs &amp; Assumptions'!$D$127+16),0)</f>
        <v>199137.488379775</v>
      </c>
      <c r="U61" s="39" t="n">
        <f aca="false">IF(AND(('Inputs &amp; Assumptions'!$D$127+17)&gt;=1,('Inputs &amp; Assumptions'!$D$127+17)&lt;='Inputs &amp; Assumptions'!$C$13),'Inputs &amp; Assumptions'!U$51/4*INDEX('Inputs &amp; Assumptions'!$E$70:$E$98,'Inputs &amp; Assumptions'!$D$127+17),0)</f>
        <v>193163.363728382</v>
      </c>
      <c r="V61" s="39" t="n">
        <f aca="false">IF(AND(('Inputs &amp; Assumptions'!$D$127+18)&gt;=1,('Inputs &amp; Assumptions'!$D$127+18)&lt;='Inputs &amp; Assumptions'!$C$13),'Inputs &amp; Assumptions'!V$51/4*INDEX('Inputs &amp; Assumptions'!$E$70:$E$98,'Inputs &amp; Assumptions'!$D$127+18),0)</f>
        <v>187368.46281653</v>
      </c>
      <c r="W61" s="39" t="n">
        <f aca="false">IF(AND(('Inputs &amp; Assumptions'!$D$127+19)&gt;=1,('Inputs &amp; Assumptions'!$D$127+19)&lt;='Inputs &amp; Assumptions'!$C$13),'Inputs &amp; Assumptions'!W$51/4*INDEX('Inputs &amp; Assumptions'!$E$70:$E$98,'Inputs &amp; Assumptions'!$D$127+19),0)</f>
        <v>181747.408932034</v>
      </c>
      <c r="X61" s="39" t="n">
        <f aca="false">IF(AND(('Inputs &amp; Assumptions'!$D$127+20)&gt;=1,('Inputs &amp; Assumptions'!$D$127+20)&lt;='Inputs &amp; Assumptions'!$C$13),'Inputs &amp; Assumptions'!X$51/4*INDEX('Inputs &amp; Assumptions'!$E$70:$E$98,'Inputs &amp; Assumptions'!$D$127+20),0)</f>
        <v>0</v>
      </c>
      <c r="Y61" s="39" t="n">
        <f aca="false">IF(AND(('Inputs &amp; Assumptions'!$D$127+21)&gt;=1,('Inputs &amp; Assumptions'!$D$127+21)&lt;='Inputs &amp; Assumptions'!$C$13),'Inputs &amp; Assumptions'!Y$51/4*INDEX('Inputs &amp; Assumptions'!$E$70:$E$98,'Inputs &amp; Assumptions'!$D$127+21),0)</f>
        <v>0</v>
      </c>
      <c r="Z61" s="39" t="n">
        <f aca="false">IF(AND(('Inputs &amp; Assumptions'!$D$127+22)&gt;=1,('Inputs &amp; Assumptions'!$D$127+22)&lt;='Inputs &amp; Assumptions'!$C$13),'Inputs &amp; Assumptions'!Z$51/4*INDEX('Inputs &amp; Assumptions'!$E$70:$E$98,'Inputs &amp; Assumptions'!$D$127+22),0)</f>
        <v>0</v>
      </c>
      <c r="AA61" s="39" t="n">
        <f aca="false">IF(AND(('Inputs &amp; Assumptions'!$D$127+23)&gt;=1,('Inputs &amp; Assumptions'!$D$127+23)&lt;='Inputs &amp; Assumptions'!$C$13),'Inputs &amp; Assumptions'!AA$51/4*INDEX('Inputs &amp; Assumptions'!$E$70:$E$98,'Inputs &amp; Assumptions'!$D$127+23),0)</f>
        <v>0</v>
      </c>
      <c r="AB61" s="39" t="n">
        <f aca="false">IF(AND(('Inputs &amp; Assumptions'!$D$127+24)&gt;=1,('Inputs &amp; Assumptions'!$D$127+24)&lt;='Inputs &amp; Assumptions'!$C$13),'Inputs &amp; Assumptions'!AB$51/4*INDEX('Inputs &amp; Assumptions'!$E$70:$E$98,'Inputs &amp; Assumptions'!$D$127+24),0)</f>
        <v>0</v>
      </c>
      <c r="AC61" s="39" t="n">
        <f aca="false">IF(AND(('Inputs &amp; Assumptions'!$D$127+25)&gt;=1,('Inputs &amp; Assumptions'!$D$127+25)&lt;='Inputs &amp; Assumptions'!$C$13),'Inputs &amp; Assumptions'!AC$51/4*INDEX('Inputs &amp; Assumptions'!$E$70:$E$98,'Inputs &amp; Assumptions'!$D$127+25),0)</f>
        <v>0</v>
      </c>
      <c r="AD61" s="39" t="n">
        <f aca="false">IF(AND(('Inputs &amp; Assumptions'!$D$127+26)&gt;=1,('Inputs &amp; Assumptions'!$D$127+26)&lt;='Inputs &amp; Assumptions'!$C$13),'Inputs &amp; Assumptions'!AD$51/4*INDEX('Inputs &amp; Assumptions'!$E$70:$E$98,'Inputs &amp; Assumptions'!$D$127+26),0)</f>
        <v>0</v>
      </c>
      <c r="AE61" s="39" t="n">
        <f aca="false">IF(AND(('Inputs &amp; Assumptions'!$D$127+27)&gt;=1,('Inputs &amp; Assumptions'!$D$127+27)&lt;='Inputs &amp; Assumptions'!$C$13),'Inputs &amp; Assumptions'!AE$51/4*INDEX('Inputs &amp; Assumptions'!$E$70:$E$98,'Inputs &amp; Assumptions'!$D$127+27),0)</f>
        <v>0</v>
      </c>
      <c r="AF61" s="39" t="n">
        <f aca="false">IF(AND(('Inputs &amp; Assumptions'!$D$127+28)&gt;=1,('Inputs &amp; Assumptions'!$D$127+28)&lt;='Inputs &amp; Assumptions'!$C$13),'Inputs &amp; Assumptions'!AF$51/4*INDEX('Inputs &amp; Assumptions'!$E$70:$E$98,'Inputs &amp; Assumptions'!$D$127+28),0)</f>
        <v>0</v>
      </c>
      <c r="AG61" s="39" t="n">
        <f aca="false">IF(AND(('Inputs &amp; Assumptions'!$D$127+29)&gt;=1,('Inputs &amp; Assumptions'!$D$127+29)&lt;='Inputs &amp; Assumptions'!$C$13),'Inputs &amp; Assumptions'!AG$51/4*INDEX('Inputs &amp; Assumptions'!$E$70:$E$98,'Inputs &amp; Assumptions'!$D$127+29),0)</f>
        <v>0</v>
      </c>
      <c r="AH61" s="39" t="n">
        <f aca="false">IF(AND(('Inputs &amp; Assumptions'!$D$127+30)&gt;=1,('Inputs &amp; Assumptions'!$D$127+30)&lt;='Inputs &amp; Assumptions'!$C$13),'Inputs &amp; Assumptions'!AH$51/4*INDEX('Inputs &amp; Assumptions'!$E$70:$E$98,'Inputs &amp; Assumptions'!$D$127+30),0)</f>
        <v>0</v>
      </c>
      <c r="AI61" s="39" t="n">
        <f aca="false">IF(AND(('Inputs &amp; Assumptions'!$D$127+31)&gt;=1,('Inputs &amp; Assumptions'!$D$127+31)&lt;='Inputs &amp; Assumptions'!$C$13),'Inputs &amp; Assumptions'!AI$51/4*INDEX('Inputs &amp; Assumptions'!$E$70:$E$98,'Inputs &amp; Assumptions'!$D$127+31),0)</f>
        <v>0</v>
      </c>
      <c r="AJ61" s="39" t="n">
        <f aca="false">IF(AND(('Inputs &amp; Assumptions'!$D$127+32)&gt;=1,('Inputs &amp; Assumptions'!$D$127+32)&lt;='Inputs &amp; Assumptions'!$C$13),'Inputs &amp; Assumptions'!AJ$51/4*INDEX('Inputs &amp; Assumptions'!$E$70:$E$98,'Inputs &amp; Assumptions'!$D$127+32),0)</f>
        <v>0</v>
      </c>
      <c r="AK61" s="39" t="n">
        <f aca="false">IF(AND(('Inputs &amp; Assumptions'!$D$127+33)&gt;=1,('Inputs &amp; Assumptions'!$D$127+33)&lt;='Inputs &amp; Assumptions'!$C$13),'Inputs &amp; Assumptions'!AK$51/4*INDEX('Inputs &amp; Assumptions'!$E$70:$E$98,'Inputs &amp; Assumptions'!$D$127+33),0)</f>
        <v>0</v>
      </c>
      <c r="AL61" s="39" t="n">
        <f aca="false">IF(AND(('Inputs &amp; Assumptions'!$D$127+34)&gt;=1,('Inputs &amp; Assumptions'!$D$127+34)&lt;='Inputs &amp; Assumptions'!$C$13),'Inputs &amp; Assumptions'!AL$51/4*INDEX('Inputs &amp; Assumptions'!$E$70:$E$98,'Inputs &amp; Assumptions'!$D$127+34),0)</f>
        <v>0</v>
      </c>
      <c r="AM61" s="39" t="n">
        <f aca="false">IF(AND(('Inputs &amp; Assumptions'!$D$127+35)&gt;=1,('Inputs &amp; Assumptions'!$D$127+35)&lt;='Inputs &amp; Assumptions'!$C$13),'Inputs &amp; Assumptions'!AM$51/4*INDEX('Inputs &amp; Assumptions'!$E$70:$E$98,'Inputs &amp; Assumptions'!$D$127+35),0)</f>
        <v>0</v>
      </c>
      <c r="AN61" s="39" t="n">
        <f aca="false">IF(AND(('Inputs &amp; Assumptions'!$D$127+36)&gt;=1,('Inputs &amp; Assumptions'!$D$127+36)&lt;='Inputs &amp; Assumptions'!$C$13),'Inputs &amp; Assumptions'!AN$51/4*INDEX('Inputs &amp; Assumptions'!$E$70:$E$98,'Inputs &amp; Assumptions'!$D$127+36),0)</f>
        <v>0</v>
      </c>
    </row>
    <row r="62" customFormat="false" ht="15" hidden="false" customHeight="false" outlineLevel="0" collapsed="false">
      <c r="B62" s="38" t="n">
        <f aca="false">'Inputs &amp; Assumptions'!$B$128</f>
        <v>27</v>
      </c>
      <c r="E62" s="39" t="n">
        <f aca="false">IF(AND(('Inputs &amp; Assumptions'!$D$128+1)&gt;=1,('Inputs &amp; Assumptions'!$D$128+1)&lt;='Inputs &amp; Assumptions'!$C$13),'Inputs &amp; Assumptions'!E$51/4*INDEX('Inputs &amp; Assumptions'!$E$70:$E$98,'Inputs &amp; Assumptions'!$D$128+1),0)</f>
        <v>314468.40021134</v>
      </c>
      <c r="F62" s="39" t="n">
        <f aca="false">IF(AND(('Inputs &amp; Assumptions'!$D$128+2)&gt;=1,('Inputs &amp; Assumptions'!$D$128+2)&lt;='Inputs &amp; Assumptions'!$C$13),'Inputs &amp; Assumptions'!F$51/4*INDEX('Inputs &amp; Assumptions'!$E$70:$E$98,'Inputs &amp; Assumptions'!$D$128+2),0)</f>
        <v>305034.348205</v>
      </c>
      <c r="G62" s="39" t="n">
        <f aca="false">IF(AND(('Inputs &amp; Assumptions'!$D$128+3)&gt;=1,('Inputs &amp; Assumptions'!$D$128+3)&lt;='Inputs &amp; Assumptions'!$C$13),'Inputs &amp; Assumptions'!G$51/4*INDEX('Inputs &amp; Assumptions'!$E$70:$E$98,'Inputs &amp; Assumptions'!$D$128+3),0)</f>
        <v>295883.31775885</v>
      </c>
      <c r="H62" s="39" t="n">
        <f aca="false">IF(AND(('Inputs &amp; Assumptions'!$D$128+4)&gt;=1,('Inputs &amp; Assumptions'!$D$128+4)&lt;='Inputs &amp; Assumptions'!$C$13),'Inputs &amp; Assumptions'!H$51/4*INDEX('Inputs &amp; Assumptions'!$E$70:$E$98,'Inputs &amp; Assumptions'!$D$128+4),0)</f>
        <v>287006.818226084</v>
      </c>
      <c r="I62" s="39" t="n">
        <f aca="false">IF(AND(('Inputs &amp; Assumptions'!$D$128+5)&gt;=1,('Inputs &amp; Assumptions'!$D$128+5)&lt;='Inputs &amp; Assumptions'!$C$13),'Inputs &amp; Assumptions'!I$51/4*INDEX('Inputs &amp; Assumptions'!$E$70:$E$98,'Inputs &amp; Assumptions'!$D$128+5),0)</f>
        <v>278396.613679302</v>
      </c>
      <c r="J62" s="39" t="n">
        <f aca="false">IF(AND(('Inputs &amp; Assumptions'!$D$128+6)&gt;=1,('Inputs &amp; Assumptions'!$D$128+6)&lt;='Inputs &amp; Assumptions'!$C$13),'Inputs &amp; Assumptions'!J$51/4*INDEX('Inputs &amp; Assumptions'!$E$70:$E$98,'Inputs &amp; Assumptions'!$D$128+6),0)</f>
        <v>270044.715268923</v>
      </c>
      <c r="K62" s="39" t="n">
        <f aca="false">IF(AND(('Inputs &amp; Assumptions'!$D$128+7)&gt;=1,('Inputs &amp; Assumptions'!$D$128+7)&lt;='Inputs &amp; Assumptions'!$C$13),'Inputs &amp; Assumptions'!K$51/4*INDEX('Inputs &amp; Assumptions'!$E$70:$E$98,'Inputs &amp; Assumptions'!$D$128+7),0)</f>
        <v>261943.373810855</v>
      </c>
      <c r="L62" s="39" t="n">
        <f aca="false">IF(AND(('Inputs &amp; Assumptions'!$D$128+8)&gt;=1,('Inputs &amp; Assumptions'!$D$128+8)&lt;='Inputs &amp; Assumptions'!$C$13),'Inputs &amp; Assumptions'!L$51/4*INDEX('Inputs &amp; Assumptions'!$E$70:$E$98,'Inputs &amp; Assumptions'!$D$128+8),0)</f>
        <v>254085.072596529</v>
      </c>
      <c r="M62" s="39" t="n">
        <f aca="false">IF(AND(('Inputs &amp; Assumptions'!$D$128+9)&gt;=1,('Inputs &amp; Assumptions'!$D$128+9)&lt;='Inputs &amp; Assumptions'!$C$13),'Inputs &amp; Assumptions'!M$51/4*INDEX('Inputs &amp; Assumptions'!$E$70:$E$98,'Inputs &amp; Assumptions'!$D$128+9),0)</f>
        <v>246462.520418634</v>
      </c>
      <c r="N62" s="39" t="n">
        <f aca="false">IF(AND(('Inputs &amp; Assumptions'!$D$128+10)&gt;=1,('Inputs &amp; Assumptions'!$D$128+10)&lt;='Inputs &amp; Assumptions'!$C$13),'Inputs &amp; Assumptions'!N$51/4*INDEX('Inputs &amp; Assumptions'!$E$70:$E$98,'Inputs &amp; Assumptions'!$D$128+10),0)</f>
        <v>239068.644806075</v>
      </c>
      <c r="O62" s="39" t="n">
        <f aca="false">IF(AND(('Inputs &amp; Assumptions'!$D$128+11)&gt;=1,('Inputs &amp; Assumptions'!$D$128+11)&lt;='Inputs &amp; Assumptions'!$C$13),'Inputs &amp; Assumptions'!O$51/4*INDEX('Inputs &amp; Assumptions'!$E$70:$E$98,'Inputs &amp; Assumptions'!$D$128+11),0)</f>
        <v>231896.585461892</v>
      </c>
      <c r="P62" s="39" t="n">
        <f aca="false">IF(AND(('Inputs &amp; Assumptions'!$D$128+12)&gt;=1,('Inputs &amp; Assumptions'!$D$128+12)&lt;='Inputs &amp; Assumptions'!$C$13),'Inputs &amp; Assumptions'!P$51/4*INDEX('Inputs &amp; Assumptions'!$E$70:$E$98,'Inputs &amp; Assumptions'!$D$128+12),0)</f>
        <v>224939.687898036</v>
      </c>
      <c r="Q62" s="39" t="n">
        <f aca="false">IF(AND(('Inputs &amp; Assumptions'!$D$128+13)&gt;=1,('Inputs &amp; Assumptions'!$D$128+13)&lt;='Inputs &amp; Assumptions'!$C$13),'Inputs &amp; Assumptions'!Q$51/4*INDEX('Inputs &amp; Assumptions'!$E$70:$E$98,'Inputs &amp; Assumptions'!$D$128+13),0)</f>
        <v>218191.497261094</v>
      </c>
      <c r="R62" s="39" t="n">
        <f aca="false">IF(AND(('Inputs &amp; Assumptions'!$D$128+14)&gt;=1,('Inputs &amp; Assumptions'!$D$128+14)&lt;='Inputs &amp; Assumptions'!$C$13),'Inputs &amp; Assumptions'!R$51/4*INDEX('Inputs &amp; Assumptions'!$E$70:$E$98,'Inputs &amp; Assumptions'!$D$128+14),0)</f>
        <v>211645.752343262</v>
      </c>
      <c r="S62" s="39" t="n">
        <f aca="false">IF(AND(('Inputs &amp; Assumptions'!$D$128+15)&gt;=1,('Inputs &amp; Assumptions'!$D$128+15)&lt;='Inputs &amp; Assumptions'!$C$13),'Inputs &amp; Assumptions'!S$51/4*INDEX('Inputs &amp; Assumptions'!$E$70:$E$98,'Inputs &amp; Assumptions'!$D$128+15),0)</f>
        <v>205296.379772964</v>
      </c>
      <c r="T62" s="39" t="n">
        <f aca="false">IF(AND(('Inputs &amp; Assumptions'!$D$128+16)&gt;=1,('Inputs &amp; Assumptions'!$D$128+16)&lt;='Inputs &amp; Assumptions'!$C$13),'Inputs &amp; Assumptions'!T$51/4*INDEX('Inputs &amp; Assumptions'!$E$70:$E$98,'Inputs &amp; Assumptions'!$D$128+16),0)</f>
        <v>199137.488379775</v>
      </c>
      <c r="U62" s="39" t="n">
        <f aca="false">IF(AND(('Inputs &amp; Assumptions'!$D$128+17)&gt;=1,('Inputs &amp; Assumptions'!$D$128+17)&lt;='Inputs &amp; Assumptions'!$C$13),'Inputs &amp; Assumptions'!U$51/4*INDEX('Inputs &amp; Assumptions'!$E$70:$E$98,'Inputs &amp; Assumptions'!$D$128+17),0)</f>
        <v>193163.363728382</v>
      </c>
      <c r="V62" s="39" t="n">
        <f aca="false">IF(AND(('Inputs &amp; Assumptions'!$D$128+18)&gt;=1,('Inputs &amp; Assumptions'!$D$128+18)&lt;='Inputs &amp; Assumptions'!$C$13),'Inputs &amp; Assumptions'!V$51/4*INDEX('Inputs &amp; Assumptions'!$E$70:$E$98,'Inputs &amp; Assumptions'!$D$128+18),0)</f>
        <v>187368.46281653</v>
      </c>
      <c r="W62" s="39" t="n">
        <f aca="false">IF(AND(('Inputs &amp; Assumptions'!$D$128+19)&gt;=1,('Inputs &amp; Assumptions'!$D$128+19)&lt;='Inputs &amp; Assumptions'!$C$13),'Inputs &amp; Assumptions'!W$51/4*INDEX('Inputs &amp; Assumptions'!$E$70:$E$98,'Inputs &amp; Assumptions'!$D$128+19),0)</f>
        <v>181747.408932034</v>
      </c>
      <c r="X62" s="39" t="n">
        <f aca="false">IF(AND(('Inputs &amp; Assumptions'!$D$128+20)&gt;=1,('Inputs &amp; Assumptions'!$D$128+20)&lt;='Inputs &amp; Assumptions'!$C$13),'Inputs &amp; Assumptions'!X$51/4*INDEX('Inputs &amp; Assumptions'!$E$70:$E$98,'Inputs &amp; Assumptions'!$D$128+20),0)</f>
        <v>0</v>
      </c>
      <c r="Y62" s="39" t="n">
        <f aca="false">IF(AND(('Inputs &amp; Assumptions'!$D$128+21)&gt;=1,('Inputs &amp; Assumptions'!$D$128+21)&lt;='Inputs &amp; Assumptions'!$C$13),'Inputs &amp; Assumptions'!Y$51/4*INDEX('Inputs &amp; Assumptions'!$E$70:$E$98,'Inputs &amp; Assumptions'!$D$128+21),0)</f>
        <v>0</v>
      </c>
      <c r="Z62" s="39" t="n">
        <f aca="false">IF(AND(('Inputs &amp; Assumptions'!$D$128+22)&gt;=1,('Inputs &amp; Assumptions'!$D$128+22)&lt;='Inputs &amp; Assumptions'!$C$13),'Inputs &amp; Assumptions'!Z$51/4*INDEX('Inputs &amp; Assumptions'!$E$70:$E$98,'Inputs &amp; Assumptions'!$D$128+22),0)</f>
        <v>0</v>
      </c>
      <c r="AA62" s="39" t="n">
        <f aca="false">IF(AND(('Inputs &amp; Assumptions'!$D$128+23)&gt;=1,('Inputs &amp; Assumptions'!$D$128+23)&lt;='Inputs &amp; Assumptions'!$C$13),'Inputs &amp; Assumptions'!AA$51/4*INDEX('Inputs &amp; Assumptions'!$E$70:$E$98,'Inputs &amp; Assumptions'!$D$128+23),0)</f>
        <v>0</v>
      </c>
      <c r="AB62" s="39" t="n">
        <f aca="false">IF(AND(('Inputs &amp; Assumptions'!$D$128+24)&gt;=1,('Inputs &amp; Assumptions'!$D$128+24)&lt;='Inputs &amp; Assumptions'!$C$13),'Inputs &amp; Assumptions'!AB$51/4*INDEX('Inputs &amp; Assumptions'!$E$70:$E$98,'Inputs &amp; Assumptions'!$D$128+24),0)</f>
        <v>0</v>
      </c>
      <c r="AC62" s="39" t="n">
        <f aca="false">IF(AND(('Inputs &amp; Assumptions'!$D$128+25)&gt;=1,('Inputs &amp; Assumptions'!$D$128+25)&lt;='Inputs &amp; Assumptions'!$C$13),'Inputs &amp; Assumptions'!AC$51/4*INDEX('Inputs &amp; Assumptions'!$E$70:$E$98,'Inputs &amp; Assumptions'!$D$128+25),0)</f>
        <v>0</v>
      </c>
      <c r="AD62" s="39" t="n">
        <f aca="false">IF(AND(('Inputs &amp; Assumptions'!$D$128+26)&gt;=1,('Inputs &amp; Assumptions'!$D$128+26)&lt;='Inputs &amp; Assumptions'!$C$13),'Inputs &amp; Assumptions'!AD$51/4*INDEX('Inputs &amp; Assumptions'!$E$70:$E$98,'Inputs &amp; Assumptions'!$D$128+26),0)</f>
        <v>0</v>
      </c>
      <c r="AE62" s="39" t="n">
        <f aca="false">IF(AND(('Inputs &amp; Assumptions'!$D$128+27)&gt;=1,('Inputs &amp; Assumptions'!$D$128+27)&lt;='Inputs &amp; Assumptions'!$C$13),'Inputs &amp; Assumptions'!AE$51/4*INDEX('Inputs &amp; Assumptions'!$E$70:$E$98,'Inputs &amp; Assumptions'!$D$128+27),0)</f>
        <v>0</v>
      </c>
      <c r="AF62" s="39" t="n">
        <f aca="false">IF(AND(('Inputs &amp; Assumptions'!$D$128+28)&gt;=1,('Inputs &amp; Assumptions'!$D$128+28)&lt;='Inputs &amp; Assumptions'!$C$13),'Inputs &amp; Assumptions'!AF$51/4*INDEX('Inputs &amp; Assumptions'!$E$70:$E$98,'Inputs &amp; Assumptions'!$D$128+28),0)</f>
        <v>0</v>
      </c>
      <c r="AG62" s="39" t="n">
        <f aca="false">IF(AND(('Inputs &amp; Assumptions'!$D$128+29)&gt;=1,('Inputs &amp; Assumptions'!$D$128+29)&lt;='Inputs &amp; Assumptions'!$C$13),'Inputs &amp; Assumptions'!AG$51/4*INDEX('Inputs &amp; Assumptions'!$E$70:$E$98,'Inputs &amp; Assumptions'!$D$128+29),0)</f>
        <v>0</v>
      </c>
      <c r="AH62" s="39" t="n">
        <f aca="false">IF(AND(('Inputs &amp; Assumptions'!$D$128+30)&gt;=1,('Inputs &amp; Assumptions'!$D$128+30)&lt;='Inputs &amp; Assumptions'!$C$13),'Inputs &amp; Assumptions'!AH$51/4*INDEX('Inputs &amp; Assumptions'!$E$70:$E$98,'Inputs &amp; Assumptions'!$D$128+30),0)</f>
        <v>0</v>
      </c>
      <c r="AI62" s="39" t="n">
        <f aca="false">IF(AND(('Inputs &amp; Assumptions'!$D$128+31)&gt;=1,('Inputs &amp; Assumptions'!$D$128+31)&lt;='Inputs &amp; Assumptions'!$C$13),'Inputs &amp; Assumptions'!AI$51/4*INDEX('Inputs &amp; Assumptions'!$E$70:$E$98,'Inputs &amp; Assumptions'!$D$128+31),0)</f>
        <v>0</v>
      </c>
      <c r="AJ62" s="39" t="n">
        <f aca="false">IF(AND(('Inputs &amp; Assumptions'!$D$128+32)&gt;=1,('Inputs &amp; Assumptions'!$D$128+32)&lt;='Inputs &amp; Assumptions'!$C$13),'Inputs &amp; Assumptions'!AJ$51/4*INDEX('Inputs &amp; Assumptions'!$E$70:$E$98,'Inputs &amp; Assumptions'!$D$128+32),0)</f>
        <v>0</v>
      </c>
      <c r="AK62" s="39" t="n">
        <f aca="false">IF(AND(('Inputs &amp; Assumptions'!$D$128+33)&gt;=1,('Inputs &amp; Assumptions'!$D$128+33)&lt;='Inputs &amp; Assumptions'!$C$13),'Inputs &amp; Assumptions'!AK$51/4*INDEX('Inputs &amp; Assumptions'!$E$70:$E$98,'Inputs &amp; Assumptions'!$D$128+33),0)</f>
        <v>0</v>
      </c>
      <c r="AL62" s="39" t="n">
        <f aca="false">IF(AND(('Inputs &amp; Assumptions'!$D$128+34)&gt;=1,('Inputs &amp; Assumptions'!$D$128+34)&lt;='Inputs &amp; Assumptions'!$C$13),'Inputs &amp; Assumptions'!AL$51/4*INDEX('Inputs &amp; Assumptions'!$E$70:$E$98,'Inputs &amp; Assumptions'!$D$128+34),0)</f>
        <v>0</v>
      </c>
      <c r="AM62" s="39" t="n">
        <f aca="false">IF(AND(('Inputs &amp; Assumptions'!$D$128+35)&gt;=1,('Inputs &amp; Assumptions'!$D$128+35)&lt;='Inputs &amp; Assumptions'!$C$13),'Inputs &amp; Assumptions'!AM$51/4*INDEX('Inputs &amp; Assumptions'!$E$70:$E$98,'Inputs &amp; Assumptions'!$D$128+35),0)</f>
        <v>0</v>
      </c>
      <c r="AN62" s="39" t="n">
        <f aca="false">IF(AND(('Inputs &amp; Assumptions'!$D$128+36)&gt;=1,('Inputs &amp; Assumptions'!$D$128+36)&lt;='Inputs &amp; Assumptions'!$C$13),'Inputs &amp; Assumptions'!AN$51/4*INDEX('Inputs &amp; Assumptions'!$E$70:$E$98,'Inputs &amp; Assumptions'!$D$128+36),0)</f>
        <v>0</v>
      </c>
    </row>
    <row r="63" customFormat="false" ht="15" hidden="false" customHeight="false" outlineLevel="0" collapsed="false">
      <c r="B63" s="38" t="n">
        <f aca="false">'Inputs &amp; Assumptions'!$B$129</f>
        <v>28</v>
      </c>
      <c r="E63" s="39" t="n">
        <f aca="false">IF(AND(('Inputs &amp; Assumptions'!$D$129+1)&gt;=1,('Inputs &amp; Assumptions'!$D$129+1)&lt;='Inputs &amp; Assumptions'!$C$13),'Inputs &amp; Assumptions'!E$51/4*INDEX('Inputs &amp; Assumptions'!$E$70:$E$98,'Inputs &amp; Assumptions'!$D$129+1),0)</f>
        <v>314468.40021134</v>
      </c>
      <c r="F63" s="39" t="n">
        <f aca="false">IF(AND(('Inputs &amp; Assumptions'!$D$129+2)&gt;=1,('Inputs &amp; Assumptions'!$D$129+2)&lt;='Inputs &amp; Assumptions'!$C$13),'Inputs &amp; Assumptions'!F$51/4*INDEX('Inputs &amp; Assumptions'!$E$70:$E$98,'Inputs &amp; Assumptions'!$D$129+2),0)</f>
        <v>305034.348205</v>
      </c>
      <c r="G63" s="39" t="n">
        <f aca="false">IF(AND(('Inputs &amp; Assumptions'!$D$129+3)&gt;=1,('Inputs &amp; Assumptions'!$D$129+3)&lt;='Inputs &amp; Assumptions'!$C$13),'Inputs &amp; Assumptions'!G$51/4*INDEX('Inputs &amp; Assumptions'!$E$70:$E$98,'Inputs &amp; Assumptions'!$D$129+3),0)</f>
        <v>295883.31775885</v>
      </c>
      <c r="H63" s="39" t="n">
        <f aca="false">IF(AND(('Inputs &amp; Assumptions'!$D$129+4)&gt;=1,('Inputs &amp; Assumptions'!$D$129+4)&lt;='Inputs &amp; Assumptions'!$C$13),'Inputs &amp; Assumptions'!H$51/4*INDEX('Inputs &amp; Assumptions'!$E$70:$E$98,'Inputs &amp; Assumptions'!$D$129+4),0)</f>
        <v>287006.818226084</v>
      </c>
      <c r="I63" s="39" t="n">
        <f aca="false">IF(AND(('Inputs &amp; Assumptions'!$D$129+5)&gt;=1,('Inputs &amp; Assumptions'!$D$129+5)&lt;='Inputs &amp; Assumptions'!$C$13),'Inputs &amp; Assumptions'!I$51/4*INDEX('Inputs &amp; Assumptions'!$E$70:$E$98,'Inputs &amp; Assumptions'!$D$129+5),0)</f>
        <v>278396.613679302</v>
      </c>
      <c r="J63" s="39" t="n">
        <f aca="false">IF(AND(('Inputs &amp; Assumptions'!$D$129+6)&gt;=1,('Inputs &amp; Assumptions'!$D$129+6)&lt;='Inputs &amp; Assumptions'!$C$13),'Inputs &amp; Assumptions'!J$51/4*INDEX('Inputs &amp; Assumptions'!$E$70:$E$98,'Inputs &amp; Assumptions'!$D$129+6),0)</f>
        <v>270044.715268923</v>
      </c>
      <c r="K63" s="39" t="n">
        <f aca="false">IF(AND(('Inputs &amp; Assumptions'!$D$129+7)&gt;=1,('Inputs &amp; Assumptions'!$D$129+7)&lt;='Inputs &amp; Assumptions'!$C$13),'Inputs &amp; Assumptions'!K$51/4*INDEX('Inputs &amp; Assumptions'!$E$70:$E$98,'Inputs &amp; Assumptions'!$D$129+7),0)</f>
        <v>261943.373810855</v>
      </c>
      <c r="L63" s="39" t="n">
        <f aca="false">IF(AND(('Inputs &amp; Assumptions'!$D$129+8)&gt;=1,('Inputs &amp; Assumptions'!$D$129+8)&lt;='Inputs &amp; Assumptions'!$C$13),'Inputs &amp; Assumptions'!L$51/4*INDEX('Inputs &amp; Assumptions'!$E$70:$E$98,'Inputs &amp; Assumptions'!$D$129+8),0)</f>
        <v>254085.072596529</v>
      </c>
      <c r="M63" s="39" t="n">
        <f aca="false">IF(AND(('Inputs &amp; Assumptions'!$D$129+9)&gt;=1,('Inputs &amp; Assumptions'!$D$129+9)&lt;='Inputs &amp; Assumptions'!$C$13),'Inputs &amp; Assumptions'!M$51/4*INDEX('Inputs &amp; Assumptions'!$E$70:$E$98,'Inputs &amp; Assumptions'!$D$129+9),0)</f>
        <v>246462.520418634</v>
      </c>
      <c r="N63" s="39" t="n">
        <f aca="false">IF(AND(('Inputs &amp; Assumptions'!$D$129+10)&gt;=1,('Inputs &amp; Assumptions'!$D$129+10)&lt;='Inputs &amp; Assumptions'!$C$13),'Inputs &amp; Assumptions'!N$51/4*INDEX('Inputs &amp; Assumptions'!$E$70:$E$98,'Inputs &amp; Assumptions'!$D$129+10),0)</f>
        <v>239068.644806075</v>
      </c>
      <c r="O63" s="39" t="n">
        <f aca="false">IF(AND(('Inputs &amp; Assumptions'!$D$129+11)&gt;=1,('Inputs &amp; Assumptions'!$D$129+11)&lt;='Inputs &amp; Assumptions'!$C$13),'Inputs &amp; Assumptions'!O$51/4*INDEX('Inputs &amp; Assumptions'!$E$70:$E$98,'Inputs &amp; Assumptions'!$D$129+11),0)</f>
        <v>231896.585461892</v>
      </c>
      <c r="P63" s="39" t="n">
        <f aca="false">IF(AND(('Inputs &amp; Assumptions'!$D$129+12)&gt;=1,('Inputs &amp; Assumptions'!$D$129+12)&lt;='Inputs &amp; Assumptions'!$C$13),'Inputs &amp; Assumptions'!P$51/4*INDEX('Inputs &amp; Assumptions'!$E$70:$E$98,'Inputs &amp; Assumptions'!$D$129+12),0)</f>
        <v>224939.687898036</v>
      </c>
      <c r="Q63" s="39" t="n">
        <f aca="false">IF(AND(('Inputs &amp; Assumptions'!$D$129+13)&gt;=1,('Inputs &amp; Assumptions'!$D$129+13)&lt;='Inputs &amp; Assumptions'!$C$13),'Inputs &amp; Assumptions'!Q$51/4*INDEX('Inputs &amp; Assumptions'!$E$70:$E$98,'Inputs &amp; Assumptions'!$D$129+13),0)</f>
        <v>218191.497261094</v>
      </c>
      <c r="R63" s="39" t="n">
        <f aca="false">IF(AND(('Inputs &amp; Assumptions'!$D$129+14)&gt;=1,('Inputs &amp; Assumptions'!$D$129+14)&lt;='Inputs &amp; Assumptions'!$C$13),'Inputs &amp; Assumptions'!R$51/4*INDEX('Inputs &amp; Assumptions'!$E$70:$E$98,'Inputs &amp; Assumptions'!$D$129+14),0)</f>
        <v>211645.752343262</v>
      </c>
      <c r="S63" s="39" t="n">
        <f aca="false">IF(AND(('Inputs &amp; Assumptions'!$D$129+15)&gt;=1,('Inputs &amp; Assumptions'!$D$129+15)&lt;='Inputs &amp; Assumptions'!$C$13),'Inputs &amp; Assumptions'!S$51/4*INDEX('Inputs &amp; Assumptions'!$E$70:$E$98,'Inputs &amp; Assumptions'!$D$129+15),0)</f>
        <v>205296.379772964</v>
      </c>
      <c r="T63" s="39" t="n">
        <f aca="false">IF(AND(('Inputs &amp; Assumptions'!$D$129+16)&gt;=1,('Inputs &amp; Assumptions'!$D$129+16)&lt;='Inputs &amp; Assumptions'!$C$13),'Inputs &amp; Assumptions'!T$51/4*INDEX('Inputs &amp; Assumptions'!$E$70:$E$98,'Inputs &amp; Assumptions'!$D$129+16),0)</f>
        <v>199137.488379775</v>
      </c>
      <c r="U63" s="39" t="n">
        <f aca="false">IF(AND(('Inputs &amp; Assumptions'!$D$129+17)&gt;=1,('Inputs &amp; Assumptions'!$D$129+17)&lt;='Inputs &amp; Assumptions'!$C$13),'Inputs &amp; Assumptions'!U$51/4*INDEX('Inputs &amp; Assumptions'!$E$70:$E$98,'Inputs &amp; Assumptions'!$D$129+17),0)</f>
        <v>193163.363728382</v>
      </c>
      <c r="V63" s="39" t="n">
        <f aca="false">IF(AND(('Inputs &amp; Assumptions'!$D$129+18)&gt;=1,('Inputs &amp; Assumptions'!$D$129+18)&lt;='Inputs &amp; Assumptions'!$C$13),'Inputs &amp; Assumptions'!V$51/4*INDEX('Inputs &amp; Assumptions'!$E$70:$E$98,'Inputs &amp; Assumptions'!$D$129+18),0)</f>
        <v>187368.46281653</v>
      </c>
      <c r="W63" s="39" t="n">
        <f aca="false">IF(AND(('Inputs &amp; Assumptions'!$D$129+19)&gt;=1,('Inputs &amp; Assumptions'!$D$129+19)&lt;='Inputs &amp; Assumptions'!$C$13),'Inputs &amp; Assumptions'!W$51/4*INDEX('Inputs &amp; Assumptions'!$E$70:$E$98,'Inputs &amp; Assumptions'!$D$129+19),0)</f>
        <v>181747.408932034</v>
      </c>
      <c r="X63" s="39" t="n">
        <f aca="false">IF(AND(('Inputs &amp; Assumptions'!$D$129+20)&gt;=1,('Inputs &amp; Assumptions'!$D$129+20)&lt;='Inputs &amp; Assumptions'!$C$13),'Inputs &amp; Assumptions'!X$51/4*INDEX('Inputs &amp; Assumptions'!$E$70:$E$98,'Inputs &amp; Assumptions'!$D$129+20),0)</f>
        <v>0</v>
      </c>
      <c r="Y63" s="39" t="n">
        <f aca="false">IF(AND(('Inputs &amp; Assumptions'!$D$129+21)&gt;=1,('Inputs &amp; Assumptions'!$D$129+21)&lt;='Inputs &amp; Assumptions'!$C$13),'Inputs &amp; Assumptions'!Y$51/4*INDEX('Inputs &amp; Assumptions'!$E$70:$E$98,'Inputs &amp; Assumptions'!$D$129+21),0)</f>
        <v>0</v>
      </c>
      <c r="Z63" s="39" t="n">
        <f aca="false">IF(AND(('Inputs &amp; Assumptions'!$D$129+22)&gt;=1,('Inputs &amp; Assumptions'!$D$129+22)&lt;='Inputs &amp; Assumptions'!$C$13),'Inputs &amp; Assumptions'!Z$51/4*INDEX('Inputs &amp; Assumptions'!$E$70:$E$98,'Inputs &amp; Assumptions'!$D$129+22),0)</f>
        <v>0</v>
      </c>
      <c r="AA63" s="39" t="n">
        <f aca="false">IF(AND(('Inputs &amp; Assumptions'!$D$129+23)&gt;=1,('Inputs &amp; Assumptions'!$D$129+23)&lt;='Inputs &amp; Assumptions'!$C$13),'Inputs &amp; Assumptions'!AA$51/4*INDEX('Inputs &amp; Assumptions'!$E$70:$E$98,'Inputs &amp; Assumptions'!$D$129+23),0)</f>
        <v>0</v>
      </c>
      <c r="AB63" s="39" t="n">
        <f aca="false">IF(AND(('Inputs &amp; Assumptions'!$D$129+24)&gt;=1,('Inputs &amp; Assumptions'!$D$129+24)&lt;='Inputs &amp; Assumptions'!$C$13),'Inputs &amp; Assumptions'!AB$51/4*INDEX('Inputs &amp; Assumptions'!$E$70:$E$98,'Inputs &amp; Assumptions'!$D$129+24),0)</f>
        <v>0</v>
      </c>
      <c r="AC63" s="39" t="n">
        <f aca="false">IF(AND(('Inputs &amp; Assumptions'!$D$129+25)&gt;=1,('Inputs &amp; Assumptions'!$D$129+25)&lt;='Inputs &amp; Assumptions'!$C$13),'Inputs &amp; Assumptions'!AC$51/4*INDEX('Inputs &amp; Assumptions'!$E$70:$E$98,'Inputs &amp; Assumptions'!$D$129+25),0)</f>
        <v>0</v>
      </c>
      <c r="AD63" s="39" t="n">
        <f aca="false">IF(AND(('Inputs &amp; Assumptions'!$D$129+26)&gt;=1,('Inputs &amp; Assumptions'!$D$129+26)&lt;='Inputs &amp; Assumptions'!$C$13),'Inputs &amp; Assumptions'!AD$51/4*INDEX('Inputs &amp; Assumptions'!$E$70:$E$98,'Inputs &amp; Assumptions'!$D$129+26),0)</f>
        <v>0</v>
      </c>
      <c r="AE63" s="39" t="n">
        <f aca="false">IF(AND(('Inputs &amp; Assumptions'!$D$129+27)&gt;=1,('Inputs &amp; Assumptions'!$D$129+27)&lt;='Inputs &amp; Assumptions'!$C$13),'Inputs &amp; Assumptions'!AE$51/4*INDEX('Inputs &amp; Assumptions'!$E$70:$E$98,'Inputs &amp; Assumptions'!$D$129+27),0)</f>
        <v>0</v>
      </c>
      <c r="AF63" s="39" t="n">
        <f aca="false">IF(AND(('Inputs &amp; Assumptions'!$D$129+28)&gt;=1,('Inputs &amp; Assumptions'!$D$129+28)&lt;='Inputs &amp; Assumptions'!$C$13),'Inputs &amp; Assumptions'!AF$51/4*INDEX('Inputs &amp; Assumptions'!$E$70:$E$98,'Inputs &amp; Assumptions'!$D$129+28),0)</f>
        <v>0</v>
      </c>
      <c r="AG63" s="39" t="n">
        <f aca="false">IF(AND(('Inputs &amp; Assumptions'!$D$129+29)&gt;=1,('Inputs &amp; Assumptions'!$D$129+29)&lt;='Inputs &amp; Assumptions'!$C$13),'Inputs &amp; Assumptions'!AG$51/4*INDEX('Inputs &amp; Assumptions'!$E$70:$E$98,'Inputs &amp; Assumptions'!$D$129+29),0)</f>
        <v>0</v>
      </c>
      <c r="AH63" s="39" t="n">
        <f aca="false">IF(AND(('Inputs &amp; Assumptions'!$D$129+30)&gt;=1,('Inputs &amp; Assumptions'!$D$129+30)&lt;='Inputs &amp; Assumptions'!$C$13),'Inputs &amp; Assumptions'!AH$51/4*INDEX('Inputs &amp; Assumptions'!$E$70:$E$98,'Inputs &amp; Assumptions'!$D$129+30),0)</f>
        <v>0</v>
      </c>
      <c r="AI63" s="39" t="n">
        <f aca="false">IF(AND(('Inputs &amp; Assumptions'!$D$129+31)&gt;=1,('Inputs &amp; Assumptions'!$D$129+31)&lt;='Inputs &amp; Assumptions'!$C$13),'Inputs &amp; Assumptions'!AI$51/4*INDEX('Inputs &amp; Assumptions'!$E$70:$E$98,'Inputs &amp; Assumptions'!$D$129+31),0)</f>
        <v>0</v>
      </c>
      <c r="AJ63" s="39" t="n">
        <f aca="false">IF(AND(('Inputs &amp; Assumptions'!$D$129+32)&gt;=1,('Inputs &amp; Assumptions'!$D$129+32)&lt;='Inputs &amp; Assumptions'!$C$13),'Inputs &amp; Assumptions'!AJ$51/4*INDEX('Inputs &amp; Assumptions'!$E$70:$E$98,'Inputs &amp; Assumptions'!$D$129+32),0)</f>
        <v>0</v>
      </c>
      <c r="AK63" s="39" t="n">
        <f aca="false">IF(AND(('Inputs &amp; Assumptions'!$D$129+33)&gt;=1,('Inputs &amp; Assumptions'!$D$129+33)&lt;='Inputs &amp; Assumptions'!$C$13),'Inputs &amp; Assumptions'!AK$51/4*INDEX('Inputs &amp; Assumptions'!$E$70:$E$98,'Inputs &amp; Assumptions'!$D$129+33),0)</f>
        <v>0</v>
      </c>
      <c r="AL63" s="39" t="n">
        <f aca="false">IF(AND(('Inputs &amp; Assumptions'!$D$129+34)&gt;=1,('Inputs &amp; Assumptions'!$D$129+34)&lt;='Inputs &amp; Assumptions'!$C$13),'Inputs &amp; Assumptions'!AL$51/4*INDEX('Inputs &amp; Assumptions'!$E$70:$E$98,'Inputs &amp; Assumptions'!$D$129+34),0)</f>
        <v>0</v>
      </c>
      <c r="AM63" s="39" t="n">
        <f aca="false">IF(AND(('Inputs &amp; Assumptions'!$D$129+35)&gt;=1,('Inputs &amp; Assumptions'!$D$129+35)&lt;='Inputs &amp; Assumptions'!$C$13),'Inputs &amp; Assumptions'!AM$51/4*INDEX('Inputs &amp; Assumptions'!$E$70:$E$98,'Inputs &amp; Assumptions'!$D$129+35),0)</f>
        <v>0</v>
      </c>
      <c r="AN63" s="39" t="n">
        <f aca="false">IF(AND(('Inputs &amp; Assumptions'!$D$129+36)&gt;=1,('Inputs &amp; Assumptions'!$D$129+36)&lt;='Inputs &amp; Assumptions'!$C$13),'Inputs &amp; Assumptions'!AN$51/4*INDEX('Inputs &amp; Assumptions'!$E$70:$E$98,'Inputs &amp; Assumptions'!$D$129+36),0)</f>
        <v>0</v>
      </c>
    </row>
    <row r="64" customFormat="false" ht="15" hidden="false" customHeight="false" outlineLevel="0" collapsed="false">
      <c r="B64" s="38" t="n">
        <f aca="false">'Inputs &amp; Assumptions'!$B$130</f>
        <v>29</v>
      </c>
      <c r="E64" s="39" t="n">
        <f aca="false">IF(AND(('Inputs &amp; Assumptions'!$D$130+1)&gt;=1,('Inputs &amp; Assumptions'!$D$130+1)&lt;='Inputs &amp; Assumptions'!$C$13),'Inputs &amp; Assumptions'!E$51/4*INDEX('Inputs &amp; Assumptions'!$E$70:$E$98,'Inputs &amp; Assumptions'!$D$130+1),0)</f>
        <v>305034.348205</v>
      </c>
      <c r="F64" s="39" t="n">
        <f aca="false">IF(AND(('Inputs &amp; Assumptions'!$D$130+2)&gt;=1,('Inputs &amp; Assumptions'!$D$130+2)&lt;='Inputs &amp; Assumptions'!$C$13),'Inputs &amp; Assumptions'!F$51/4*INDEX('Inputs &amp; Assumptions'!$E$70:$E$98,'Inputs &amp; Assumptions'!$D$130+2),0)</f>
        <v>295883.31775885</v>
      </c>
      <c r="G64" s="39" t="n">
        <f aca="false">IF(AND(('Inputs &amp; Assumptions'!$D$130+3)&gt;=1,('Inputs &amp; Assumptions'!$D$130+3)&lt;='Inputs &amp; Assumptions'!$C$13),'Inputs &amp; Assumptions'!G$51/4*INDEX('Inputs &amp; Assumptions'!$E$70:$E$98,'Inputs &amp; Assumptions'!$D$130+3),0)</f>
        <v>287006.818226084</v>
      </c>
      <c r="H64" s="39" t="n">
        <f aca="false">IF(AND(('Inputs &amp; Assumptions'!$D$130+4)&gt;=1,('Inputs &amp; Assumptions'!$D$130+4)&lt;='Inputs &amp; Assumptions'!$C$13),'Inputs &amp; Assumptions'!H$51/4*INDEX('Inputs &amp; Assumptions'!$E$70:$E$98,'Inputs &amp; Assumptions'!$D$130+4),0)</f>
        <v>278396.613679302</v>
      </c>
      <c r="I64" s="39" t="n">
        <f aca="false">IF(AND(('Inputs &amp; Assumptions'!$D$130+5)&gt;=1,('Inputs &amp; Assumptions'!$D$130+5)&lt;='Inputs &amp; Assumptions'!$C$13),'Inputs &amp; Assumptions'!I$51/4*INDEX('Inputs &amp; Assumptions'!$E$70:$E$98,'Inputs &amp; Assumptions'!$D$130+5),0)</f>
        <v>270044.715268923</v>
      </c>
      <c r="J64" s="39" t="n">
        <f aca="false">IF(AND(('Inputs &amp; Assumptions'!$D$130+6)&gt;=1,('Inputs &amp; Assumptions'!$D$130+6)&lt;='Inputs &amp; Assumptions'!$C$13),'Inputs &amp; Assumptions'!J$51/4*INDEX('Inputs &amp; Assumptions'!$E$70:$E$98,'Inputs &amp; Assumptions'!$D$130+6),0)</f>
        <v>261943.373810855</v>
      </c>
      <c r="K64" s="39" t="n">
        <f aca="false">IF(AND(('Inputs &amp; Assumptions'!$D$130+7)&gt;=1,('Inputs &amp; Assumptions'!$D$130+7)&lt;='Inputs &amp; Assumptions'!$C$13),'Inputs &amp; Assumptions'!K$51/4*INDEX('Inputs &amp; Assumptions'!$E$70:$E$98,'Inputs &amp; Assumptions'!$D$130+7),0)</f>
        <v>254085.072596529</v>
      </c>
      <c r="L64" s="39" t="n">
        <f aca="false">IF(AND(('Inputs &amp; Assumptions'!$D$130+8)&gt;=1,('Inputs &amp; Assumptions'!$D$130+8)&lt;='Inputs &amp; Assumptions'!$C$13),'Inputs &amp; Assumptions'!L$51/4*INDEX('Inputs &amp; Assumptions'!$E$70:$E$98,'Inputs &amp; Assumptions'!$D$130+8),0)</f>
        <v>246462.520418634</v>
      </c>
      <c r="M64" s="39" t="n">
        <f aca="false">IF(AND(('Inputs &amp; Assumptions'!$D$130+9)&gt;=1,('Inputs &amp; Assumptions'!$D$130+9)&lt;='Inputs &amp; Assumptions'!$C$13),'Inputs &amp; Assumptions'!M$51/4*INDEX('Inputs &amp; Assumptions'!$E$70:$E$98,'Inputs &amp; Assumptions'!$D$130+9),0)</f>
        <v>239068.644806075</v>
      </c>
      <c r="N64" s="39" t="n">
        <f aca="false">IF(AND(('Inputs &amp; Assumptions'!$D$130+10)&gt;=1,('Inputs &amp; Assumptions'!$D$130+10)&lt;='Inputs &amp; Assumptions'!$C$13),'Inputs &amp; Assumptions'!N$51/4*INDEX('Inputs &amp; Assumptions'!$E$70:$E$98,'Inputs &amp; Assumptions'!$D$130+10),0)</f>
        <v>231896.585461892</v>
      </c>
      <c r="O64" s="39" t="n">
        <f aca="false">IF(AND(('Inputs &amp; Assumptions'!$D$130+11)&gt;=1,('Inputs &amp; Assumptions'!$D$130+11)&lt;='Inputs &amp; Assumptions'!$C$13),'Inputs &amp; Assumptions'!O$51/4*INDEX('Inputs &amp; Assumptions'!$E$70:$E$98,'Inputs &amp; Assumptions'!$D$130+11),0)</f>
        <v>224939.687898036</v>
      </c>
      <c r="P64" s="39" t="n">
        <f aca="false">IF(AND(('Inputs &amp; Assumptions'!$D$130+12)&gt;=1,('Inputs &amp; Assumptions'!$D$130+12)&lt;='Inputs &amp; Assumptions'!$C$13),'Inputs &amp; Assumptions'!P$51/4*INDEX('Inputs &amp; Assumptions'!$E$70:$E$98,'Inputs &amp; Assumptions'!$D$130+12),0)</f>
        <v>218191.497261094</v>
      </c>
      <c r="Q64" s="39" t="n">
        <f aca="false">IF(AND(('Inputs &amp; Assumptions'!$D$130+13)&gt;=1,('Inputs &amp; Assumptions'!$D$130+13)&lt;='Inputs &amp; Assumptions'!$C$13),'Inputs &amp; Assumptions'!Q$51/4*INDEX('Inputs &amp; Assumptions'!$E$70:$E$98,'Inputs &amp; Assumptions'!$D$130+13),0)</f>
        <v>211645.752343262</v>
      </c>
      <c r="R64" s="39" t="n">
        <f aca="false">IF(AND(('Inputs &amp; Assumptions'!$D$130+14)&gt;=1,('Inputs &amp; Assumptions'!$D$130+14)&lt;='Inputs &amp; Assumptions'!$C$13),'Inputs &amp; Assumptions'!R$51/4*INDEX('Inputs &amp; Assumptions'!$E$70:$E$98,'Inputs &amp; Assumptions'!$D$130+14),0)</f>
        <v>205296.379772964</v>
      </c>
      <c r="S64" s="39" t="n">
        <f aca="false">IF(AND(('Inputs &amp; Assumptions'!$D$130+15)&gt;=1,('Inputs &amp; Assumptions'!$D$130+15)&lt;='Inputs &amp; Assumptions'!$C$13),'Inputs &amp; Assumptions'!S$51/4*INDEX('Inputs &amp; Assumptions'!$E$70:$E$98,'Inputs &amp; Assumptions'!$D$130+15),0)</f>
        <v>199137.488379775</v>
      </c>
      <c r="T64" s="39" t="n">
        <f aca="false">IF(AND(('Inputs &amp; Assumptions'!$D$130+16)&gt;=1,('Inputs &amp; Assumptions'!$D$130+16)&lt;='Inputs &amp; Assumptions'!$C$13),'Inputs &amp; Assumptions'!T$51/4*INDEX('Inputs &amp; Assumptions'!$E$70:$E$98,'Inputs &amp; Assumptions'!$D$130+16),0)</f>
        <v>193163.363728382</v>
      </c>
      <c r="U64" s="39" t="n">
        <f aca="false">IF(AND(('Inputs &amp; Assumptions'!$D$130+17)&gt;=1,('Inputs &amp; Assumptions'!$D$130+17)&lt;='Inputs &amp; Assumptions'!$C$13),'Inputs &amp; Assumptions'!U$51/4*INDEX('Inputs &amp; Assumptions'!$E$70:$E$98,'Inputs &amp; Assumptions'!$D$130+17),0)</f>
        <v>187368.46281653</v>
      </c>
      <c r="V64" s="39" t="n">
        <f aca="false">IF(AND(('Inputs &amp; Assumptions'!$D$130+18)&gt;=1,('Inputs &amp; Assumptions'!$D$130+18)&lt;='Inputs &amp; Assumptions'!$C$13),'Inputs &amp; Assumptions'!V$51/4*INDEX('Inputs &amp; Assumptions'!$E$70:$E$98,'Inputs &amp; Assumptions'!$D$130+18),0)</f>
        <v>181747.408932034</v>
      </c>
      <c r="W64" s="39" t="n">
        <f aca="false">IF(AND(('Inputs &amp; Assumptions'!$D$130+19)&gt;=1,('Inputs &amp; Assumptions'!$D$130+19)&lt;='Inputs &amp; Assumptions'!$C$13),'Inputs &amp; Assumptions'!W$51/4*INDEX('Inputs &amp; Assumptions'!$E$70:$E$98,'Inputs &amp; Assumptions'!$D$130+19),0)</f>
        <v>0</v>
      </c>
      <c r="X64" s="39" t="n">
        <f aca="false">IF(AND(('Inputs &amp; Assumptions'!$D$130+20)&gt;=1,('Inputs &amp; Assumptions'!$D$130+20)&lt;='Inputs &amp; Assumptions'!$C$13),'Inputs &amp; Assumptions'!X$51/4*INDEX('Inputs &amp; Assumptions'!$E$70:$E$98,'Inputs &amp; Assumptions'!$D$130+20),0)</f>
        <v>0</v>
      </c>
      <c r="Y64" s="39" t="n">
        <f aca="false">IF(AND(('Inputs &amp; Assumptions'!$D$130+21)&gt;=1,('Inputs &amp; Assumptions'!$D$130+21)&lt;='Inputs &amp; Assumptions'!$C$13),'Inputs &amp; Assumptions'!Y$51/4*INDEX('Inputs &amp; Assumptions'!$E$70:$E$98,'Inputs &amp; Assumptions'!$D$130+21),0)</f>
        <v>0</v>
      </c>
      <c r="Z64" s="39" t="n">
        <f aca="false">IF(AND(('Inputs &amp; Assumptions'!$D$130+22)&gt;=1,('Inputs &amp; Assumptions'!$D$130+22)&lt;='Inputs &amp; Assumptions'!$C$13),'Inputs &amp; Assumptions'!Z$51/4*INDEX('Inputs &amp; Assumptions'!$E$70:$E$98,'Inputs &amp; Assumptions'!$D$130+22),0)</f>
        <v>0</v>
      </c>
      <c r="AA64" s="39" t="n">
        <f aca="false">IF(AND(('Inputs &amp; Assumptions'!$D$130+23)&gt;=1,('Inputs &amp; Assumptions'!$D$130+23)&lt;='Inputs &amp; Assumptions'!$C$13),'Inputs &amp; Assumptions'!AA$51/4*INDEX('Inputs &amp; Assumptions'!$E$70:$E$98,'Inputs &amp; Assumptions'!$D$130+23),0)</f>
        <v>0</v>
      </c>
      <c r="AB64" s="39" t="n">
        <f aca="false">IF(AND(('Inputs &amp; Assumptions'!$D$130+24)&gt;=1,('Inputs &amp; Assumptions'!$D$130+24)&lt;='Inputs &amp; Assumptions'!$C$13),'Inputs &amp; Assumptions'!AB$51/4*INDEX('Inputs &amp; Assumptions'!$E$70:$E$98,'Inputs &amp; Assumptions'!$D$130+24),0)</f>
        <v>0</v>
      </c>
      <c r="AC64" s="39" t="n">
        <f aca="false">IF(AND(('Inputs &amp; Assumptions'!$D$130+25)&gt;=1,('Inputs &amp; Assumptions'!$D$130+25)&lt;='Inputs &amp; Assumptions'!$C$13),'Inputs &amp; Assumptions'!AC$51/4*INDEX('Inputs &amp; Assumptions'!$E$70:$E$98,'Inputs &amp; Assumptions'!$D$130+25),0)</f>
        <v>0</v>
      </c>
      <c r="AD64" s="39" t="n">
        <f aca="false">IF(AND(('Inputs &amp; Assumptions'!$D$130+26)&gt;=1,('Inputs &amp; Assumptions'!$D$130+26)&lt;='Inputs &amp; Assumptions'!$C$13),'Inputs &amp; Assumptions'!AD$51/4*INDEX('Inputs &amp; Assumptions'!$E$70:$E$98,'Inputs &amp; Assumptions'!$D$130+26),0)</f>
        <v>0</v>
      </c>
      <c r="AE64" s="39" t="n">
        <f aca="false">IF(AND(('Inputs &amp; Assumptions'!$D$130+27)&gt;=1,('Inputs &amp; Assumptions'!$D$130+27)&lt;='Inputs &amp; Assumptions'!$C$13),'Inputs &amp; Assumptions'!AE$51/4*INDEX('Inputs &amp; Assumptions'!$E$70:$E$98,'Inputs &amp; Assumptions'!$D$130+27),0)</f>
        <v>0</v>
      </c>
      <c r="AF64" s="39" t="n">
        <f aca="false">IF(AND(('Inputs &amp; Assumptions'!$D$130+28)&gt;=1,('Inputs &amp; Assumptions'!$D$130+28)&lt;='Inputs &amp; Assumptions'!$C$13),'Inputs &amp; Assumptions'!AF$51/4*INDEX('Inputs &amp; Assumptions'!$E$70:$E$98,'Inputs &amp; Assumptions'!$D$130+28),0)</f>
        <v>0</v>
      </c>
      <c r="AG64" s="39" t="n">
        <f aca="false">IF(AND(('Inputs &amp; Assumptions'!$D$130+29)&gt;=1,('Inputs &amp; Assumptions'!$D$130+29)&lt;='Inputs &amp; Assumptions'!$C$13),'Inputs &amp; Assumptions'!AG$51/4*INDEX('Inputs &amp; Assumptions'!$E$70:$E$98,'Inputs &amp; Assumptions'!$D$130+29),0)</f>
        <v>0</v>
      </c>
      <c r="AH64" s="39" t="n">
        <f aca="false">IF(AND(('Inputs &amp; Assumptions'!$D$130+30)&gt;=1,('Inputs &amp; Assumptions'!$D$130+30)&lt;='Inputs &amp; Assumptions'!$C$13),'Inputs &amp; Assumptions'!AH$51/4*INDEX('Inputs &amp; Assumptions'!$E$70:$E$98,'Inputs &amp; Assumptions'!$D$130+30),0)</f>
        <v>0</v>
      </c>
      <c r="AI64" s="39" t="n">
        <f aca="false">IF(AND(('Inputs &amp; Assumptions'!$D$130+31)&gt;=1,('Inputs &amp; Assumptions'!$D$130+31)&lt;='Inputs &amp; Assumptions'!$C$13),'Inputs &amp; Assumptions'!AI$51/4*INDEX('Inputs &amp; Assumptions'!$E$70:$E$98,'Inputs &amp; Assumptions'!$D$130+31),0)</f>
        <v>0</v>
      </c>
      <c r="AJ64" s="39" t="n">
        <f aca="false">IF(AND(('Inputs &amp; Assumptions'!$D$130+32)&gt;=1,('Inputs &amp; Assumptions'!$D$130+32)&lt;='Inputs &amp; Assumptions'!$C$13),'Inputs &amp; Assumptions'!AJ$51/4*INDEX('Inputs &amp; Assumptions'!$E$70:$E$98,'Inputs &amp; Assumptions'!$D$130+32),0)</f>
        <v>0</v>
      </c>
      <c r="AK64" s="39" t="n">
        <f aca="false">IF(AND(('Inputs &amp; Assumptions'!$D$130+33)&gt;=1,('Inputs &amp; Assumptions'!$D$130+33)&lt;='Inputs &amp; Assumptions'!$C$13),'Inputs &amp; Assumptions'!AK$51/4*INDEX('Inputs &amp; Assumptions'!$E$70:$E$98,'Inputs &amp; Assumptions'!$D$130+33),0)</f>
        <v>0</v>
      </c>
      <c r="AL64" s="39" t="n">
        <f aca="false">IF(AND(('Inputs &amp; Assumptions'!$D$130+34)&gt;=1,('Inputs &amp; Assumptions'!$D$130+34)&lt;='Inputs &amp; Assumptions'!$C$13),'Inputs &amp; Assumptions'!AL$51/4*INDEX('Inputs &amp; Assumptions'!$E$70:$E$98,'Inputs &amp; Assumptions'!$D$130+34),0)</f>
        <v>0</v>
      </c>
      <c r="AM64" s="39" t="n">
        <f aca="false">IF(AND(('Inputs &amp; Assumptions'!$D$130+35)&gt;=1,('Inputs &amp; Assumptions'!$D$130+35)&lt;='Inputs &amp; Assumptions'!$C$13),'Inputs &amp; Assumptions'!AM$51/4*INDEX('Inputs &amp; Assumptions'!$E$70:$E$98,'Inputs &amp; Assumptions'!$D$130+35),0)</f>
        <v>0</v>
      </c>
      <c r="AN64" s="39" t="n">
        <f aca="false">IF(AND(('Inputs &amp; Assumptions'!$D$130+36)&gt;=1,('Inputs &amp; Assumptions'!$D$130+36)&lt;='Inputs &amp; Assumptions'!$C$13),'Inputs &amp; Assumptions'!AN$51/4*INDEX('Inputs &amp; Assumptions'!$E$70:$E$98,'Inputs &amp; Assumptions'!$D$130+36),0)</f>
        <v>0</v>
      </c>
    </row>
    <row r="65" customFormat="false" ht="15" hidden="false" customHeight="false" outlineLevel="0" collapsed="false">
      <c r="B65" s="38" t="n">
        <f aca="false">'Inputs &amp; Assumptions'!$B$131</f>
        <v>30</v>
      </c>
      <c r="E65" s="39" t="n">
        <f aca="false">IF(AND(('Inputs &amp; Assumptions'!$D$131+1)&gt;=1,('Inputs &amp; Assumptions'!$D$131+1)&lt;='Inputs &amp; Assumptions'!$C$13),'Inputs &amp; Assumptions'!E$51/4*INDEX('Inputs &amp; Assumptions'!$E$70:$E$98,'Inputs &amp; Assumptions'!$D$131+1),0)</f>
        <v>305034.348205</v>
      </c>
      <c r="F65" s="39" t="n">
        <f aca="false">IF(AND(('Inputs &amp; Assumptions'!$D$131+2)&gt;=1,('Inputs &amp; Assumptions'!$D$131+2)&lt;='Inputs &amp; Assumptions'!$C$13),'Inputs &amp; Assumptions'!F$51/4*INDEX('Inputs &amp; Assumptions'!$E$70:$E$98,'Inputs &amp; Assumptions'!$D$131+2),0)</f>
        <v>295883.31775885</v>
      </c>
      <c r="G65" s="39" t="n">
        <f aca="false">IF(AND(('Inputs &amp; Assumptions'!$D$131+3)&gt;=1,('Inputs &amp; Assumptions'!$D$131+3)&lt;='Inputs &amp; Assumptions'!$C$13),'Inputs &amp; Assumptions'!G$51/4*INDEX('Inputs &amp; Assumptions'!$E$70:$E$98,'Inputs &amp; Assumptions'!$D$131+3),0)</f>
        <v>287006.818226084</v>
      </c>
      <c r="H65" s="39" t="n">
        <f aca="false">IF(AND(('Inputs &amp; Assumptions'!$D$131+4)&gt;=1,('Inputs &amp; Assumptions'!$D$131+4)&lt;='Inputs &amp; Assumptions'!$C$13),'Inputs &amp; Assumptions'!H$51/4*INDEX('Inputs &amp; Assumptions'!$E$70:$E$98,'Inputs &amp; Assumptions'!$D$131+4),0)</f>
        <v>278396.613679302</v>
      </c>
      <c r="I65" s="39" t="n">
        <f aca="false">IF(AND(('Inputs &amp; Assumptions'!$D$131+5)&gt;=1,('Inputs &amp; Assumptions'!$D$131+5)&lt;='Inputs &amp; Assumptions'!$C$13),'Inputs &amp; Assumptions'!I$51/4*INDEX('Inputs &amp; Assumptions'!$E$70:$E$98,'Inputs &amp; Assumptions'!$D$131+5),0)</f>
        <v>270044.715268923</v>
      </c>
      <c r="J65" s="39" t="n">
        <f aca="false">IF(AND(('Inputs &amp; Assumptions'!$D$131+6)&gt;=1,('Inputs &amp; Assumptions'!$D$131+6)&lt;='Inputs &amp; Assumptions'!$C$13),'Inputs &amp; Assumptions'!J$51/4*INDEX('Inputs &amp; Assumptions'!$E$70:$E$98,'Inputs &amp; Assumptions'!$D$131+6),0)</f>
        <v>261943.373810855</v>
      </c>
      <c r="K65" s="39" t="n">
        <f aca="false">IF(AND(('Inputs &amp; Assumptions'!$D$131+7)&gt;=1,('Inputs &amp; Assumptions'!$D$131+7)&lt;='Inputs &amp; Assumptions'!$C$13),'Inputs &amp; Assumptions'!K$51/4*INDEX('Inputs &amp; Assumptions'!$E$70:$E$98,'Inputs &amp; Assumptions'!$D$131+7),0)</f>
        <v>254085.072596529</v>
      </c>
      <c r="L65" s="39" t="n">
        <f aca="false">IF(AND(('Inputs &amp; Assumptions'!$D$131+8)&gt;=1,('Inputs &amp; Assumptions'!$D$131+8)&lt;='Inputs &amp; Assumptions'!$C$13),'Inputs &amp; Assumptions'!L$51/4*INDEX('Inputs &amp; Assumptions'!$E$70:$E$98,'Inputs &amp; Assumptions'!$D$131+8),0)</f>
        <v>246462.520418634</v>
      </c>
      <c r="M65" s="39" t="n">
        <f aca="false">IF(AND(('Inputs &amp; Assumptions'!$D$131+9)&gt;=1,('Inputs &amp; Assumptions'!$D$131+9)&lt;='Inputs &amp; Assumptions'!$C$13),'Inputs &amp; Assumptions'!M$51/4*INDEX('Inputs &amp; Assumptions'!$E$70:$E$98,'Inputs &amp; Assumptions'!$D$131+9),0)</f>
        <v>239068.644806075</v>
      </c>
      <c r="N65" s="39" t="n">
        <f aca="false">IF(AND(('Inputs &amp; Assumptions'!$D$131+10)&gt;=1,('Inputs &amp; Assumptions'!$D$131+10)&lt;='Inputs &amp; Assumptions'!$C$13),'Inputs &amp; Assumptions'!N$51/4*INDEX('Inputs &amp; Assumptions'!$E$70:$E$98,'Inputs &amp; Assumptions'!$D$131+10),0)</f>
        <v>231896.585461892</v>
      </c>
      <c r="O65" s="39" t="n">
        <f aca="false">IF(AND(('Inputs &amp; Assumptions'!$D$131+11)&gt;=1,('Inputs &amp; Assumptions'!$D$131+11)&lt;='Inputs &amp; Assumptions'!$C$13),'Inputs &amp; Assumptions'!O$51/4*INDEX('Inputs &amp; Assumptions'!$E$70:$E$98,'Inputs &amp; Assumptions'!$D$131+11),0)</f>
        <v>224939.687898036</v>
      </c>
      <c r="P65" s="39" t="n">
        <f aca="false">IF(AND(('Inputs &amp; Assumptions'!$D$131+12)&gt;=1,('Inputs &amp; Assumptions'!$D$131+12)&lt;='Inputs &amp; Assumptions'!$C$13),'Inputs &amp; Assumptions'!P$51/4*INDEX('Inputs &amp; Assumptions'!$E$70:$E$98,'Inputs &amp; Assumptions'!$D$131+12),0)</f>
        <v>218191.497261094</v>
      </c>
      <c r="Q65" s="39" t="n">
        <f aca="false">IF(AND(('Inputs &amp; Assumptions'!$D$131+13)&gt;=1,('Inputs &amp; Assumptions'!$D$131+13)&lt;='Inputs &amp; Assumptions'!$C$13),'Inputs &amp; Assumptions'!Q$51/4*INDEX('Inputs &amp; Assumptions'!$E$70:$E$98,'Inputs &amp; Assumptions'!$D$131+13),0)</f>
        <v>211645.752343262</v>
      </c>
      <c r="R65" s="39" t="n">
        <f aca="false">IF(AND(('Inputs &amp; Assumptions'!$D$131+14)&gt;=1,('Inputs &amp; Assumptions'!$D$131+14)&lt;='Inputs &amp; Assumptions'!$C$13),'Inputs &amp; Assumptions'!R$51/4*INDEX('Inputs &amp; Assumptions'!$E$70:$E$98,'Inputs &amp; Assumptions'!$D$131+14),0)</f>
        <v>205296.379772964</v>
      </c>
      <c r="S65" s="39" t="n">
        <f aca="false">IF(AND(('Inputs &amp; Assumptions'!$D$131+15)&gt;=1,('Inputs &amp; Assumptions'!$D$131+15)&lt;='Inputs &amp; Assumptions'!$C$13),'Inputs &amp; Assumptions'!S$51/4*INDEX('Inputs &amp; Assumptions'!$E$70:$E$98,'Inputs &amp; Assumptions'!$D$131+15),0)</f>
        <v>199137.488379775</v>
      </c>
      <c r="T65" s="39" t="n">
        <f aca="false">IF(AND(('Inputs &amp; Assumptions'!$D$131+16)&gt;=1,('Inputs &amp; Assumptions'!$D$131+16)&lt;='Inputs &amp; Assumptions'!$C$13),'Inputs &amp; Assumptions'!T$51/4*INDEX('Inputs &amp; Assumptions'!$E$70:$E$98,'Inputs &amp; Assumptions'!$D$131+16),0)</f>
        <v>193163.363728382</v>
      </c>
      <c r="U65" s="39" t="n">
        <f aca="false">IF(AND(('Inputs &amp; Assumptions'!$D$131+17)&gt;=1,('Inputs &amp; Assumptions'!$D$131+17)&lt;='Inputs &amp; Assumptions'!$C$13),'Inputs &amp; Assumptions'!U$51/4*INDEX('Inputs &amp; Assumptions'!$E$70:$E$98,'Inputs &amp; Assumptions'!$D$131+17),0)</f>
        <v>187368.46281653</v>
      </c>
      <c r="V65" s="39" t="n">
        <f aca="false">IF(AND(('Inputs &amp; Assumptions'!$D$131+18)&gt;=1,('Inputs &amp; Assumptions'!$D$131+18)&lt;='Inputs &amp; Assumptions'!$C$13),'Inputs &amp; Assumptions'!V$51/4*INDEX('Inputs &amp; Assumptions'!$E$70:$E$98,'Inputs &amp; Assumptions'!$D$131+18),0)</f>
        <v>181747.408932034</v>
      </c>
      <c r="W65" s="39" t="n">
        <f aca="false">IF(AND(('Inputs &amp; Assumptions'!$D$131+19)&gt;=1,('Inputs &amp; Assumptions'!$D$131+19)&lt;='Inputs &amp; Assumptions'!$C$13),'Inputs &amp; Assumptions'!W$51/4*INDEX('Inputs &amp; Assumptions'!$E$70:$E$98,'Inputs &amp; Assumptions'!$D$131+19),0)</f>
        <v>0</v>
      </c>
      <c r="X65" s="39" t="n">
        <f aca="false">IF(AND(('Inputs &amp; Assumptions'!$D$131+20)&gt;=1,('Inputs &amp; Assumptions'!$D$131+20)&lt;='Inputs &amp; Assumptions'!$C$13),'Inputs &amp; Assumptions'!X$51/4*INDEX('Inputs &amp; Assumptions'!$E$70:$E$98,'Inputs &amp; Assumptions'!$D$131+20),0)</f>
        <v>0</v>
      </c>
      <c r="Y65" s="39" t="n">
        <f aca="false">IF(AND(('Inputs &amp; Assumptions'!$D$131+21)&gt;=1,('Inputs &amp; Assumptions'!$D$131+21)&lt;='Inputs &amp; Assumptions'!$C$13),'Inputs &amp; Assumptions'!Y$51/4*INDEX('Inputs &amp; Assumptions'!$E$70:$E$98,'Inputs &amp; Assumptions'!$D$131+21),0)</f>
        <v>0</v>
      </c>
      <c r="Z65" s="39" t="n">
        <f aca="false">IF(AND(('Inputs &amp; Assumptions'!$D$131+22)&gt;=1,('Inputs &amp; Assumptions'!$D$131+22)&lt;='Inputs &amp; Assumptions'!$C$13),'Inputs &amp; Assumptions'!Z$51/4*INDEX('Inputs &amp; Assumptions'!$E$70:$E$98,'Inputs &amp; Assumptions'!$D$131+22),0)</f>
        <v>0</v>
      </c>
      <c r="AA65" s="39" t="n">
        <f aca="false">IF(AND(('Inputs &amp; Assumptions'!$D$131+23)&gt;=1,('Inputs &amp; Assumptions'!$D$131+23)&lt;='Inputs &amp; Assumptions'!$C$13),'Inputs &amp; Assumptions'!AA$51/4*INDEX('Inputs &amp; Assumptions'!$E$70:$E$98,'Inputs &amp; Assumptions'!$D$131+23),0)</f>
        <v>0</v>
      </c>
      <c r="AB65" s="39" t="n">
        <f aca="false">IF(AND(('Inputs &amp; Assumptions'!$D$131+24)&gt;=1,('Inputs &amp; Assumptions'!$D$131+24)&lt;='Inputs &amp; Assumptions'!$C$13),'Inputs &amp; Assumptions'!AB$51/4*INDEX('Inputs &amp; Assumptions'!$E$70:$E$98,'Inputs &amp; Assumptions'!$D$131+24),0)</f>
        <v>0</v>
      </c>
      <c r="AC65" s="39" t="n">
        <f aca="false">IF(AND(('Inputs &amp; Assumptions'!$D$131+25)&gt;=1,('Inputs &amp; Assumptions'!$D$131+25)&lt;='Inputs &amp; Assumptions'!$C$13),'Inputs &amp; Assumptions'!AC$51/4*INDEX('Inputs &amp; Assumptions'!$E$70:$E$98,'Inputs &amp; Assumptions'!$D$131+25),0)</f>
        <v>0</v>
      </c>
      <c r="AD65" s="39" t="n">
        <f aca="false">IF(AND(('Inputs &amp; Assumptions'!$D$131+26)&gt;=1,('Inputs &amp; Assumptions'!$D$131+26)&lt;='Inputs &amp; Assumptions'!$C$13),'Inputs &amp; Assumptions'!AD$51/4*INDEX('Inputs &amp; Assumptions'!$E$70:$E$98,'Inputs &amp; Assumptions'!$D$131+26),0)</f>
        <v>0</v>
      </c>
      <c r="AE65" s="39" t="n">
        <f aca="false">IF(AND(('Inputs &amp; Assumptions'!$D$131+27)&gt;=1,('Inputs &amp; Assumptions'!$D$131+27)&lt;='Inputs &amp; Assumptions'!$C$13),'Inputs &amp; Assumptions'!AE$51/4*INDEX('Inputs &amp; Assumptions'!$E$70:$E$98,'Inputs &amp; Assumptions'!$D$131+27),0)</f>
        <v>0</v>
      </c>
      <c r="AF65" s="39" t="n">
        <f aca="false">IF(AND(('Inputs &amp; Assumptions'!$D$131+28)&gt;=1,('Inputs &amp; Assumptions'!$D$131+28)&lt;='Inputs &amp; Assumptions'!$C$13),'Inputs &amp; Assumptions'!AF$51/4*INDEX('Inputs &amp; Assumptions'!$E$70:$E$98,'Inputs &amp; Assumptions'!$D$131+28),0)</f>
        <v>0</v>
      </c>
      <c r="AG65" s="39" t="n">
        <f aca="false">IF(AND(('Inputs &amp; Assumptions'!$D$131+29)&gt;=1,('Inputs &amp; Assumptions'!$D$131+29)&lt;='Inputs &amp; Assumptions'!$C$13),'Inputs &amp; Assumptions'!AG$51/4*INDEX('Inputs &amp; Assumptions'!$E$70:$E$98,'Inputs &amp; Assumptions'!$D$131+29),0)</f>
        <v>0</v>
      </c>
      <c r="AH65" s="39" t="n">
        <f aca="false">IF(AND(('Inputs &amp; Assumptions'!$D$131+30)&gt;=1,('Inputs &amp; Assumptions'!$D$131+30)&lt;='Inputs &amp; Assumptions'!$C$13),'Inputs &amp; Assumptions'!AH$51/4*INDEX('Inputs &amp; Assumptions'!$E$70:$E$98,'Inputs &amp; Assumptions'!$D$131+30),0)</f>
        <v>0</v>
      </c>
      <c r="AI65" s="39" t="n">
        <f aca="false">IF(AND(('Inputs &amp; Assumptions'!$D$131+31)&gt;=1,('Inputs &amp; Assumptions'!$D$131+31)&lt;='Inputs &amp; Assumptions'!$C$13),'Inputs &amp; Assumptions'!AI$51/4*INDEX('Inputs &amp; Assumptions'!$E$70:$E$98,'Inputs &amp; Assumptions'!$D$131+31),0)</f>
        <v>0</v>
      </c>
      <c r="AJ65" s="39" t="n">
        <f aca="false">IF(AND(('Inputs &amp; Assumptions'!$D$131+32)&gt;=1,('Inputs &amp; Assumptions'!$D$131+32)&lt;='Inputs &amp; Assumptions'!$C$13),'Inputs &amp; Assumptions'!AJ$51/4*INDEX('Inputs &amp; Assumptions'!$E$70:$E$98,'Inputs &amp; Assumptions'!$D$131+32),0)</f>
        <v>0</v>
      </c>
      <c r="AK65" s="39" t="n">
        <f aca="false">IF(AND(('Inputs &amp; Assumptions'!$D$131+33)&gt;=1,('Inputs &amp; Assumptions'!$D$131+33)&lt;='Inputs &amp; Assumptions'!$C$13),'Inputs &amp; Assumptions'!AK$51/4*INDEX('Inputs &amp; Assumptions'!$E$70:$E$98,'Inputs &amp; Assumptions'!$D$131+33),0)</f>
        <v>0</v>
      </c>
      <c r="AL65" s="39" t="n">
        <f aca="false">IF(AND(('Inputs &amp; Assumptions'!$D$131+34)&gt;=1,('Inputs &amp; Assumptions'!$D$131+34)&lt;='Inputs &amp; Assumptions'!$C$13),'Inputs &amp; Assumptions'!AL$51/4*INDEX('Inputs &amp; Assumptions'!$E$70:$E$98,'Inputs &amp; Assumptions'!$D$131+34),0)</f>
        <v>0</v>
      </c>
      <c r="AM65" s="39" t="n">
        <f aca="false">IF(AND(('Inputs &amp; Assumptions'!$D$131+35)&gt;=1,('Inputs &amp; Assumptions'!$D$131+35)&lt;='Inputs &amp; Assumptions'!$C$13),'Inputs &amp; Assumptions'!AM$51/4*INDEX('Inputs &amp; Assumptions'!$E$70:$E$98,'Inputs &amp; Assumptions'!$D$131+35),0)</f>
        <v>0</v>
      </c>
      <c r="AN65" s="39" t="n">
        <f aca="false">IF(AND(('Inputs &amp; Assumptions'!$D$131+36)&gt;=1,('Inputs &amp; Assumptions'!$D$131+36)&lt;='Inputs &amp; Assumptions'!$C$13),'Inputs &amp; Assumptions'!AN$51/4*INDEX('Inputs &amp; Assumptions'!$E$70:$E$98,'Inputs &amp; Assumptions'!$D$131+36),0)</f>
        <v>0</v>
      </c>
    </row>
    <row r="67" customFormat="false" ht="15" hidden="false" customHeight="false" outlineLevel="0" collapsed="false">
      <c r="A67" s="3" t="s">
        <v>116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customFormat="false" ht="15" hidden="false" customHeight="false" outlineLevel="0" collapsed="false">
      <c r="A68" s="14" t="s">
        <v>117</v>
      </c>
      <c r="E68" s="39" t="n">
        <f aca="false">SUM(E6:E35)</f>
        <v>11021246.1101748</v>
      </c>
      <c r="F68" s="39" t="n">
        <f aca="false">SUM(F6:F35)</f>
        <v>12490608.7268696</v>
      </c>
      <c r="G68" s="39" t="n">
        <f aca="false">SUM(G6:G35)</f>
        <v>13915890.4650635</v>
      </c>
      <c r="H68" s="39" t="n">
        <f aca="false">SUM(H6:H35)</f>
        <v>15298413.7511116</v>
      </c>
      <c r="I68" s="39" t="n">
        <f aca="false">SUM(I6:I35)</f>
        <v>15439461.3385782</v>
      </c>
      <c r="J68" s="39" t="n">
        <f aca="false">SUM(J6:J35)</f>
        <v>14976277.4984209</v>
      </c>
      <c r="K68" s="39" t="n">
        <f aca="false">SUM(K6:K35)</f>
        <v>14526989.1734682</v>
      </c>
      <c r="L68" s="39" t="n">
        <f aca="false">SUM(L6:L35)</f>
        <v>14091179.4982642</v>
      </c>
      <c r="M68" s="39" t="n">
        <f aca="false">SUM(M6:M35)</f>
        <v>13668444.1133163</v>
      </c>
      <c r="N68" s="39" t="n">
        <f aca="false">SUM(N6:N35)</f>
        <v>13258390.7899168</v>
      </c>
      <c r="O68" s="39" t="n">
        <f aca="false">SUM(O6:O35)</f>
        <v>12860639.0662193</v>
      </c>
      <c r="P68" s="39" t="n">
        <f aca="false">SUM(P6:P35)</f>
        <v>12474819.8942327</v>
      </c>
      <c r="Q68" s="39" t="n">
        <f aca="false">SUM(Q6:Q35)</f>
        <v>12100575.2974057</v>
      </c>
      <c r="R68" s="39" t="n">
        <f aca="false">SUM(R6:R35)</f>
        <v>11737558.0384836</v>
      </c>
      <c r="S68" s="39" t="n">
        <f aca="false">SUM(S6:S35)</f>
        <v>11385431.297329</v>
      </c>
      <c r="T68" s="39" t="n">
        <f aca="false">SUM(T6:T35)</f>
        <v>11043868.3584092</v>
      </c>
      <c r="U68" s="39" t="n">
        <f aca="false">SUM(U6:U35)</f>
        <v>10712552.3076569</v>
      </c>
      <c r="V68" s="39" t="n">
        <f aca="false">SUM(V6:V35)</f>
        <v>29647864.6148961</v>
      </c>
      <c r="W68" s="39" t="n">
        <f aca="false">SUM(W6:W35)</f>
        <v>38386773.1146837</v>
      </c>
      <c r="X68" s="39" t="n">
        <f aca="false">SUM(X6:X35)</f>
        <v>37235169.9212432</v>
      </c>
      <c r="Y68" s="39" t="n">
        <f aca="false">SUM(Y6:Y35)</f>
        <v>36118114.8236059</v>
      </c>
      <c r="Z68" s="39" t="n">
        <f aca="false">SUM(Z6:Z35)</f>
        <v>35034571.3788978</v>
      </c>
      <c r="AA68" s="39" t="n">
        <f aca="false">SUM(AA6:AA35)</f>
        <v>33983534.2375308</v>
      </c>
      <c r="AB68" s="39" t="n">
        <f aca="false">SUM(AB6:AB35)</f>
        <v>32964028.2104049</v>
      </c>
      <c r="AC68" s="39" t="n">
        <f aca="false">SUM(AC6:AC35)</f>
        <v>31975107.3640927</v>
      </c>
      <c r="AD68" s="39" t="n">
        <f aca="false">SUM(AD6:AD35)</f>
        <v>31015854.14317</v>
      </c>
      <c r="AE68" s="39" t="n">
        <f aca="false">SUM(AE6:AE35)</f>
        <v>30085378.5188749</v>
      </c>
      <c r="AF68" s="39" t="n">
        <f aca="false">SUM(AF6:AF35)</f>
        <v>9926128.28683967</v>
      </c>
      <c r="AG68" s="39" t="n">
        <f aca="false">SUM(AG6:AG35)</f>
        <v>0</v>
      </c>
      <c r="AH68" s="39" t="n">
        <f aca="false">SUM(AH6:AH35)</f>
        <v>0</v>
      </c>
      <c r="AI68" s="39" t="n">
        <f aca="false">SUM(AI6:AI35)</f>
        <v>0</v>
      </c>
      <c r="AJ68" s="39" t="n">
        <f aca="false">SUM(AJ6:AJ35)</f>
        <v>0</v>
      </c>
      <c r="AK68" s="39" t="n">
        <f aca="false">SUM(AK6:AK35)</f>
        <v>0</v>
      </c>
      <c r="AL68" s="39" t="n">
        <f aca="false">SUM(AL6:AL35)</f>
        <v>0</v>
      </c>
      <c r="AM68" s="39" t="n">
        <f aca="false">SUM(AM6:AM35)</f>
        <v>0</v>
      </c>
      <c r="AN68" s="39" t="n">
        <f aca="false">SUM(AN6:AN35)</f>
        <v>0</v>
      </c>
    </row>
    <row r="69" customFormat="false" ht="15" hidden="false" customHeight="false" outlineLevel="0" collapsed="false">
      <c r="A69" s="14" t="s">
        <v>118</v>
      </c>
      <c r="E69" s="39" t="n">
        <f aca="false">SUM(E36:E65)</f>
        <v>10388633.87591</v>
      </c>
      <c r="F69" s="39" t="n">
        <f aca="false">SUM(F36:F65)</f>
        <v>10186834.8596327</v>
      </c>
      <c r="G69" s="39" t="n">
        <f aca="false">SUM(G36:G65)</f>
        <v>9958131.81384374</v>
      </c>
      <c r="H69" s="39" t="n">
        <f aca="false">SUM(H36:H65)</f>
        <v>9703331.85942842</v>
      </c>
      <c r="I69" s="39" t="n">
        <f aca="false">SUM(I36:I65)</f>
        <v>9423217.90364557</v>
      </c>
      <c r="J69" s="39" t="n">
        <f aca="false">SUM(J36:J65)</f>
        <v>9140521.36653621</v>
      </c>
      <c r="K69" s="39" t="n">
        <f aca="false">SUM(K36:K65)</f>
        <v>8866305.72554012</v>
      </c>
      <c r="L69" s="39" t="n">
        <f aca="false">SUM(L36:L65)</f>
        <v>8600316.55377392</v>
      </c>
      <c r="M69" s="39" t="n">
        <f aca="false">SUM(M36:M65)</f>
        <v>8342307.0571607</v>
      </c>
      <c r="N69" s="39" t="n">
        <f aca="false">SUM(N36:N65)</f>
        <v>8092037.84544588</v>
      </c>
      <c r="O69" s="39" t="n">
        <f aca="false">SUM(O36:O65)</f>
        <v>7849276.7100825</v>
      </c>
      <c r="P69" s="39" t="n">
        <f aca="false">SUM(P36:P65)</f>
        <v>7613798.40878003</v>
      </c>
      <c r="Q69" s="39" t="n">
        <f aca="false">SUM(Q36:Q65)</f>
        <v>7385384.45651663</v>
      </c>
      <c r="R69" s="39" t="n">
        <f aca="false">SUM(R36:R65)</f>
        <v>7163822.92282113</v>
      </c>
      <c r="S69" s="39" t="n">
        <f aca="false">SUM(S36:S65)</f>
        <v>6948908.23513649</v>
      </c>
      <c r="T69" s="39" t="n">
        <f aca="false">SUM(T36:T65)</f>
        <v>6740440.9880824</v>
      </c>
      <c r="U69" s="39" t="n">
        <f aca="false">SUM(U36:U65)</f>
        <v>6538227.75843993</v>
      </c>
      <c r="V69" s="39" t="n">
        <f aca="false">SUM(V36:V65)</f>
        <v>6342080.92568673</v>
      </c>
      <c r="W69" s="39" t="n">
        <f aca="false">SUM(W36:W65)</f>
        <v>5799228.52458798</v>
      </c>
      <c r="X69" s="39" t="n">
        <f aca="false">SUM(X36:X65)</f>
        <v>5096366.70885812</v>
      </c>
      <c r="Y69" s="39" t="n">
        <f aca="false">SUM(Y36:Y65)</f>
        <v>4414590.74760016</v>
      </c>
      <c r="Z69" s="39" t="n">
        <f aca="false">SUM(Z36:Z65)</f>
        <v>3753268.06517993</v>
      </c>
      <c r="AA69" s="39" t="n">
        <f aca="false">SUM(AA36:AA65)</f>
        <v>3111785.06323232</v>
      </c>
      <c r="AB69" s="39" t="n">
        <f aca="false">SUM(AB36:AB65)</f>
        <v>2489546.55134313</v>
      </c>
      <c r="AC69" s="39" t="n">
        <f aca="false">SUM(AC36:AC65)</f>
        <v>1885975.19481061</v>
      </c>
      <c r="AD69" s="39" t="n">
        <f aca="false">SUM(AD36:AD65)</f>
        <v>1300510.97897408</v>
      </c>
      <c r="AE69" s="39" t="n">
        <f aca="false">SUM(AE36:AE65)</f>
        <v>732610.689612633</v>
      </c>
      <c r="AF69" s="39" t="n">
        <f aca="false">SUM(AF36:AF65)</f>
        <v>181747.408932034</v>
      </c>
      <c r="AG69" s="39" t="n">
        <f aca="false">SUM(AG36:AG65)</f>
        <v>0</v>
      </c>
      <c r="AH69" s="39" t="n">
        <f aca="false">SUM(AH36:AH65)</f>
        <v>0</v>
      </c>
      <c r="AI69" s="39" t="n">
        <f aca="false">SUM(AI36:AI65)</f>
        <v>0</v>
      </c>
      <c r="AJ69" s="39" t="n">
        <f aca="false">SUM(AJ36:AJ65)</f>
        <v>0</v>
      </c>
      <c r="AK69" s="39" t="n">
        <f aca="false">SUM(AK36:AK65)</f>
        <v>0</v>
      </c>
      <c r="AL69" s="39" t="n">
        <f aca="false">SUM(AL36:AL65)</f>
        <v>0</v>
      </c>
      <c r="AM69" s="39" t="n">
        <f aca="false">SUM(AM36:AM65)</f>
        <v>0</v>
      </c>
      <c r="AN69" s="39" t="n">
        <f aca="false">SUM(AN36:AN65)</f>
        <v>0</v>
      </c>
    </row>
    <row r="70" customFormat="false" ht="15" hidden="false" customHeight="false" outlineLevel="0" collapsed="false">
      <c r="A70" s="14" t="s">
        <v>119</v>
      </c>
      <c r="E70" s="40" t="n">
        <f aca="false">E68+E69</f>
        <v>21409879.9860848</v>
      </c>
      <c r="F70" s="40" t="n">
        <f aca="false">F68+F69</f>
        <v>22677443.5865023</v>
      </c>
      <c r="G70" s="40" t="n">
        <f aca="false">G68+G69</f>
        <v>23874022.2789072</v>
      </c>
      <c r="H70" s="40" t="n">
        <f aca="false">H68+H69</f>
        <v>25001745.61054</v>
      </c>
      <c r="I70" s="40" t="n">
        <f aca="false">I68+I69</f>
        <v>24862679.2422238</v>
      </c>
      <c r="J70" s="40" t="n">
        <f aca="false">J68+J69</f>
        <v>24116798.8649571</v>
      </c>
      <c r="K70" s="40" t="n">
        <f aca="false">K68+K69</f>
        <v>23393294.8990084</v>
      </c>
      <c r="L70" s="40" t="n">
        <f aca="false">L68+L69</f>
        <v>22691496.0520381</v>
      </c>
      <c r="M70" s="40" t="n">
        <f aca="false">M68+M69</f>
        <v>22010751.170477</v>
      </c>
      <c r="N70" s="40" t="n">
        <f aca="false">N68+N69</f>
        <v>21350428.6353627</v>
      </c>
      <c r="O70" s="40" t="n">
        <f aca="false">O68+O69</f>
        <v>20709915.7763018</v>
      </c>
      <c r="P70" s="40" t="n">
        <f aca="false">P68+P69</f>
        <v>20088618.3030127</v>
      </c>
      <c r="Q70" s="40" t="n">
        <f aca="false">Q68+Q69</f>
        <v>19485959.7539223</v>
      </c>
      <c r="R70" s="40" t="n">
        <f aca="false">R68+R69</f>
        <v>18901380.9613047</v>
      </c>
      <c r="S70" s="40" t="n">
        <f aca="false">S68+S69</f>
        <v>18334339.5324655</v>
      </c>
      <c r="T70" s="40" t="n">
        <f aca="false">T68+T69</f>
        <v>17784309.3464916</v>
      </c>
      <c r="U70" s="40" t="n">
        <f aca="false">U68+U69</f>
        <v>17250780.0660968</v>
      </c>
      <c r="V70" s="40" t="n">
        <f aca="false">V68+V69</f>
        <v>35989945.5405829</v>
      </c>
      <c r="W70" s="40" t="n">
        <f aca="false">W68+W69</f>
        <v>44186001.6392717</v>
      </c>
      <c r="X70" s="40" t="n">
        <f aca="false">X68+X69</f>
        <v>42331536.6301013</v>
      </c>
      <c r="Y70" s="40" t="n">
        <f aca="false">Y68+Y69</f>
        <v>40532705.5712061</v>
      </c>
      <c r="Z70" s="40" t="n">
        <f aca="false">Z68+Z69</f>
        <v>38787839.4440777</v>
      </c>
      <c r="AA70" s="40" t="n">
        <f aca="false">AA68+AA69</f>
        <v>37095319.3007631</v>
      </c>
      <c r="AB70" s="40" t="n">
        <f aca="false">AB68+AB69</f>
        <v>35453574.761748</v>
      </c>
      <c r="AC70" s="40" t="n">
        <f aca="false">AC68+AC69</f>
        <v>33861082.5589034</v>
      </c>
      <c r="AD70" s="40" t="n">
        <f aca="false">AD68+AD69</f>
        <v>32316365.122144</v>
      </c>
      <c r="AE70" s="40" t="n">
        <f aca="false">AE68+AE69</f>
        <v>30817989.2084875</v>
      </c>
      <c r="AF70" s="40" t="n">
        <f aca="false">AF68+AF69</f>
        <v>10107875.6957717</v>
      </c>
      <c r="AG70" s="40" t="n">
        <f aca="false">AG68+AG69</f>
        <v>0</v>
      </c>
      <c r="AH70" s="40" t="n">
        <f aca="false">AH68+AH69</f>
        <v>0</v>
      </c>
      <c r="AI70" s="40" t="n">
        <f aca="false">AI68+AI69</f>
        <v>0</v>
      </c>
      <c r="AJ70" s="40" t="n">
        <f aca="false">AJ68+AJ69</f>
        <v>0</v>
      </c>
      <c r="AK70" s="40" t="n">
        <f aca="false">AK68+AK69</f>
        <v>0</v>
      </c>
      <c r="AL70" s="40" t="n">
        <f aca="false">AL68+AL69</f>
        <v>0</v>
      </c>
      <c r="AM70" s="40" t="n">
        <f aca="false">AM68+AM69</f>
        <v>0</v>
      </c>
      <c r="AN70" s="40" t="n">
        <f aca="false">AN68+AN69</f>
        <v>0</v>
      </c>
    </row>
    <row r="71" customFormat="false" ht="15" hidden="false" customHeight="false" outlineLevel="0" collapsed="false">
      <c r="A71" s="14" t="s">
        <v>120</v>
      </c>
      <c r="E71" s="39" t="n">
        <f aca="false">'Inputs &amp; Assumptions'!$C$133-E68</f>
        <v>556353624.228985</v>
      </c>
      <c r="F71" s="39" t="n">
        <f aca="false">E71-F68</f>
        <v>543863015.502116</v>
      </c>
      <c r="G71" s="39" t="n">
        <f aca="false">F71-G68</f>
        <v>529947125.037052</v>
      </c>
      <c r="H71" s="39" t="n">
        <f aca="false">G71-H68</f>
        <v>514648711.285941</v>
      </c>
      <c r="I71" s="39" t="n">
        <f aca="false">H71-I68</f>
        <v>499209249.947362</v>
      </c>
      <c r="J71" s="39" t="n">
        <f aca="false">I71-J68</f>
        <v>484232972.448941</v>
      </c>
      <c r="K71" s="39" t="n">
        <f aca="false">J71-K68</f>
        <v>469705983.275473</v>
      </c>
      <c r="L71" s="39" t="n">
        <f aca="false">K71-L68</f>
        <v>455614803.777209</v>
      </c>
      <c r="M71" s="39" t="n">
        <f aca="false">L71-M68</f>
        <v>441946359.663893</v>
      </c>
      <c r="N71" s="39" t="n">
        <f aca="false">M71-N68</f>
        <v>428687968.873976</v>
      </c>
      <c r="O71" s="39" t="n">
        <f aca="false">N71-O68</f>
        <v>415827329.807757</v>
      </c>
      <c r="P71" s="39" t="n">
        <f aca="false">O71-P68</f>
        <v>403352509.913524</v>
      </c>
      <c r="Q71" s="39" t="n">
        <f aca="false">P71-Q68</f>
        <v>391251934.616118</v>
      </c>
      <c r="R71" s="39" t="n">
        <f aca="false">Q71-R68</f>
        <v>379514376.577635</v>
      </c>
      <c r="S71" s="39" t="n">
        <f aca="false">R71-S68</f>
        <v>368128945.280306</v>
      </c>
      <c r="T71" s="39" t="n">
        <f aca="false">S71-T68</f>
        <v>357085076.921896</v>
      </c>
      <c r="U71" s="39" t="n">
        <f aca="false">T71-U68</f>
        <v>346372524.61424</v>
      </c>
      <c r="V71" s="39" t="n">
        <f aca="false">U71-V68</f>
        <v>316724659.999343</v>
      </c>
      <c r="W71" s="39" t="n">
        <f aca="false">V71-W68</f>
        <v>278337886.88466</v>
      </c>
      <c r="X71" s="39" t="n">
        <f aca="false">W71-X68</f>
        <v>241102716.963417</v>
      </c>
      <c r="Y71" s="39" t="n">
        <f aca="false">X71-Y68</f>
        <v>204984602.139811</v>
      </c>
      <c r="Z71" s="39" t="n">
        <f aca="false">Y71-Z68</f>
        <v>169950030.760913</v>
      </c>
      <c r="AA71" s="39" t="n">
        <f aca="false">Z71-AA68</f>
        <v>135966496.523382</v>
      </c>
      <c r="AB71" s="39" t="n">
        <f aca="false">AA71-AB68</f>
        <v>103002468.312977</v>
      </c>
      <c r="AC71" s="39" t="n">
        <f aca="false">AB71-AC68</f>
        <v>71027360.9488844</v>
      </c>
      <c r="AD71" s="39" t="n">
        <f aca="false">AC71-AD68</f>
        <v>40011506.8057144</v>
      </c>
      <c r="AE71" s="39" t="n">
        <f aca="false">AD71-AE68</f>
        <v>9926128.28683955</v>
      </c>
      <c r="AF71" s="39" t="n">
        <f aca="false">AE71-AF68</f>
        <v>-1.21071934700012E-007</v>
      </c>
      <c r="AG71" s="39" t="n">
        <f aca="false">AF71-AG68</f>
        <v>-1.21071934700012E-007</v>
      </c>
      <c r="AH71" s="39" t="n">
        <f aca="false">AG71-AH68</f>
        <v>-1.21071934700012E-007</v>
      </c>
      <c r="AI71" s="39" t="n">
        <f aca="false">AH71-AI68</f>
        <v>-1.21071934700012E-007</v>
      </c>
      <c r="AJ71" s="39" t="n">
        <f aca="false">AI71-AJ68</f>
        <v>-1.21071934700012E-007</v>
      </c>
      <c r="AK71" s="39" t="n">
        <f aca="false">AJ71-AK68</f>
        <v>-1.21071934700012E-007</v>
      </c>
      <c r="AL71" s="39" t="n">
        <f aca="false">AK71-AL68</f>
        <v>-1.21071934700012E-007</v>
      </c>
      <c r="AM71" s="39" t="n">
        <f aca="false">AL71-AM68</f>
        <v>-1.21071934700012E-007</v>
      </c>
      <c r="AN71" s="39" t="n">
        <f aca="false">AM71-AN68</f>
        <v>-1.21071934700012E-007</v>
      </c>
    </row>
    <row r="72" customFormat="false" ht="15" hidden="false" customHeight="false" outlineLevel="0" collapsed="false">
      <c r="A72" s="14" t="s">
        <v>121</v>
      </c>
      <c r="E72" s="18" t="n">
        <f aca="false">E71/'Inputs &amp; Assumptions'!$C$7</f>
        <v>0.927256040381642</v>
      </c>
      <c r="F72" s="18" t="n">
        <f aca="false">F71/'Inputs &amp; Assumptions'!$C$7</f>
        <v>0.906438359170193</v>
      </c>
      <c r="G72" s="18" t="n">
        <f aca="false">G71/'Inputs &amp; Assumptions'!$C$7</f>
        <v>0.883245208395087</v>
      </c>
      <c r="H72" s="18" t="n">
        <f aca="false">H71/'Inputs &amp; Assumptions'!$C$7</f>
        <v>0.857747852143234</v>
      </c>
      <c r="I72" s="18" t="n">
        <f aca="false">I71/'Inputs &amp; Assumptions'!$C$7</f>
        <v>0.832015416578937</v>
      </c>
      <c r="J72" s="18" t="n">
        <f aca="false">J71/'Inputs &amp; Assumptions'!$C$7</f>
        <v>0.807054954081569</v>
      </c>
      <c r="K72" s="18" t="n">
        <f aca="false">K71/'Inputs &amp; Assumptions'!$C$7</f>
        <v>0.782843305459122</v>
      </c>
      <c r="L72" s="18" t="n">
        <f aca="false">L71/'Inputs &amp; Assumptions'!$C$7</f>
        <v>0.759358006295348</v>
      </c>
      <c r="M72" s="18" t="n">
        <f aca="false">M71/'Inputs &amp; Assumptions'!$C$7</f>
        <v>0.736577266106488</v>
      </c>
      <c r="N72" s="18" t="n">
        <f aca="false">N71/'Inputs &amp; Assumptions'!$C$7</f>
        <v>0.714479948123293</v>
      </c>
      <c r="O72" s="18" t="n">
        <f aca="false">O71/'Inputs &amp; Assumptions'!$C$7</f>
        <v>0.693045549679594</v>
      </c>
      <c r="P72" s="18" t="n">
        <f aca="false">P71/'Inputs &amp; Assumptions'!$C$7</f>
        <v>0.672254183189207</v>
      </c>
      <c r="Q72" s="18" t="n">
        <f aca="false">Q71/'Inputs &amp; Assumptions'!$C$7</f>
        <v>0.65208655769353</v>
      </c>
      <c r="R72" s="18" t="n">
        <f aca="false">R71/'Inputs &amp; Assumptions'!$C$7</f>
        <v>0.632523960962725</v>
      </c>
      <c r="S72" s="18" t="n">
        <f aca="false">S71/'Inputs &amp; Assumptions'!$C$7</f>
        <v>0.613548242133843</v>
      </c>
      <c r="T72" s="18" t="n">
        <f aca="false">T71/'Inputs &amp; Assumptions'!$C$7</f>
        <v>0.595141794869827</v>
      </c>
      <c r="U72" s="18" t="n">
        <f aca="false">U71/'Inputs &amp; Assumptions'!$C$7</f>
        <v>0.577287541023733</v>
      </c>
      <c r="V72" s="18" t="n">
        <f aca="false">V71/'Inputs &amp; Assumptions'!$C$7</f>
        <v>0.527874433332239</v>
      </c>
      <c r="W72" s="18" t="n">
        <f aca="false">W71/'Inputs &amp; Assumptions'!$C$7</f>
        <v>0.4638964781411</v>
      </c>
      <c r="X72" s="18" t="n">
        <f aca="false">X71/'Inputs &amp; Assumptions'!$C$7</f>
        <v>0.401837861605694</v>
      </c>
      <c r="Y72" s="18" t="n">
        <f aca="false">Y71/'Inputs &amp; Assumptions'!$C$7</f>
        <v>0.341641003566351</v>
      </c>
      <c r="Z72" s="18" t="n">
        <f aca="false">Z71/'Inputs &amp; Assumptions'!$C$7</f>
        <v>0.283250051268188</v>
      </c>
      <c r="AA72" s="18" t="n">
        <f aca="false">AA71/'Inputs &amp; Assumptions'!$C$7</f>
        <v>0.22661082753897</v>
      </c>
      <c r="AB72" s="18" t="n">
        <f aca="false">AB71/'Inputs &amp; Assumptions'!$C$7</f>
        <v>0.171670780521629</v>
      </c>
      <c r="AC72" s="18" t="n">
        <f aca="false">AC71/'Inputs &amp; Assumptions'!$C$7</f>
        <v>0.118378934914807</v>
      </c>
      <c r="AD72" s="18" t="n">
        <f aca="false">AD71/'Inputs &amp; Assumptions'!$C$7</f>
        <v>0.0666858446761907</v>
      </c>
      <c r="AE72" s="18" t="n">
        <f aca="false">AE71/'Inputs &amp; Assumptions'!$C$7</f>
        <v>0.0165435471447326</v>
      </c>
      <c r="AF72" s="18" t="n">
        <f aca="false">AF71/'Inputs &amp; Assumptions'!$C$7</f>
        <v>-2.01786557833354E-016</v>
      </c>
      <c r="AG72" s="18" t="n">
        <f aca="false">AG71/'Inputs &amp; Assumptions'!$C$7</f>
        <v>-2.01786557833354E-016</v>
      </c>
      <c r="AH72" s="18" t="n">
        <f aca="false">AH71/'Inputs &amp; Assumptions'!$C$7</f>
        <v>-2.01786557833354E-016</v>
      </c>
      <c r="AI72" s="18" t="n">
        <f aca="false">AI71/'Inputs &amp; Assumptions'!$C$7</f>
        <v>-2.01786557833354E-016</v>
      </c>
      <c r="AJ72" s="18" t="n">
        <f aca="false">AJ71/'Inputs &amp; Assumptions'!$C$7</f>
        <v>-2.01786557833354E-016</v>
      </c>
      <c r="AK72" s="18" t="n">
        <f aca="false">AK71/'Inputs &amp; Assumptions'!$C$7</f>
        <v>-2.01786557833354E-016</v>
      </c>
      <c r="AL72" s="18" t="n">
        <f aca="false">AL71/'Inputs &amp; Assumptions'!$C$7</f>
        <v>-2.01786557833354E-016</v>
      </c>
      <c r="AM72" s="18" t="n">
        <f aca="false">AM71/'Inputs &amp; Assumptions'!$C$7</f>
        <v>-2.01786557833354E-016</v>
      </c>
      <c r="AN72" s="18" t="n">
        <f aca="false">AN71/'Inputs &amp; Assumptions'!$C$7</f>
        <v>-2.01786557833354E-016</v>
      </c>
    </row>
    <row r="73" customFormat="false" ht="15" hidden="false" customHeight="false" outlineLevel="0" collapsed="false">
      <c r="A73" s="14" t="s">
        <v>122</v>
      </c>
      <c r="C73" s="41" t="n">
        <f aca="false">IFERROR(SUMPRODUCT(E68:AN68,'Inputs &amp; Assumptions'!E$48:AN$48)/SUM(E68:AN68),0)</f>
        <v>4.28471181404488</v>
      </c>
      <c r="E73" s="42" t="n">
        <f aca="false">IF(SUM(E68:$AN$68)=0,"",SUMPRODUCT(E68:$AN$68,('Inputs &amp; Assumptions'!E$48:$AN$48-'Inputs &amp; Assumptions'!E$48+0.25))/SUM(E68:$AN$68))</f>
        <v>4.28471181404488</v>
      </c>
      <c r="F73" s="42" t="n">
        <f aca="false">IF(SUM(F68:$AN$68)=0,"",SUMPRODUCT(F68:$AN$68,('Inputs &amp; Assumptions'!F$48:$AN$48-'Inputs &amp; Assumptions'!F$48+0.25))/SUM(F68:$AN$68))</f>
        <v>4.11463859073811</v>
      </c>
      <c r="G73" s="42" t="n">
        <f aca="false">IF(SUM(G68:$AN$68)=0,"",SUMPRODUCT(G68:$AN$68,('Inputs &amp; Assumptions'!G$48:$AN$48-'Inputs &amp; Assumptions'!G$48+0.25))/SUM(G68:$AN$68))</f>
        <v>3.95339566215453</v>
      </c>
      <c r="H73" s="42" t="n">
        <f aca="false">IF(SUM(H68:$AN$68)=0,"",SUMPRODUCT(H68:$AN$68,('Inputs &amp; Assumptions'!H$48:$AN$48-'Inputs &amp; Assumptions'!H$48+0.25))/SUM(H68:$AN$68))</f>
        <v>3.80064319110325</v>
      </c>
      <c r="I73" s="42" t="n">
        <f aca="false">IF(SUM(I68:$AN$68)=0,"",SUMPRODUCT(I68:$AN$68,('Inputs &amp; Assumptions'!I$48:$AN$48-'Inputs &amp; Assumptions'!I$48+0.25))/SUM(I68:$AN$68))</f>
        <v>3.65618937713049</v>
      </c>
      <c r="J73" s="42" t="n">
        <f aca="false">IF(SUM(J68:$AN$68)=0,"",SUMPRODUCT(J68:$AN$68,('Inputs &amp; Assumptions'!J$48:$AN$48-'Inputs &amp; Assumptions'!J$48+0.25))/SUM(J68:$AN$68))</f>
        <v>3.51153544034071</v>
      </c>
      <c r="K73" s="42" t="n">
        <f aca="false">IF(SUM(K68:$AN$68)=0,"",SUMPRODUCT(K68:$AN$68,('Inputs &amp; Assumptions'!K$48:$AN$48-'Inputs &amp; Assumptions'!K$48+0.25))/SUM(K68:$AN$68))</f>
        <v>3.36240767045434</v>
      </c>
      <c r="L73" s="42" t="n">
        <f aca="false">IF(SUM(L68:$AN$68)=0,"",SUMPRODUCT(L68:$AN$68,('Inputs &amp; Assumptions'!L$48:$AN$48-'Inputs &amp; Assumptions'!L$48+0.25))/SUM(L68:$AN$68))</f>
        <v>3.20866770149932</v>
      </c>
      <c r="M73" s="42" t="n">
        <f aca="false">IF(SUM(M68:$AN$68)=0,"",SUMPRODUCT(M68:$AN$68,('Inputs &amp; Assumptions'!M$48:$AN$48-'Inputs &amp; Assumptions'!M$48+0.25))/SUM(M68:$AN$68))</f>
        <v>3.05017288814363</v>
      </c>
      <c r="N73" s="42" t="n">
        <f aca="false">IF(SUM(N68:$AN$68)=0,"",SUMPRODUCT(N68:$AN$68,('Inputs &amp; Assumptions'!N$48:$AN$48-'Inputs &amp; Assumptions'!N$48+0.25))/SUM(N68:$AN$68))</f>
        <v>2.88677617334395</v>
      </c>
      <c r="O73" s="42" t="n">
        <f aca="false">IF(SUM(O68:$AN$68)=0,"",SUMPRODUCT(O68:$AN$68,('Inputs &amp; Assumptions'!O$48:$AN$48-'Inputs &amp; Assumptions'!O$48+0.25))/SUM(O68:$AN$68))</f>
        <v>2.71832595190098</v>
      </c>
      <c r="P73" s="42" t="n">
        <f aca="false">IF(SUM(P68:$AN$68)=0,"",SUMPRODUCT(P68:$AN$68,('Inputs &amp; Assumptions'!P$48:$AN$48-'Inputs &amp; Assumptions'!P$48+0.25))/SUM(P68:$AN$68))</f>
        <v>2.54466592979482</v>
      </c>
      <c r="Q73" s="42" t="n">
        <f aca="false">IF(SUM(Q68:$AN$68)=0,"",SUMPRODUCT(Q68:$AN$68,('Inputs &amp; Assumptions'!Q$48:$AN$48-'Inputs &amp; Assumptions'!Q$48+0.25))/SUM(Q68:$AN$68))</f>
        <v>2.36563497916992</v>
      </c>
      <c r="R73" s="42" t="n">
        <f aca="false">IF(SUM(R68:$AN$68)=0,"",SUMPRODUCT(R68:$AN$68,('Inputs &amp; Assumptions'!R$48:$AN$48-'Inputs &amp; Assumptions'!R$48+0.25))/SUM(R68:$AN$68))</f>
        <v>2.18106698883497</v>
      </c>
      <c r="S73" s="42" t="n">
        <f aca="false">IF(SUM(S68:$AN$68)=0,"",SUMPRODUCT(S68:$AN$68,('Inputs &amp; Assumptions'!S$48:$AN$48-'Inputs &amp; Assumptions'!S$48+0.25))/SUM(S68:$AN$68))</f>
        <v>1.99079071013915</v>
      </c>
      <c r="T73" s="42" t="n">
        <f aca="false">IF(SUM(T68:$AN$68)=0,"",SUMPRODUCT(T68:$AN$68,('Inputs &amp; Assumptions'!T$48:$AN$48-'Inputs &amp; Assumptions'!T$48+0.25))/SUM(T68:$AN$68))</f>
        <v>1.79462959808159</v>
      </c>
      <c r="U73" s="42" t="n">
        <f aca="false">IF(SUM(U68:$AN$68)=0,"",SUMPRODUCT(U68:$AN$68,('Inputs &amp; Assumptions'!U$48:$AN$48-'Inputs &amp; Assumptions'!U$48+0.25))/SUM(U68:$AN$68))</f>
        <v>1.5924016475068</v>
      </c>
      <c r="V73" s="42" t="n">
        <f aca="false">IF(SUM(V68:$AN$68)=0,"",SUMPRODUCT(V68:$AN$68,('Inputs &amp; Assumptions'!V$48:$AN$48-'Inputs &amp; Assumptions'!V$48+0.25))/SUM(V68:$AN$68))</f>
        <v>1.38391922423381</v>
      </c>
      <c r="W73" s="42" t="n">
        <f aca="false">IF(SUM(W68:$AN$68)=0,"",SUMPRODUCT(W68:$AN$68,('Inputs &amp; Assumptions'!W$48:$AN$48-'Inputs &amp; Assumptions'!W$48+0.25))/SUM(W68:$AN$68))</f>
        <v>1.24006278641928</v>
      </c>
      <c r="X73" s="42" t="n">
        <f aca="false">IF(SUM(X68:$AN$68)=0,"",SUMPRODUCT(X68:$AN$68,('Inputs &amp; Assumptions'!X$48:$AN$48-'Inputs &amp; Assumptions'!X$48+0.25))/SUM(X68:$AN$68))</f>
        <v>1.12660659645157</v>
      </c>
      <c r="Y73" s="42" t="n">
        <f aca="false">IF(SUM(Y68:$AN$68)=0,"",SUMPRODUCT(Y68:$AN$68,('Inputs &amp; Assumptions'!Y$48:$AN$48-'Inputs &amp; Assumptions'!Y$48+0.25))/SUM(Y68:$AN$68))</f>
        <v>1.01198705165362</v>
      </c>
      <c r="Z73" s="42" t="n">
        <f aca="false">IF(SUM(Z68:$AN$68)=0,"",SUMPRODUCT(Z68:$AN$68,('Inputs &amp; Assumptions'!Z$48:$AN$48-'Inputs &amp; Assumptions'!Z$48+0.25))/SUM(Z68:$AN$68))</f>
        <v>0.896248530508283</v>
      </c>
      <c r="AA73" s="42" t="n">
        <f aca="false">IF(SUM(AA68:$AN$68)=0,"",SUMPRODUCT(AA68:$AN$68,('Inputs &amp; Assumptions'!AA$48:$AN$48-'Inputs &amp; Assumptions'!AA$48+0.25))/SUM(AA68:$AN$68))</f>
        <v>0.77947027909656</v>
      </c>
      <c r="AB73" s="42" t="n">
        <f aca="false">IF(SUM(AB68:$AN$68)=0,"",SUMPRODUCT(AB68:$AN$68,('Inputs &amp; Assumptions'!AB$48:$AN$48-'Inputs &amp; Assumptions'!AB$48+0.25))/SUM(AB68:$AN$68))</f>
        <v>0.661806345830019</v>
      </c>
      <c r="AC73" s="42" t="n">
        <f aca="false">IF(SUM(AC68:$AN$68)=0,"",SUMPRODUCT(AC68:$AN$68,('Inputs &amp; Assumptions'!AC$48:$AN$48-'Inputs &amp; Assumptions'!AC$48+0.25))/SUM(AC68:$AN$68))</f>
        <v>0.543597323497825</v>
      </c>
      <c r="AD73" s="42" t="n">
        <f aca="false">IF(SUM(AD68:$AN$68)=0,"",SUMPRODUCT(AD68:$AN$68,('Inputs &amp; Assumptions'!AD$48:$AN$48-'Inputs &amp; Assumptions'!AD$48+0.25))/SUM(AD68:$AN$68))</f>
        <v>0.425769007975998</v>
      </c>
      <c r="AE73" s="42" t="n">
        <f aca="false">IF(SUM(AE68:$AN$68)=0,"",SUMPRODUCT(AE68:$AN$68,('Inputs &amp; Assumptions'!AE$48:$AN$48-'Inputs &amp; Assumptions'!AE$48+0.25))/SUM(AE68:$AN$68))</f>
        <v>0.312020460358056</v>
      </c>
      <c r="AF73" s="42" t="n">
        <f aca="false">IF(SUM(AF68:$AN$68)=0,"",SUMPRODUCT(AF68:$AN$68,('Inputs &amp; Assumptions'!AF$48:$AN$48-'Inputs &amp; Assumptions'!AF$48+0.25))/SUM(AF68:$AN$68))</f>
        <v>0.25</v>
      </c>
      <c r="AG73" s="42" t="str">
        <f aca="false">IF(SUM(AG68:$AN$68)=0,"",SUMPRODUCT(AG68:$AN$68,('Inputs &amp; Assumptions'!AG$48:$AN$48-'Inputs &amp; Assumptions'!AG$48+0.25))/SUM(AG68:$AN$68))</f>
        <v/>
      </c>
      <c r="AH73" s="42" t="str">
        <f aca="false">IF(SUM(AH68:$AN$68)=0,"",SUMPRODUCT(AH68:$AN$68,('Inputs &amp; Assumptions'!AH$48:$AN$48-'Inputs &amp; Assumptions'!AH$48+0.25))/SUM(AH68:$AN$68))</f>
        <v/>
      </c>
      <c r="AI73" s="42" t="str">
        <f aca="false">IF(SUM(AI68:$AN$68)=0,"",SUMPRODUCT(AI68:$AN$68,('Inputs &amp; Assumptions'!AI$48:$AN$48-'Inputs &amp; Assumptions'!AI$48+0.25))/SUM(AI68:$AN$68))</f>
        <v/>
      </c>
      <c r="AJ73" s="42" t="str">
        <f aca="false">IF(SUM(AJ68:$AN$68)=0,"",SUMPRODUCT(AJ68:$AN$68,('Inputs &amp; Assumptions'!AJ$48:$AN$48-'Inputs &amp; Assumptions'!AJ$48+0.25))/SUM(AJ68:$AN$68))</f>
        <v/>
      </c>
      <c r="AK73" s="42" t="str">
        <f aca="false">IF(SUM(AK68:$AN$68)=0,"",SUMPRODUCT(AK68:$AN$68,('Inputs &amp; Assumptions'!AK$48:$AN$48-'Inputs &amp; Assumptions'!AK$48+0.25))/SUM(AK68:$AN$68))</f>
        <v/>
      </c>
      <c r="AL73" s="42" t="str">
        <f aca="false">IF(SUM(AL68:$AN$68)=0,"",SUMPRODUCT(AL68:$AN$68,('Inputs &amp; Assumptions'!AL$48:$AN$48-'Inputs &amp; Assumptions'!AL$48+0.25))/SUM(AL68:$AN$68))</f>
        <v/>
      </c>
      <c r="AM73" s="42" t="str">
        <f aca="false">IF(SUM(AM68:$AN$68)=0,"",SUMPRODUCT(AM68:$AN$68,('Inputs &amp; Assumptions'!AM$48:$AN$48-'Inputs &amp; Assumptions'!AM$48+0.25))/SUM(AM68:$AN$68))</f>
        <v/>
      </c>
      <c r="AN73" s="42" t="str">
        <f aca="false">IF(SUM(AN68:$AN$68)=0,"",SUMPRODUCT(AN68:$AN$68,('Inputs &amp; Assumptions'!AN$48:$AN$48-'Inputs &amp; Assumptions'!AN$48+0.25))/SUM(AN68:$AN$68))</f>
        <v/>
      </c>
    </row>
    <row r="75" customFormat="false" ht="15" hidden="false" customHeight="false" outlineLevel="0" collapsed="false">
      <c r="A75" s="12" t="s">
        <v>123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customFormat="false" ht="15" hidden="false" customHeight="false" outlineLevel="0" collapsed="false">
      <c r="A76" s="2" t="s">
        <v>124</v>
      </c>
      <c r="B76" s="37" t="s">
        <v>125</v>
      </c>
      <c r="C76" s="37" t="s">
        <v>126</v>
      </c>
      <c r="D76" s="37" t="s">
        <v>127</v>
      </c>
      <c r="E76" s="37" t="n">
        <v>1</v>
      </c>
      <c r="F76" s="37" t="n">
        <v>2</v>
      </c>
      <c r="G76" s="37" t="n">
        <v>3</v>
      </c>
      <c r="H76" s="37" t="n">
        <v>4</v>
      </c>
      <c r="I76" s="37" t="n">
        <v>5</v>
      </c>
      <c r="J76" s="37" t="n">
        <v>6</v>
      </c>
      <c r="K76" s="37" t="n">
        <v>7</v>
      </c>
      <c r="L76" s="37" t="n">
        <v>8</v>
      </c>
      <c r="M76" s="37" t="n">
        <v>9</v>
      </c>
      <c r="N76" s="37" t="n">
        <v>10</v>
      </c>
      <c r="O76" s="37" t="n">
        <v>11</v>
      </c>
      <c r="P76" s="37" t="n">
        <v>12</v>
      </c>
      <c r="Q76" s="37" t="n">
        <v>13</v>
      </c>
      <c r="R76" s="37" t="n">
        <v>14</v>
      </c>
      <c r="S76" s="37" t="n">
        <v>15</v>
      </c>
      <c r="T76" s="37" t="n">
        <v>16</v>
      </c>
      <c r="U76" s="37" t="n">
        <v>17</v>
      </c>
      <c r="V76" s="37" t="n">
        <v>18</v>
      </c>
      <c r="W76" s="37" t="n">
        <v>19</v>
      </c>
      <c r="X76" s="37" t="n">
        <v>20</v>
      </c>
      <c r="Y76" s="37" t="n">
        <v>21</v>
      </c>
      <c r="Z76" s="37" t="n">
        <v>22</v>
      </c>
      <c r="AA76" s="37" t="n">
        <v>23</v>
      </c>
      <c r="AB76" s="37" t="n">
        <v>24</v>
      </c>
      <c r="AC76" s="37" t="n">
        <v>25</v>
      </c>
      <c r="AD76" s="37" t="n">
        <v>26</v>
      </c>
      <c r="AE76" s="37" t="n">
        <v>27</v>
      </c>
      <c r="AF76" s="37" t="n">
        <v>28</v>
      </c>
      <c r="AG76" s="37" t="n">
        <v>29</v>
      </c>
      <c r="AH76" s="37" t="n">
        <v>30</v>
      </c>
      <c r="AI76" s="37" t="n">
        <v>31</v>
      </c>
      <c r="AJ76" s="37" t="n">
        <v>32</v>
      </c>
      <c r="AK76" s="37" t="n">
        <v>33</v>
      </c>
      <c r="AL76" s="37" t="n">
        <v>34</v>
      </c>
      <c r="AM76" s="37" t="n">
        <v>35</v>
      </c>
      <c r="AN76" s="37" t="n">
        <v>36</v>
      </c>
    </row>
    <row r="77" customFormat="false" ht="15" hidden="false" customHeight="false" outlineLevel="0" collapsed="false">
      <c r="A77" s="14" t="s">
        <v>82</v>
      </c>
      <c r="B77" s="37" t="n">
        <v>1</v>
      </c>
      <c r="C77" s="38" t="n">
        <f aca="false">'Inputs &amp; Assumptions'!$C$140</f>
        <v>0</v>
      </c>
      <c r="D77" s="38" t="n">
        <f aca="false">'Inputs &amp; Assumptions'!$D$140</f>
        <v>1</v>
      </c>
      <c r="E77" s="39" t="n">
        <f aca="false">'Inputs &amp; Assumptions'!$G$140</f>
        <v>20000000</v>
      </c>
      <c r="F77" s="39" t="n">
        <f aca="false">E77-E88-E99-E110</f>
        <v>19325208.3328243</v>
      </c>
      <c r="G77" s="39" t="n">
        <f aca="false">F77-F88-F99-F110</f>
        <v>18673183.8553531</v>
      </c>
      <c r="H77" s="39" t="n">
        <f aca="false">G77-G88-G99-G110</f>
        <v>18043158.4120915</v>
      </c>
      <c r="I77" s="39" t="n">
        <f aca="false">H77-H88-H99-H110</f>
        <v>17434389.764791</v>
      </c>
      <c r="J77" s="39" t="n">
        <f aca="false">I77-I88-I99-I110</f>
        <v>16295478.6496444</v>
      </c>
      <c r="K77" s="39" t="n">
        <f aca="false">J77-J88-J99-J110</f>
        <v>15230967.5304657</v>
      </c>
      <c r="L77" s="39" t="n">
        <f aca="false">K77-K88-K99-K110</f>
        <v>14235996.186535</v>
      </c>
      <c r="M77" s="39" t="n">
        <f aca="false">L77-L88-L99-L110</f>
        <v>13306021.8937282</v>
      </c>
      <c r="N77" s="39" t="n">
        <f aca="false">M77-M88-M99-M110</f>
        <v>12451884.2579399</v>
      </c>
      <c r="O77" s="39" t="n">
        <f aca="false">N77-N88-N99-N110</f>
        <v>11652575.2634012</v>
      </c>
      <c r="P77" s="39" t="n">
        <f aca="false">O77-O88-O99-O110</f>
        <v>10904575.3603635</v>
      </c>
      <c r="Q77" s="39" t="n">
        <f aca="false">P77-P88-P99-P110</f>
        <v>10204590.9253488</v>
      </c>
      <c r="R77" s="39" t="n">
        <f aca="false">Q77-Q88-Q99-Q110</f>
        <v>9567857.90647963</v>
      </c>
      <c r="S77" s="39" t="n">
        <f aca="false">R77-R88-R99-R110</f>
        <v>8970854.94051356</v>
      </c>
      <c r="T77" s="39" t="n">
        <f aca="false">S77-S88-S99-S110</f>
        <v>8411103.00240096</v>
      </c>
      <c r="U77" s="39" t="n">
        <f aca="false">T77-T88-T99-T110</f>
        <v>7886277.75012806</v>
      </c>
      <c r="V77" s="39" t="n">
        <f aca="false">U77-U88-U99-U110</f>
        <v>7406680.00680678</v>
      </c>
      <c r="W77" s="39" t="n">
        <f aca="false">V77-V88-V99-V110</f>
        <v>6956248.62088335</v>
      </c>
      <c r="X77" s="39" t="n">
        <f aca="false">W77-W88-W99-W110</f>
        <v>6533209.86340321</v>
      </c>
      <c r="Y77" s="39" t="n">
        <f aca="false">X77-X88-X99-X110</f>
        <v>6135897.87333519</v>
      </c>
      <c r="Z77" s="39" t="n">
        <f aca="false">Y77-Y88-Y99-Y110</f>
        <v>5769269.8305462</v>
      </c>
      <c r="AA77" s="39" t="n">
        <f aca="false">Z77-Z88-Z99-Z110</f>
        <v>5424548.29997988</v>
      </c>
      <c r="AB77" s="39" t="n">
        <f aca="false">AA77-AA88-AA99-AA110</f>
        <v>5100424.33845198</v>
      </c>
      <c r="AC77" s="39" t="n">
        <f aca="false">AB77-AB88-AB99-AB110</f>
        <v>4795667.21387103</v>
      </c>
      <c r="AD77" s="39" t="n">
        <f aca="false">AC77-AC88-AC99-AC110</f>
        <v>4513763.87161707</v>
      </c>
      <c r="AE77" s="39" t="n">
        <f aca="false">AD77-AD88-AD99-AD110</f>
        <v>4248431.6321586</v>
      </c>
      <c r="AF77" s="39" t="n">
        <f aca="false">AE77-AE88-AE99-AE110</f>
        <v>3998696.39761629</v>
      </c>
      <c r="AG77" s="39" t="n">
        <f aca="false">AF77-AF88-AF99-AF110</f>
        <v>0</v>
      </c>
      <c r="AH77" s="39" t="n">
        <f aca="false">AG77-AG88-AG99-AG110</f>
        <v>0</v>
      </c>
      <c r="AI77" s="39" t="n">
        <f aca="false">AH77-AH88-AH99-AH110</f>
        <v>0</v>
      </c>
      <c r="AJ77" s="39" t="n">
        <f aca="false">AI77-AI88-AI99-AI110</f>
        <v>0</v>
      </c>
      <c r="AK77" s="39" t="n">
        <f aca="false">AJ77-AJ88-AJ99-AJ110</f>
        <v>0</v>
      </c>
      <c r="AL77" s="39" t="n">
        <f aca="false">AK77-AK88-AK99-AK110</f>
        <v>0</v>
      </c>
      <c r="AM77" s="39" t="n">
        <f aca="false">AL77-AL88-AL99-AL110</f>
        <v>0</v>
      </c>
      <c r="AN77" s="39" t="n">
        <f aca="false">AM77-AM88-AM99-AM110</f>
        <v>0</v>
      </c>
    </row>
    <row r="78" customFormat="false" ht="15" hidden="false" customHeight="false" outlineLevel="0" collapsed="false">
      <c r="B78" s="37" t="n">
        <v>2</v>
      </c>
      <c r="C78" s="38" t="n">
        <f aca="false">'Inputs &amp; Assumptions'!$C$141</f>
        <v>1</v>
      </c>
      <c r="D78" s="38" t="n">
        <f aca="false">'Inputs &amp; Assumptions'!$D$141</f>
        <v>3</v>
      </c>
      <c r="E78" s="39" t="n">
        <f aca="false">'Inputs &amp; Assumptions'!$G$141</f>
        <v>60000000</v>
      </c>
      <c r="F78" s="39" t="n">
        <f aca="false">E78-E89-E100-E111</f>
        <v>57975624.9984729</v>
      </c>
      <c r="G78" s="39" t="n">
        <f aca="false">F78-F89-F100-F111</f>
        <v>56019551.5660593</v>
      </c>
      <c r="H78" s="39" t="n">
        <f aca="false">G78-G89-G100-G111</f>
        <v>54129475.2362746</v>
      </c>
      <c r="I78" s="39" t="n">
        <f aca="false">H78-H89-H100-H111</f>
        <v>50593437.4491563</v>
      </c>
      <c r="J78" s="39" t="n">
        <f aca="false">I78-I89-I100-I111</f>
        <v>47288393.2783137</v>
      </c>
      <c r="K78" s="39" t="n">
        <f aca="false">J78-J89-J100-J111</f>
        <v>44199252.9385203</v>
      </c>
      <c r="L78" s="39" t="n">
        <f aca="false">K78-K89-K100-K111</f>
        <v>41311912.3930818</v>
      </c>
      <c r="M78" s="39" t="n">
        <f aca="false">L78-L89-L100-L111</f>
        <v>38660025.9417337</v>
      </c>
      <c r="N78" s="39" t="n">
        <f aca="false">M78-M89-M100-M111</f>
        <v>36178368.8829136</v>
      </c>
      <c r="O78" s="39" t="n">
        <f aca="false">N78-N89-N100-N111</f>
        <v>33856013.8837164</v>
      </c>
      <c r="P78" s="39" t="n">
        <f aca="false">O78-O89-O100-O111</f>
        <v>31682735.05652</v>
      </c>
      <c r="Q78" s="39" t="n">
        <f aca="false">P78-P89-P100-P111</f>
        <v>29705836.2581118</v>
      </c>
      <c r="R78" s="39" t="n">
        <f aca="false">Q78-Q89-Q100-Q111</f>
        <v>27852289.4636319</v>
      </c>
      <c r="S78" s="39" t="n">
        <f aca="false">R78-R89-R100-R111</f>
        <v>26114397.9124339</v>
      </c>
      <c r="T78" s="39" t="n">
        <f aca="false">S78-S89-S100-S111</f>
        <v>24484945.0965029</v>
      </c>
      <c r="U78" s="39" t="n">
        <f aca="false">T78-T89-T100-T111</f>
        <v>22995912.5280726</v>
      </c>
      <c r="V78" s="39" t="n">
        <f aca="false">U78-U89-U100-U111</f>
        <v>21597434.2974652</v>
      </c>
      <c r="W78" s="39" t="n">
        <f aca="false">V78-V89-V100-V111</f>
        <v>20284003.4142547</v>
      </c>
      <c r="X78" s="39" t="n">
        <f aca="false">W78-W89-W100-W111</f>
        <v>19050447.7912817</v>
      </c>
      <c r="Y78" s="39" t="n">
        <f aca="false">X78-X89-X100-X111</f>
        <v>17912158.2479821</v>
      </c>
      <c r="Z78" s="39" t="n">
        <f aca="false">Y78-Y89-Y100-Y111</f>
        <v>16841883.0158726</v>
      </c>
      <c r="AA78" s="39" t="n">
        <f aca="false">Z78-Z89-Z100-Z111</f>
        <v>15835558.1495765</v>
      </c>
      <c r="AB78" s="39" t="n">
        <f aca="false">AA78-AA89-AA100-AA111</f>
        <v>14889362.5298481</v>
      </c>
      <c r="AC78" s="39" t="n">
        <f aca="false">AB78-AB89-AB100-AB111</f>
        <v>14014122.2610791</v>
      </c>
      <c r="AD78" s="39" t="n">
        <f aca="false">AC78-AC89-AC100-AC111</f>
        <v>13190331.1746737</v>
      </c>
      <c r="AE78" s="39" t="n">
        <f aca="false">AD78-AD89-AD100-AD111</f>
        <v>12414964.9372454</v>
      </c>
      <c r="AF78" s="39" t="n">
        <f aca="false">AE78-AE89-AE100-AE111</f>
        <v>0</v>
      </c>
      <c r="AG78" s="39" t="n">
        <f aca="false">AF78-AF89-AF100-AF111</f>
        <v>0</v>
      </c>
      <c r="AH78" s="39" t="n">
        <f aca="false">AG78-AG89-AG100-AG111</f>
        <v>0</v>
      </c>
      <c r="AI78" s="39" t="n">
        <f aca="false">AH78-AH89-AH100-AH111</f>
        <v>0</v>
      </c>
      <c r="AJ78" s="39" t="n">
        <f aca="false">AI78-AI89-AI100-AI111</f>
        <v>0</v>
      </c>
      <c r="AK78" s="39" t="n">
        <f aca="false">AJ78-AJ89-AJ100-AJ111</f>
        <v>0</v>
      </c>
      <c r="AL78" s="39" t="n">
        <f aca="false">AK78-AK89-AK100-AK111</f>
        <v>0</v>
      </c>
      <c r="AM78" s="39" t="n">
        <f aca="false">AL78-AL89-AL100-AL111</f>
        <v>0</v>
      </c>
      <c r="AN78" s="39" t="n">
        <f aca="false">AM78-AM89-AM100-AM111</f>
        <v>0</v>
      </c>
    </row>
    <row r="79" customFormat="false" ht="15" hidden="false" customHeight="false" outlineLevel="0" collapsed="false">
      <c r="B79" s="37" t="n">
        <v>3</v>
      </c>
      <c r="C79" s="38" t="n">
        <f aca="false">'Inputs &amp; Assumptions'!$C$142</f>
        <v>2</v>
      </c>
      <c r="D79" s="38" t="n">
        <f aca="false">'Inputs &amp; Assumptions'!$D$142</f>
        <v>3</v>
      </c>
      <c r="E79" s="39" t="n">
        <f aca="false">'Inputs &amp; Assumptions'!$G$142</f>
        <v>60000000</v>
      </c>
      <c r="F79" s="39" t="n">
        <f aca="false">E79-E90-E101-E112</f>
        <v>57975624.9984729</v>
      </c>
      <c r="G79" s="39" t="n">
        <f aca="false">F79-F90-F101-F112</f>
        <v>56019551.5660593</v>
      </c>
      <c r="H79" s="39" t="n">
        <f aca="false">G79-G90-G101-G112</f>
        <v>52360043.5015463</v>
      </c>
      <c r="I79" s="39" t="n">
        <f aca="false">H79-H90-H101-H112</f>
        <v>48939594.8171935</v>
      </c>
      <c r="J79" s="39" t="n">
        <f aca="false">I79-I90-I101-I112</f>
        <v>45742588.8273058</v>
      </c>
      <c r="K79" s="39" t="n">
        <f aca="false">J79-J90-J101-J112</f>
        <v>42754429.0147833</v>
      </c>
      <c r="L79" s="39" t="n">
        <f aca="false">K79-K90-K101-K112</f>
        <v>40009944.8098252</v>
      </c>
      <c r="M79" s="39" t="n">
        <f aca="false">L79-L90-L101-L112</f>
        <v>37441634.0148467</v>
      </c>
      <c r="N79" s="39" t="n">
        <f aca="false">M79-M90-M101-M112</f>
        <v>35038187.7397008</v>
      </c>
      <c r="O79" s="39" t="n">
        <f aca="false">N79-N90-N101-N112</f>
        <v>32789023.0323739</v>
      </c>
      <c r="P79" s="39" t="n">
        <f aca="false">O79-O90-O101-O112</f>
        <v>30743095.4911423</v>
      </c>
      <c r="Q79" s="39" t="n">
        <f aca="false">P79-P90-P101-P112</f>
        <v>28824827.1210863</v>
      </c>
      <c r="R79" s="39" t="n">
        <f aca="false">Q79-Q90-Q101-Q112</f>
        <v>27026252.4084442</v>
      </c>
      <c r="S79" s="39" t="n">
        <f aca="false">R79-R90-R101-R112</f>
        <v>25339902.8613986</v>
      </c>
      <c r="T79" s="39" t="n">
        <f aca="false">S79-S90-S101-S112</f>
        <v>23798876.7127684</v>
      </c>
      <c r="U79" s="39" t="n">
        <f aca="false">T79-T90-T101-T112</f>
        <v>22351566.8504142</v>
      </c>
      <c r="V79" s="39" t="n">
        <f aca="false">U79-U90-U101-U112</f>
        <v>20992273.9925157</v>
      </c>
      <c r="W79" s="39" t="n">
        <f aca="false">V79-V90-V101-V112</f>
        <v>19715645.4545683</v>
      </c>
      <c r="X79" s="39" t="n">
        <f aca="false">W79-W90-W101-W112</f>
        <v>18537609.4678968</v>
      </c>
      <c r="Y79" s="39" t="n">
        <f aca="false">X79-X90-X101-X112</f>
        <v>17429962.6951666</v>
      </c>
      <c r="Z79" s="39" t="n">
        <f aca="false">Y79-Y90-Y101-Y112</f>
        <v>16388499.2874094</v>
      </c>
      <c r="AA79" s="39" t="n">
        <f aca="false">Z79-Z90-Z101-Z112</f>
        <v>15409264.7007154</v>
      </c>
      <c r="AB79" s="39" t="n">
        <f aca="false">AA79-AA90-AA101-AA112</f>
        <v>14503463.0620523</v>
      </c>
      <c r="AC79" s="39" t="n">
        <f aca="false">AB79-AB90-AB101-AB112</f>
        <v>13650907.0924421</v>
      </c>
      <c r="AD79" s="39" t="n">
        <f aca="false">AC79-AC90-AC101-AC112</f>
        <v>12848466.8557579</v>
      </c>
      <c r="AE79" s="39" t="n">
        <f aca="false">AD79-AD90-AD101-AD112</f>
        <v>0</v>
      </c>
      <c r="AF79" s="39" t="n">
        <f aca="false">AE79-AE90-AE101-AE112</f>
        <v>0</v>
      </c>
      <c r="AG79" s="39" t="n">
        <f aca="false">AF79-AF90-AF101-AF112</f>
        <v>0</v>
      </c>
      <c r="AH79" s="39" t="n">
        <f aca="false">AG79-AG90-AG101-AG112</f>
        <v>0</v>
      </c>
      <c r="AI79" s="39" t="n">
        <f aca="false">AH79-AH90-AH101-AH112</f>
        <v>0</v>
      </c>
      <c r="AJ79" s="39" t="n">
        <f aca="false">AI79-AI90-AI101-AI112</f>
        <v>0</v>
      </c>
      <c r="AK79" s="39" t="n">
        <f aca="false">AJ79-AJ90-AJ101-AJ112</f>
        <v>0</v>
      </c>
      <c r="AL79" s="39" t="n">
        <f aca="false">AK79-AK90-AK101-AK112</f>
        <v>0</v>
      </c>
      <c r="AM79" s="39" t="n">
        <f aca="false">AL79-AL90-AL101-AL112</f>
        <v>0</v>
      </c>
      <c r="AN79" s="39" t="n">
        <f aca="false">AM79-AM90-AM101-AM112</f>
        <v>0</v>
      </c>
    </row>
    <row r="80" customFormat="false" ht="15" hidden="false" customHeight="false" outlineLevel="0" collapsed="false">
      <c r="B80" s="37" t="n">
        <v>4</v>
      </c>
      <c r="C80" s="38" t="n">
        <f aca="false">'Inputs &amp; Assumptions'!$C$143</f>
        <v>3</v>
      </c>
      <c r="D80" s="38" t="n">
        <f aca="false">'Inputs &amp; Assumptions'!$D$143</f>
        <v>3</v>
      </c>
      <c r="E80" s="39" t="n">
        <f aca="false">'Inputs &amp; Assumptions'!$G$143</f>
        <v>60000000</v>
      </c>
      <c r="F80" s="39" t="n">
        <f aca="false">E80-E91-E102-E113</f>
        <v>57975624.9984729</v>
      </c>
      <c r="G80" s="39" t="n">
        <f aca="false">F80-F91-F102-F113</f>
        <v>54188335.3594813</v>
      </c>
      <c r="H80" s="39" t="n">
        <f aca="false">G80-G91-G102-G113</f>
        <v>50648452.5023914</v>
      </c>
      <c r="I80" s="39" t="n">
        <f aca="false">H80-H91-H102-H113</f>
        <v>47339814.4428911</v>
      </c>
      <c r="J80" s="39" t="n">
        <f aca="false">I80-I91-I102-I113</f>
        <v>44247314.9871962</v>
      </c>
      <c r="K80" s="39" t="n">
        <f aca="false">J80-J91-J102-J113</f>
        <v>41406999.7288126</v>
      </c>
      <c r="L80" s="39" t="n">
        <f aca="false">K80-K91-K102-K113</f>
        <v>38749009.4492293</v>
      </c>
      <c r="M80" s="39" t="n">
        <f aca="false">L80-L91-L102-L113</f>
        <v>36261640.3779592</v>
      </c>
      <c r="N80" s="39" t="n">
        <f aca="false">M80-M91-M102-M113</f>
        <v>33933940.0307328</v>
      </c>
      <c r="O80" s="39" t="n">
        <f aca="false">N80-N91-N102-N113</f>
        <v>31816573.4223154</v>
      </c>
      <c r="P80" s="39" t="n">
        <f aca="false">O80-O91-O102-O113</f>
        <v>29831323.5486592</v>
      </c>
      <c r="Q80" s="39" t="n">
        <f aca="false">P80-P91-P102-P113</f>
        <v>27969946.7586483</v>
      </c>
      <c r="R80" s="39" t="n">
        <f aca="false">Q80-Q91-Q102-Q113</f>
        <v>26224713.7779707</v>
      </c>
      <c r="S80" s="39" t="n">
        <f aca="false">R80-R91-R102-R113</f>
        <v>24629878.5533354</v>
      </c>
      <c r="T80" s="39" t="n">
        <f aca="false">S80-S91-S102-S113</f>
        <v>23132031.9713703</v>
      </c>
      <c r="U80" s="39" t="n">
        <f aca="false">T80-T91-T102-T113</f>
        <v>21725275.7444894</v>
      </c>
      <c r="V80" s="39" t="n">
        <f aca="false">U80-U91-U102-U113</f>
        <v>20404070.2848009</v>
      </c>
      <c r="W80" s="39" t="n">
        <f aca="false">V80-V91-V102-V113</f>
        <v>19184900.0007004</v>
      </c>
      <c r="X80" s="39" t="n">
        <f aca="false">W80-W91-W102-W113</f>
        <v>18038576.7594147</v>
      </c>
      <c r="Y80" s="39" t="n">
        <f aca="false">X80-X91-X102-X113</f>
        <v>16960747.8534378</v>
      </c>
      <c r="Z80" s="39" t="n">
        <f aca="false">Y80-Y91-Y102-Y113</f>
        <v>15947320.6553147</v>
      </c>
      <c r="AA80" s="39" t="n">
        <f aca="false">Z80-Z91-Z102-Z113</f>
        <v>15009890.5142645</v>
      </c>
      <c r="AB80" s="39" t="n">
        <f aca="false">AA80-AA91-AA102-AA113</f>
        <v>14127565.2581253</v>
      </c>
      <c r="AC80" s="39" t="n">
        <f aca="false">AB80-AB91-AB102-AB113</f>
        <v>13297105.6606251</v>
      </c>
      <c r="AD80" s="39" t="n">
        <f aca="false">AC80-AC91-AC102-AC113</f>
        <v>0</v>
      </c>
      <c r="AE80" s="39" t="n">
        <f aca="false">AD80-AD91-AD102-AD113</f>
        <v>0</v>
      </c>
      <c r="AF80" s="39" t="n">
        <f aca="false">AE80-AE91-AE102-AE113</f>
        <v>0</v>
      </c>
      <c r="AG80" s="39" t="n">
        <f aca="false">AF80-AF91-AF102-AF113</f>
        <v>0</v>
      </c>
      <c r="AH80" s="39" t="n">
        <f aca="false">AG80-AG91-AG102-AG113</f>
        <v>0</v>
      </c>
      <c r="AI80" s="39" t="n">
        <f aca="false">AH80-AH91-AH102-AH113</f>
        <v>0</v>
      </c>
      <c r="AJ80" s="39" t="n">
        <f aca="false">AI80-AI91-AI102-AI113</f>
        <v>0</v>
      </c>
      <c r="AK80" s="39" t="n">
        <f aca="false">AJ80-AJ91-AJ102-AJ113</f>
        <v>0</v>
      </c>
      <c r="AL80" s="39" t="n">
        <f aca="false">AK80-AK91-AK102-AK113</f>
        <v>0</v>
      </c>
      <c r="AM80" s="39" t="n">
        <f aca="false">AL80-AL91-AL102-AL113</f>
        <v>0</v>
      </c>
      <c r="AN80" s="39" t="n">
        <f aca="false">AM80-AM91-AM102-AM113</f>
        <v>0</v>
      </c>
    </row>
    <row r="81" customFormat="false" ht="15" hidden="false" customHeight="false" outlineLevel="0" collapsed="false">
      <c r="B81" s="37" t="n">
        <v>5</v>
      </c>
      <c r="C81" s="38" t="n">
        <f aca="false">'Inputs &amp; Assumptions'!$C$144</f>
        <v>4</v>
      </c>
      <c r="D81" s="38" t="n">
        <f aca="false">'Inputs &amp; Assumptions'!$D$144</f>
        <v>3</v>
      </c>
      <c r="E81" s="39" t="n">
        <f aca="false">'Inputs &amp; Assumptions'!$G$144</f>
        <v>60000000</v>
      </c>
      <c r="F81" s="39" t="n">
        <f aca="false">E81-E92-E103-E114</f>
        <v>56080466.9489034</v>
      </c>
      <c r="G81" s="39" t="n">
        <f aca="false">F81-F92-F103-F114</f>
        <v>52416979.5534507</v>
      </c>
      <c r="H81" s="39" t="n">
        <f aca="false">G81-G92-G103-G114</f>
        <v>48992811.490144</v>
      </c>
      <c r="I81" s="39" t="n">
        <f aca="false">H81-H92-H103-H114</f>
        <v>45792329.0917812</v>
      </c>
      <c r="J81" s="39" t="n">
        <f aca="false">I81-I92-I103-I114</f>
        <v>42852836.5807906</v>
      </c>
      <c r="K81" s="39" t="n">
        <f aca="false">J81-J92-J103-J114</f>
        <v>40102035.4160045</v>
      </c>
      <c r="L81" s="39" t="n">
        <f aca="false">K81-K92-K103-K114</f>
        <v>37527813.1582861</v>
      </c>
      <c r="M81" s="39" t="n">
        <f aca="false">L81-L92-L103-L114</f>
        <v>35118834.8878963</v>
      </c>
      <c r="N81" s="39" t="n">
        <f aca="false">M81-M92-M103-M114</f>
        <v>32927534.7249677</v>
      </c>
      <c r="O81" s="39" t="n">
        <f aca="false">N81-N92-N103-N114</f>
        <v>30872964.508217</v>
      </c>
      <c r="P81" s="39" t="n">
        <f aca="false">O81-O92-O103-O114</f>
        <v>28946592.7372599</v>
      </c>
      <c r="Q81" s="39" t="n">
        <f aca="false">P81-P92-P103-P114</f>
        <v>27140420.2493666</v>
      </c>
      <c r="R81" s="39" t="n">
        <f aca="false">Q81-Q92-Q103-Q114</f>
        <v>25489897.0599981</v>
      </c>
      <c r="S81" s="39" t="n">
        <f aca="false">R81-R92-R103-R114</f>
        <v>23939749.1328257</v>
      </c>
      <c r="T81" s="39" t="n">
        <f aca="false">S81-S92-S103-S114</f>
        <v>22483872.2256759</v>
      </c>
      <c r="U81" s="39" t="n">
        <f aca="false">T81-T92-T103-T114</f>
        <v>21116533.3210345</v>
      </c>
      <c r="V81" s="39" t="n">
        <f aca="false">U81-U92-U103-U114</f>
        <v>19854792.4247879</v>
      </c>
      <c r="W81" s="39" t="n">
        <f aca="false">V81-V92-V103-V114</f>
        <v>18668442.2219405</v>
      </c>
      <c r="X81" s="39" t="n">
        <f aca="false">W81-W92-W103-W114</f>
        <v>17552978.0184874</v>
      </c>
      <c r="Y81" s="39" t="n">
        <f aca="false">X81-X92-X103-X114</f>
        <v>16504164.2818699</v>
      </c>
      <c r="Z81" s="39" t="n">
        <f aca="false">Y81-Y92-Y103-Y114</f>
        <v>15534001.2441365</v>
      </c>
      <c r="AA81" s="39" t="n">
        <f aca="false">Z81-Z92-Z103-Z114</f>
        <v>14620867.2266982</v>
      </c>
      <c r="AB81" s="39" t="n">
        <f aca="false">AA81-AA92-AA103-AA114</f>
        <v>13761409.8969786</v>
      </c>
      <c r="AC81" s="39" t="n">
        <f aca="false">AB81-AB92-AB103-AB114</f>
        <v>0</v>
      </c>
      <c r="AD81" s="39" t="n">
        <f aca="false">AC81-AC92-AC103-AC114</f>
        <v>0</v>
      </c>
      <c r="AE81" s="39" t="n">
        <f aca="false">AD81-AD92-AD103-AD114</f>
        <v>0</v>
      </c>
      <c r="AF81" s="39" t="n">
        <f aca="false">AE81-AE92-AE103-AE114</f>
        <v>0</v>
      </c>
      <c r="AG81" s="39" t="n">
        <f aca="false">AF81-AF92-AF103-AF114</f>
        <v>0</v>
      </c>
      <c r="AH81" s="39" t="n">
        <f aca="false">AG81-AG92-AG103-AG114</f>
        <v>0</v>
      </c>
      <c r="AI81" s="39" t="n">
        <f aca="false">AH81-AH92-AH103-AH114</f>
        <v>0</v>
      </c>
      <c r="AJ81" s="39" t="n">
        <f aca="false">AI81-AI92-AI103-AI114</f>
        <v>0</v>
      </c>
      <c r="AK81" s="39" t="n">
        <f aca="false">AJ81-AJ92-AJ103-AJ114</f>
        <v>0</v>
      </c>
      <c r="AL81" s="39" t="n">
        <f aca="false">AK81-AK92-AK103-AK114</f>
        <v>0</v>
      </c>
      <c r="AM81" s="39" t="n">
        <f aca="false">AL81-AL92-AL103-AL114</f>
        <v>0</v>
      </c>
      <c r="AN81" s="39" t="n">
        <f aca="false">AM81-AM92-AM103-AM114</f>
        <v>0</v>
      </c>
    </row>
    <row r="82" customFormat="false" ht="15" hidden="false" customHeight="false" outlineLevel="0" collapsed="false">
      <c r="B82" s="37" t="n">
        <v>6</v>
      </c>
      <c r="C82" s="38" t="n">
        <f aca="false">'Inputs &amp; Assumptions'!$C$145</f>
        <v>5</v>
      </c>
      <c r="D82" s="38" t="n">
        <f aca="false">'Inputs &amp; Assumptions'!$D$145</f>
        <v>3</v>
      </c>
      <c r="E82" s="39" t="n">
        <f aca="false">'Inputs &amp; Assumptions'!$G$145</f>
        <v>58200000</v>
      </c>
      <c r="F82" s="39" t="n">
        <f aca="false">E82-E93-E104-E115</f>
        <v>54398052.9404363</v>
      </c>
      <c r="G82" s="39" t="n">
        <f aca="false">F82-F93-F104-F115</f>
        <v>50844470.1668472</v>
      </c>
      <c r="H82" s="39" t="n">
        <f aca="false">G82-G93-G104-G115</f>
        <v>47523027.1454397</v>
      </c>
      <c r="I82" s="39" t="n">
        <f aca="false">H82-H93-H104-H115</f>
        <v>44472437.9929718</v>
      </c>
      <c r="J82" s="39" t="n">
        <f aca="false">I82-I93-I104-I115</f>
        <v>41617671.6812644</v>
      </c>
      <c r="K82" s="39" t="n">
        <f aca="false">J82-J93-J104-J115</f>
        <v>38946157.9876335</v>
      </c>
      <c r="L82" s="39" t="n">
        <f aca="false">K82-K93-K104-K115</f>
        <v>36446133.5947477</v>
      </c>
      <c r="M82" s="39" t="n">
        <f aca="false">L82-L93-L104-L115</f>
        <v>34172014.3439461</v>
      </c>
      <c r="N82" s="39" t="n">
        <f aca="false">M82-M93-M104-M115</f>
        <v>32039792.6788904</v>
      </c>
      <c r="O82" s="39" t="n">
        <f aca="false">N82-N93-N104-N115</f>
        <v>30040614.655429</v>
      </c>
      <c r="P82" s="39" t="n">
        <f aca="false">O82-O93-O104-O115</f>
        <v>28166178.7864986</v>
      </c>
      <c r="Q82" s="39" t="n">
        <f aca="false">P82-P93-P104-P115</f>
        <v>26453274.9030703</v>
      </c>
      <c r="R82" s="39" t="n">
        <f aca="false">Q82-Q93-Q104-Q115</f>
        <v>24844539.9144042</v>
      </c>
      <c r="S82" s="39" t="n">
        <f aca="false">R82-R93-R104-R115</f>
        <v>23333638.871563</v>
      </c>
      <c r="T82" s="39" t="n">
        <f aca="false">S82-S93-S104-S115</f>
        <v>21914622.0805181</v>
      </c>
      <c r="U82" s="39" t="n">
        <f aca="false">T82-T93-T104-T115</f>
        <v>20605194.3215008</v>
      </c>
      <c r="V82" s="39" t="n">
        <f aca="false">U82-U93-U104-U115</f>
        <v>19374006.6092332</v>
      </c>
      <c r="W82" s="39" t="n">
        <f aca="false">V82-V93-V104-V115</f>
        <v>18216383.9970656</v>
      </c>
      <c r="X82" s="39" t="n">
        <f aca="false">W82-W93-W104-W115</f>
        <v>17127930.8726157</v>
      </c>
      <c r="Y82" s="39" t="n">
        <f aca="false">X82-X93-X104-X115</f>
        <v>16121101.0106688</v>
      </c>
      <c r="Z82" s="39" t="n">
        <f aca="false">Y82-Y93-Y104-Y115</f>
        <v>15173455.5521649</v>
      </c>
      <c r="AA82" s="39" t="n">
        <f aca="false">Z82-Z93-Z104-Z115</f>
        <v>14281515.4648033</v>
      </c>
      <c r="AB82" s="39" t="n">
        <f aca="false">AA82-AA93-AA104-AA115</f>
        <v>0</v>
      </c>
      <c r="AC82" s="39" t="n">
        <f aca="false">AB82-AB93-AB104-AB115</f>
        <v>0</v>
      </c>
      <c r="AD82" s="39" t="n">
        <f aca="false">AC82-AC93-AC104-AC115</f>
        <v>0</v>
      </c>
      <c r="AE82" s="39" t="n">
        <f aca="false">AD82-AD93-AD104-AD115</f>
        <v>0</v>
      </c>
      <c r="AF82" s="39" t="n">
        <f aca="false">AE82-AE93-AE104-AE115</f>
        <v>0</v>
      </c>
      <c r="AG82" s="39" t="n">
        <f aca="false">AF82-AF93-AF104-AF115</f>
        <v>0</v>
      </c>
      <c r="AH82" s="39" t="n">
        <f aca="false">AG82-AG93-AG104-AG115</f>
        <v>0</v>
      </c>
      <c r="AI82" s="39" t="n">
        <f aca="false">AH82-AH93-AH104-AH115</f>
        <v>0</v>
      </c>
      <c r="AJ82" s="39" t="n">
        <f aca="false">AI82-AI93-AI104-AI115</f>
        <v>0</v>
      </c>
      <c r="AK82" s="39" t="n">
        <f aca="false">AJ82-AJ93-AJ104-AJ115</f>
        <v>0</v>
      </c>
      <c r="AL82" s="39" t="n">
        <f aca="false">AK82-AK93-AK104-AK115</f>
        <v>0</v>
      </c>
      <c r="AM82" s="39" t="n">
        <f aca="false">AL82-AL93-AL104-AL115</f>
        <v>0</v>
      </c>
      <c r="AN82" s="39" t="n">
        <f aca="false">AM82-AM93-AM104-AM115</f>
        <v>0</v>
      </c>
    </row>
    <row r="83" customFormat="false" ht="15" hidden="false" customHeight="false" outlineLevel="0" collapsed="false">
      <c r="B83" s="37" t="n">
        <v>7</v>
      </c>
      <c r="C83" s="38" t="n">
        <f aca="false">'Inputs &amp; Assumptions'!$C$146</f>
        <v>6</v>
      </c>
      <c r="D83" s="38" t="n">
        <f aca="false">'Inputs &amp; Assumptions'!$D$146</f>
        <v>3</v>
      </c>
      <c r="E83" s="39" t="n">
        <f aca="false">'Inputs &amp; Assumptions'!$G$146</f>
        <v>56454000</v>
      </c>
      <c r="F83" s="39" t="n">
        <f aca="false">E83-E94-E105-E116</f>
        <v>52766111.3522232</v>
      </c>
      <c r="G83" s="39" t="n">
        <f aca="false">F83-F94-F105-F116</f>
        <v>49319136.0618418</v>
      </c>
      <c r="H83" s="39" t="n">
        <f aca="false">G83-G94-G105-G116</f>
        <v>46153251.4261915</v>
      </c>
      <c r="I83" s="39" t="n">
        <f aca="false">H83-H94-H105-H116</f>
        <v>43190590.6571085</v>
      </c>
      <c r="J83" s="39" t="n">
        <f aca="false">I83-I94-I105-I116</f>
        <v>40418108.4466629</v>
      </c>
      <c r="K83" s="39" t="n">
        <f aca="false">J83-J94-J105-J116</f>
        <v>37823596.8888593</v>
      </c>
      <c r="L83" s="39" t="n">
        <f aca="false">K83-K94-K105-K116</f>
        <v>35463528.4443999</v>
      </c>
      <c r="M83" s="39" t="n">
        <f aca="false">L83-L94-L105-L116</f>
        <v>33250720.5335936</v>
      </c>
      <c r="N83" s="39" t="n">
        <f aca="false">M83-M94-M105-M116</f>
        <v>31175984.5819214</v>
      </c>
      <c r="O83" s="39" t="n">
        <f aca="false">N83-N94-N105-N116</f>
        <v>29230705.3517904</v>
      </c>
      <c r="P83" s="39" t="n">
        <f aca="false">O83-O94-O105-O116</f>
        <v>27453063.1273354</v>
      </c>
      <c r="Q83" s="39" t="n">
        <f aca="false">P83-P94-P105-P116</f>
        <v>25783526.808644</v>
      </c>
      <c r="R83" s="39" t="n">
        <f aca="false">Q83-Q94-Q105-Q116</f>
        <v>24215522.0205691</v>
      </c>
      <c r="S83" s="39" t="n">
        <f aca="false">R83-R94-R105-R116</f>
        <v>22742874.2033878</v>
      </c>
      <c r="T83" s="39" t="n">
        <f aca="false">S83-S94-S105-S116</f>
        <v>21383957.2805981</v>
      </c>
      <c r="U83" s="39" t="n">
        <f aca="false">T83-T94-T105-T116</f>
        <v>20106237.4477861</v>
      </c>
      <c r="V83" s="39" t="n">
        <f aca="false">U83-U94-U105-U116</f>
        <v>18904863.0710438</v>
      </c>
      <c r="W83" s="39" t="n">
        <f aca="false">V83-V94-V105-V116</f>
        <v>17775272.4080292</v>
      </c>
      <c r="X83" s="39" t="n">
        <f aca="false">W83-W94-W105-W116</f>
        <v>16730389.9176836</v>
      </c>
      <c r="Y83" s="39" t="n">
        <f aca="false">X83-X94-X105-X116</f>
        <v>15746928.6755513</v>
      </c>
      <c r="Z83" s="39" t="n">
        <f aca="false">Y83-Y94-Y105-Y116</f>
        <v>14821278.1610551</v>
      </c>
      <c r="AA83" s="39" t="n">
        <f aca="false">Z83-Z94-Z105-Z116</f>
        <v>0</v>
      </c>
      <c r="AB83" s="39" t="n">
        <f aca="false">AA83-AA94-AA105-AA116</f>
        <v>0</v>
      </c>
      <c r="AC83" s="39" t="n">
        <f aca="false">AB83-AB94-AB105-AB116</f>
        <v>0</v>
      </c>
      <c r="AD83" s="39" t="n">
        <f aca="false">AC83-AC94-AC105-AC116</f>
        <v>0</v>
      </c>
      <c r="AE83" s="39" t="n">
        <f aca="false">AD83-AD94-AD105-AD116</f>
        <v>0</v>
      </c>
      <c r="AF83" s="39" t="n">
        <f aca="false">AE83-AE94-AE105-AE116</f>
        <v>0</v>
      </c>
      <c r="AG83" s="39" t="n">
        <f aca="false">AF83-AF94-AF105-AF116</f>
        <v>0</v>
      </c>
      <c r="AH83" s="39" t="n">
        <f aca="false">AG83-AG94-AG105-AG116</f>
        <v>0</v>
      </c>
      <c r="AI83" s="39" t="n">
        <f aca="false">AH83-AH94-AH105-AH116</f>
        <v>0</v>
      </c>
      <c r="AJ83" s="39" t="n">
        <f aca="false">AI83-AI94-AI105-AI116</f>
        <v>0</v>
      </c>
      <c r="AK83" s="39" t="n">
        <f aca="false">AJ83-AJ94-AJ105-AJ116</f>
        <v>0</v>
      </c>
      <c r="AL83" s="39" t="n">
        <f aca="false">AK83-AK94-AK105-AK116</f>
        <v>0</v>
      </c>
      <c r="AM83" s="39" t="n">
        <f aca="false">AL83-AL94-AL105-AL116</f>
        <v>0</v>
      </c>
      <c r="AN83" s="39" t="n">
        <f aca="false">AM83-AM94-AM105-AM116</f>
        <v>0</v>
      </c>
    </row>
    <row r="84" customFormat="false" ht="15" hidden="false" customHeight="false" outlineLevel="0" collapsed="false">
      <c r="B84" s="37" t="n">
        <v>8</v>
      </c>
      <c r="C84" s="38" t="n">
        <f aca="false">'Inputs &amp; Assumptions'!$C$147</f>
        <v>7</v>
      </c>
      <c r="D84" s="38" t="n">
        <f aca="false">'Inputs &amp; Assumptions'!$D$147</f>
        <v>3</v>
      </c>
      <c r="E84" s="39" t="n">
        <f aca="false">'Inputs &amp; Assumptions'!$G$147</f>
        <v>54760380</v>
      </c>
      <c r="F84" s="39" t="n">
        <f aca="false">E84-E95-E106-E117</f>
        <v>51183128.0116565</v>
      </c>
      <c r="G84" s="39" t="n">
        <f aca="false">F84-F95-F106-F117</f>
        <v>47897590.3580074</v>
      </c>
      <c r="H84" s="39" t="n">
        <f aca="false">G84-G95-G106-G117</f>
        <v>44822957.3147816</v>
      </c>
      <c r="I84" s="39" t="n">
        <f aca="false">H84-H95-H106-H117</f>
        <v>41945690.5331952</v>
      </c>
      <c r="J84" s="39" t="n">
        <f aca="false">I84-I95-I106-I117</f>
        <v>39253120.7155838</v>
      </c>
      <c r="K84" s="39" t="n">
        <f aca="false">J84-J95-J106-J117</f>
        <v>36803854.6709075</v>
      </c>
      <c r="L84" s="39" t="n">
        <f aca="false">K84-K95-K106-K117</f>
        <v>34507414.7977113</v>
      </c>
      <c r="M84" s="39" t="n">
        <f aca="false">L84-L95-L106-L117</f>
        <v>32354265.2439221</v>
      </c>
      <c r="N84" s="39" t="n">
        <f aca="false">M84-M95-M106-M117</f>
        <v>30335465.163374</v>
      </c>
      <c r="O84" s="39" t="n">
        <f aca="false">N84-N95-N106-N117</f>
        <v>28490637.8448435</v>
      </c>
      <c r="P84" s="39" t="n">
        <f aca="false">O84-O95-O106-O117</f>
        <v>26758002.2404293</v>
      </c>
      <c r="Q84" s="39" t="n">
        <f aca="false">P84-P95-P106-P117</f>
        <v>25130735.4997814</v>
      </c>
      <c r="R84" s="39" t="n">
        <f aca="false">Q84-Q95-Q106-Q117</f>
        <v>23602429.6987964</v>
      </c>
      <c r="S84" s="39" t="n">
        <f aca="false">R84-R95-R106-R117</f>
        <v>22192153.1941728</v>
      </c>
      <c r="T84" s="39" t="n">
        <f aca="false">S84-S95-S106-S117</f>
        <v>20866142.5827168</v>
      </c>
      <c r="U84" s="39" t="n">
        <f aca="false">T84-T95-T106-T117</f>
        <v>19619362.865456</v>
      </c>
      <c r="V84" s="39" t="n">
        <f aca="false">U84-U95-U106-U117</f>
        <v>18447079.8912905</v>
      </c>
      <c r="W84" s="39" t="n">
        <f aca="false">V84-V95-V106-V117</f>
        <v>17362706.5925889</v>
      </c>
      <c r="X84" s="39" t="n">
        <f aca="false">W84-W95-W106-W117</f>
        <v>16342075.9272941</v>
      </c>
      <c r="Y84" s="39" t="n">
        <f aca="false">X84-X95-X106-X117</f>
        <v>15381440.9170192</v>
      </c>
      <c r="Z84" s="39" t="n">
        <f aca="false">Y84-Y95-Y106-Y117</f>
        <v>0</v>
      </c>
      <c r="AA84" s="39" t="n">
        <f aca="false">Z84-Z95-Z106-Z117</f>
        <v>0</v>
      </c>
      <c r="AB84" s="39" t="n">
        <f aca="false">AA84-AA95-AA106-AA117</f>
        <v>0</v>
      </c>
      <c r="AC84" s="39" t="n">
        <f aca="false">AB84-AB95-AB106-AB117</f>
        <v>0</v>
      </c>
      <c r="AD84" s="39" t="n">
        <f aca="false">AC84-AC95-AC106-AC117</f>
        <v>0</v>
      </c>
      <c r="AE84" s="39" t="n">
        <f aca="false">AD84-AD95-AD106-AD117</f>
        <v>0</v>
      </c>
      <c r="AF84" s="39" t="n">
        <f aca="false">AE84-AE95-AE106-AE117</f>
        <v>0</v>
      </c>
      <c r="AG84" s="39" t="n">
        <f aca="false">AF84-AF95-AF106-AF117</f>
        <v>0</v>
      </c>
      <c r="AH84" s="39" t="n">
        <f aca="false">AG84-AG95-AG106-AG117</f>
        <v>0</v>
      </c>
      <c r="AI84" s="39" t="n">
        <f aca="false">AH84-AH95-AH106-AH117</f>
        <v>0</v>
      </c>
      <c r="AJ84" s="39" t="n">
        <f aca="false">AI84-AI95-AI106-AI117</f>
        <v>0</v>
      </c>
      <c r="AK84" s="39" t="n">
        <f aca="false">AJ84-AJ95-AJ106-AJ117</f>
        <v>0</v>
      </c>
      <c r="AL84" s="39" t="n">
        <f aca="false">AK84-AK95-AK106-AK117</f>
        <v>0</v>
      </c>
      <c r="AM84" s="39" t="n">
        <f aca="false">AL84-AL95-AL106-AL117</f>
        <v>0</v>
      </c>
      <c r="AN84" s="39" t="n">
        <f aca="false">AM84-AM95-AM106-AM117</f>
        <v>0</v>
      </c>
    </row>
    <row r="85" customFormat="false" ht="15" hidden="false" customHeight="false" outlineLevel="0" collapsed="false">
      <c r="B85" s="37" t="n">
        <v>9</v>
      </c>
      <c r="C85" s="38" t="n">
        <f aca="false">'Inputs &amp; Assumptions'!$C$148</f>
        <v>8</v>
      </c>
      <c r="D85" s="38" t="n">
        <f aca="false">'Inputs &amp; Assumptions'!$D$148</f>
        <v>3</v>
      </c>
      <c r="E85" s="39" t="n">
        <f aca="false">'Inputs &amp; Assumptions'!$G$148</f>
        <v>53117568.6</v>
      </c>
      <c r="F85" s="39" t="n">
        <f aca="false">E85-E96-E107-E118</f>
        <v>49707855.7026983</v>
      </c>
      <c r="G85" s="39" t="n">
        <f aca="false">F85-F96-F107-F118</f>
        <v>46517018.449528</v>
      </c>
      <c r="H85" s="39" t="n">
        <f aca="false">G85-G96-G107-G118</f>
        <v>43531006.8166202</v>
      </c>
      <c r="I85" s="39" t="n">
        <f aca="false">H85-H96-H107-H118</f>
        <v>40736672.6765753</v>
      </c>
      <c r="J85" s="39" t="n">
        <f aca="false">I85-I96-I107-I118</f>
        <v>38194837.8532305</v>
      </c>
      <c r="K85" s="39" t="n">
        <f aca="false">J85-J96-J107-J118</f>
        <v>35811605.1896759</v>
      </c>
      <c r="L85" s="39" t="n">
        <f aca="false">K85-K96-K107-K118</f>
        <v>33577078.431104</v>
      </c>
      <c r="M85" s="39" t="n">
        <f aca="false">L85-L96-L107-L118</f>
        <v>31481978.8165635</v>
      </c>
      <c r="N85" s="39" t="n">
        <f aca="false">M85-M96-M107-M118</f>
        <v>29567427.1771076</v>
      </c>
      <c r="O85" s="39" t="n">
        <f aca="false">N85-N96-N107-N118</f>
        <v>27769307.4811932</v>
      </c>
      <c r="P85" s="39" t="n">
        <f aca="false">O85-O96-O107-O118</f>
        <v>26080539.0122715</v>
      </c>
      <c r="Q85" s="39" t="n">
        <f aca="false">P85-P96-P107-P118</f>
        <v>24494471.6619699</v>
      </c>
      <c r="R85" s="39" t="n">
        <f aca="false">Q85-Q96-Q107-Q118</f>
        <v>23030894.4659405</v>
      </c>
      <c r="S85" s="39" t="n">
        <f aca="false">R85-R96-R107-R118</f>
        <v>21654767.9501421</v>
      </c>
      <c r="T85" s="39" t="n">
        <f aca="false">S85-S96-S107-S118</f>
        <v>20360866.8203479</v>
      </c>
      <c r="U85" s="39" t="n">
        <f aca="false">T85-T96-T107-T118</f>
        <v>19144278.0005972</v>
      </c>
      <c r="V85" s="39" t="n">
        <f aca="false">U85-U96-U107-U118</f>
        <v>18018921.3582936</v>
      </c>
      <c r="W85" s="39" t="n">
        <f aca="false">V85-V96-V107-V118</f>
        <v>16959716.4701767</v>
      </c>
      <c r="X85" s="39" t="n">
        <f aca="false">W85-W96-W107-W118</f>
        <v>15962774.7426954</v>
      </c>
      <c r="Y85" s="39" t="n">
        <f aca="false">X85-X96-X107-X118</f>
        <v>0</v>
      </c>
      <c r="Z85" s="39" t="n">
        <f aca="false">Y85-Y96-Y107-Y118</f>
        <v>0</v>
      </c>
      <c r="AA85" s="39" t="n">
        <f aca="false">Z85-Z96-Z107-Z118</f>
        <v>0</v>
      </c>
      <c r="AB85" s="39" t="n">
        <f aca="false">AA85-AA96-AA107-AA118</f>
        <v>0</v>
      </c>
      <c r="AC85" s="39" t="n">
        <f aca="false">AB85-AB96-AB107-AB118</f>
        <v>0</v>
      </c>
      <c r="AD85" s="39" t="n">
        <f aca="false">AC85-AC96-AC107-AC118</f>
        <v>0</v>
      </c>
      <c r="AE85" s="39" t="n">
        <f aca="false">AD85-AD96-AD107-AD118</f>
        <v>0</v>
      </c>
      <c r="AF85" s="39" t="n">
        <f aca="false">AE85-AE96-AE107-AE118</f>
        <v>0</v>
      </c>
      <c r="AG85" s="39" t="n">
        <f aca="false">AF85-AF96-AF107-AF118</f>
        <v>0</v>
      </c>
      <c r="AH85" s="39" t="n">
        <f aca="false">AG85-AG96-AG107-AG118</f>
        <v>0</v>
      </c>
      <c r="AI85" s="39" t="n">
        <f aca="false">AH85-AH96-AH107-AH118</f>
        <v>0</v>
      </c>
      <c r="AJ85" s="39" t="n">
        <f aca="false">AI85-AI96-AI107-AI118</f>
        <v>0</v>
      </c>
      <c r="AK85" s="39" t="n">
        <f aca="false">AJ85-AJ96-AJ107-AJ118</f>
        <v>0</v>
      </c>
      <c r="AL85" s="39" t="n">
        <f aca="false">AK85-AK96-AK107-AK118</f>
        <v>0</v>
      </c>
      <c r="AM85" s="39" t="n">
        <f aca="false">AL85-AL96-AL107-AL118</f>
        <v>0</v>
      </c>
      <c r="AN85" s="39" t="n">
        <f aca="false">AM85-AM96-AM107-AM118</f>
        <v>0</v>
      </c>
    </row>
    <row r="86" customFormat="false" ht="15" hidden="false" customHeight="false" outlineLevel="0" collapsed="false">
      <c r="B86" s="37" t="n">
        <v>10</v>
      </c>
      <c r="C86" s="38" t="n">
        <f aca="false">'Inputs &amp; Assumptions'!$C$149</f>
        <v>9</v>
      </c>
      <c r="D86" s="38" t="n">
        <f aca="false">'Inputs &amp; Assumptions'!$D$149</f>
        <v>3</v>
      </c>
      <c r="E86" s="39" t="n">
        <f aca="false">'Inputs &amp; Assumptions'!$G$149</f>
        <v>51524041.542</v>
      </c>
      <c r="F86" s="39" t="n">
        <f aca="false">E86-E97-E108-E119</f>
        <v>48216620.0316173</v>
      </c>
      <c r="G86" s="39" t="n">
        <f aca="false">F86-F97-F108-F119</f>
        <v>45121507.8960422</v>
      </c>
      <c r="H86" s="39" t="n">
        <f aca="false">G86-G97-G108-G119</f>
        <v>42225076.6121216</v>
      </c>
      <c r="I86" s="39" t="n">
        <f aca="false">H86-H97-H108-H119</f>
        <v>39590370.2628029</v>
      </c>
      <c r="J86" s="39" t="n">
        <f aca="false">I86-I97-I108-I119</f>
        <v>37120060.9520238</v>
      </c>
      <c r="K86" s="39" t="n">
        <f aca="false">J86-J97-J108-J119</f>
        <v>34803890.843541</v>
      </c>
      <c r="L86" s="39" t="n">
        <f aca="false">K86-K97-K108-K119</f>
        <v>32632242.1564632</v>
      </c>
      <c r="M86" s="39" t="n">
        <f aca="false">L86-L97-L108-L119</f>
        <v>30647738.1618507</v>
      </c>
      <c r="N86" s="39" t="n">
        <f aca="false">M86-M97-M108-M119</f>
        <v>28783920.207926</v>
      </c>
      <c r="O86" s="39" t="n">
        <f aca="false">N86-N97-N108-N119</f>
        <v>27033448.8685877</v>
      </c>
      <c r="P86" s="39" t="n">
        <f aca="false">O86-O97-O108-O119</f>
        <v>25389431.0591267</v>
      </c>
      <c r="Q86" s="39" t="n">
        <f aca="false">P86-P97-P108-P119</f>
        <v>23872378.8511385</v>
      </c>
      <c r="R86" s="39" t="n">
        <f aca="false">Q86-Q97-Q108-Q119</f>
        <v>22445972.526329</v>
      </c>
      <c r="S86" s="39" t="n">
        <f aca="false">R86-R97-R108-R119</f>
        <v>21104795.8728541</v>
      </c>
      <c r="T86" s="39" t="n">
        <f aca="false">S86-S97-S108-S119</f>
        <v>19843756.3047167</v>
      </c>
      <c r="U86" s="39" t="n">
        <f aca="false">T86-T97-T108-T119</f>
        <v>18677282.2822924</v>
      </c>
      <c r="V86" s="39" t="n">
        <f aca="false">U86-U97-U108-U119</f>
        <v>17579377.0138931</v>
      </c>
      <c r="W86" s="39" t="n">
        <f aca="false">V86-V97-V108-V119</f>
        <v>16546009.8276494</v>
      </c>
      <c r="X86" s="39" t="n">
        <f aca="false">W86-W97-W108-W119</f>
        <v>0</v>
      </c>
      <c r="Y86" s="39" t="n">
        <f aca="false">X86-X97-X108-X119</f>
        <v>0</v>
      </c>
      <c r="Z86" s="39" t="n">
        <f aca="false">Y86-Y97-Y108-Y119</f>
        <v>0</v>
      </c>
      <c r="AA86" s="39" t="n">
        <f aca="false">Z86-Z97-Z108-Z119</f>
        <v>0</v>
      </c>
      <c r="AB86" s="39" t="n">
        <f aca="false">AA86-AA97-AA108-AA119</f>
        <v>0</v>
      </c>
      <c r="AC86" s="39" t="n">
        <f aca="false">AB86-AB97-AB108-AB119</f>
        <v>0</v>
      </c>
      <c r="AD86" s="39" t="n">
        <f aca="false">AC86-AC97-AC108-AC119</f>
        <v>0</v>
      </c>
      <c r="AE86" s="39" t="n">
        <f aca="false">AD86-AD97-AD108-AD119</f>
        <v>0</v>
      </c>
      <c r="AF86" s="39" t="n">
        <f aca="false">AE86-AE97-AE108-AE119</f>
        <v>0</v>
      </c>
      <c r="AG86" s="39" t="n">
        <f aca="false">AF86-AF97-AF108-AF119</f>
        <v>0</v>
      </c>
      <c r="AH86" s="39" t="n">
        <f aca="false">AG86-AG97-AG108-AG119</f>
        <v>0</v>
      </c>
      <c r="AI86" s="39" t="n">
        <f aca="false">AH86-AH97-AH108-AH119</f>
        <v>0</v>
      </c>
      <c r="AJ86" s="39" t="n">
        <f aca="false">AI86-AI97-AI108-AI119</f>
        <v>0</v>
      </c>
      <c r="AK86" s="39" t="n">
        <f aca="false">AJ86-AJ97-AJ108-AJ119</f>
        <v>0</v>
      </c>
      <c r="AL86" s="39" t="n">
        <f aca="false">AK86-AK97-AK108-AK119</f>
        <v>0</v>
      </c>
      <c r="AM86" s="39" t="n">
        <f aca="false">AL86-AL97-AL108-AL119</f>
        <v>0</v>
      </c>
      <c r="AN86" s="39" t="n">
        <f aca="false">AM86-AM97-AM108-AM119</f>
        <v>0</v>
      </c>
    </row>
    <row r="87" customFormat="false" ht="15" hidden="false" customHeight="false" outlineLevel="0" collapsed="false">
      <c r="B87" s="37" t="n">
        <v>11</v>
      </c>
      <c r="C87" s="38" t="n">
        <f aca="false">'Inputs &amp; Assumptions'!$C$150</f>
        <v>10</v>
      </c>
      <c r="D87" s="38" t="n">
        <f aca="false">'Inputs &amp; Assumptions'!$D$150</f>
        <v>2</v>
      </c>
      <c r="E87" s="39" t="n">
        <f aca="false">'Inputs &amp; Assumptions'!$G$150</f>
        <v>33318880.19716</v>
      </c>
      <c r="F87" s="39" t="n">
        <f aca="false">E87-E98-E109-E120</f>
        <v>31180080.9537792</v>
      </c>
      <c r="G87" s="39" t="n">
        <f aca="false">F87-F98-F109-F120</f>
        <v>29178575.1061073</v>
      </c>
      <c r="H87" s="39" t="n">
        <f aca="false">G87-G98-G109-G120</f>
        <v>27357927.6789321</v>
      </c>
      <c r="I87" s="39" t="n">
        <f aca="false">H87-H98-H109-H120</f>
        <v>25650882.6823769</v>
      </c>
      <c r="J87" s="39" t="n">
        <f aca="false">I87-I98-I109-I120</f>
        <v>24050351.6972067</v>
      </c>
      <c r="K87" s="39" t="n">
        <f aca="false">J87-J98-J109-J120</f>
        <v>22549688.598308</v>
      </c>
      <c r="L87" s="39" t="n">
        <f aca="false">K87-K98-K109-K120</f>
        <v>21178347.1230258</v>
      </c>
      <c r="M87" s="39" t="n">
        <f aca="false">L87-L98-L109-L120</f>
        <v>19890402.6948305</v>
      </c>
      <c r="N87" s="39" t="n">
        <f aca="false">M87-M98-M109-M120</f>
        <v>18680783.5882707</v>
      </c>
      <c r="O87" s="39" t="n">
        <f aca="false">N87-N98-N109-N120</f>
        <v>17544726.5108666</v>
      </c>
      <c r="P87" s="39" t="n">
        <f aca="false">O87-O98-O109-O120</f>
        <v>16496405.8127825</v>
      </c>
      <c r="Q87" s="39" t="n">
        <f aca="false">P87-P98-P109-P120</f>
        <v>15510723.6679612</v>
      </c>
      <c r="R87" s="39" t="n">
        <f aca="false">Q87-Q98-Q109-Q120</f>
        <v>14583937.3396982</v>
      </c>
      <c r="S87" s="39" t="n">
        <f aca="false">R87-R98-R109-R120</f>
        <v>13712527.724775</v>
      </c>
      <c r="T87" s="39" t="n">
        <f aca="false">S87-S98-S109-S120</f>
        <v>12906465.247132</v>
      </c>
      <c r="U87" s="39" t="n">
        <f aca="false">T87-T98-T109-T120</f>
        <v>12147785.4790015</v>
      </c>
      <c r="V87" s="39" t="n">
        <f aca="false">U87-U98-U109-U120</f>
        <v>11433703.1261623</v>
      </c>
      <c r="W87" s="39" t="n">
        <f aca="false">V87-V98-V109-V120</f>
        <v>0</v>
      </c>
      <c r="X87" s="39" t="n">
        <f aca="false">W87-W98-W109-W120</f>
        <v>0</v>
      </c>
      <c r="Y87" s="39" t="n">
        <f aca="false">X87-X98-X109-X120</f>
        <v>0</v>
      </c>
      <c r="Z87" s="39" t="n">
        <f aca="false">Y87-Y98-Y109-Y120</f>
        <v>0</v>
      </c>
      <c r="AA87" s="39" t="n">
        <f aca="false">Z87-Z98-Z109-Z120</f>
        <v>0</v>
      </c>
      <c r="AB87" s="39" t="n">
        <f aca="false">AA87-AA98-AA109-AA120</f>
        <v>0</v>
      </c>
      <c r="AC87" s="39" t="n">
        <f aca="false">AB87-AB98-AB109-AB120</f>
        <v>0</v>
      </c>
      <c r="AD87" s="39" t="n">
        <f aca="false">AC87-AC98-AC109-AC120</f>
        <v>0</v>
      </c>
      <c r="AE87" s="39" t="n">
        <f aca="false">AD87-AD98-AD109-AD120</f>
        <v>0</v>
      </c>
      <c r="AF87" s="39" t="n">
        <f aca="false">AE87-AE98-AE109-AE120</f>
        <v>0</v>
      </c>
      <c r="AG87" s="39" t="n">
        <f aca="false">AF87-AF98-AF109-AF120</f>
        <v>0</v>
      </c>
      <c r="AH87" s="39" t="n">
        <f aca="false">AG87-AG98-AG109-AG120</f>
        <v>0</v>
      </c>
      <c r="AI87" s="39" t="n">
        <f aca="false">AH87-AH98-AH109-AH120</f>
        <v>0</v>
      </c>
      <c r="AJ87" s="39" t="n">
        <f aca="false">AI87-AI98-AI109-AI120</f>
        <v>0</v>
      </c>
      <c r="AK87" s="39" t="n">
        <f aca="false">AJ87-AJ98-AJ109-AJ120</f>
        <v>0</v>
      </c>
      <c r="AL87" s="39" t="n">
        <f aca="false">AK87-AK98-AK109-AK120</f>
        <v>0</v>
      </c>
      <c r="AM87" s="39" t="n">
        <f aca="false">AL87-AL98-AL109-AL120</f>
        <v>0</v>
      </c>
      <c r="AN87" s="39" t="n">
        <f aca="false">AM87-AM98-AM109-AM120</f>
        <v>0</v>
      </c>
    </row>
    <row r="88" customFormat="false" ht="15" hidden="false" customHeight="false" outlineLevel="0" collapsed="false">
      <c r="A88" s="14" t="s">
        <v>128</v>
      </c>
      <c r="B88" s="37" t="n">
        <v>1</v>
      </c>
      <c r="C88" s="38" t="n">
        <f aca="false">'Inputs &amp; Assumptions'!$C$140</f>
        <v>0</v>
      </c>
      <c r="D88" s="38" t="n">
        <f aca="false">'Inputs &amp; Assumptions'!$D$140</f>
        <v>1</v>
      </c>
      <c r="E88" s="39" t="n">
        <f aca="false">IF(1&lt;='Inputs &amp; Assumptions'!$E$140,'Inputs &amp; Assumptions'!$C$63*INDEX('Inputs &amp; Assumptions'!$C$26:$I$26,CEILING(('Inputs &amp; Assumptions'!$C$140+1)/4,1))*E77,0)</f>
        <v>159000</v>
      </c>
      <c r="F88" s="39" t="n">
        <f aca="false">IF(2&lt;='Inputs &amp; Assumptions'!$E$140,'Inputs &amp; Assumptions'!$C$63*INDEX('Inputs &amp; Assumptions'!$C$26:$I$26,CEILING(('Inputs &amp; Assumptions'!$C$140+2)/4,1))*F77,0)</f>
        <v>153635.406245953</v>
      </c>
      <c r="G88" s="39" t="n">
        <f aca="false">IF(3&lt;='Inputs &amp; Assumptions'!$E$140,'Inputs &amp; Assumptions'!$C$63*INDEX('Inputs &amp; Assumptions'!$C$26:$I$26,CEILING(('Inputs &amp; Assumptions'!$C$140+3)/4,1))*G77,0)</f>
        <v>148451.811650057</v>
      </c>
      <c r="H88" s="39" t="n">
        <f aca="false">IF(4&lt;='Inputs &amp; Assumptions'!$E$140,'Inputs &amp; Assumptions'!$C$63*INDEX('Inputs &amp; Assumptions'!$C$26:$I$26,CEILING(('Inputs &amp; Assumptions'!$C$140+4)/4,1))*H77,0)</f>
        <v>143443.109376128</v>
      </c>
      <c r="I88" s="39" t="n">
        <f aca="false">IF(5&lt;='Inputs &amp; Assumptions'!$E$140,'Inputs &amp; Assumptions'!$C$63*INDEX('Inputs &amp; Assumptions'!$C$26:$I$26,CEILING(('Inputs &amp; Assumptions'!$C$140+5)/4,1))*I77,0)</f>
        <v>186547.970483264</v>
      </c>
      <c r="J88" s="39" t="n">
        <f aca="false">IF(6&lt;='Inputs &amp; Assumptions'!$E$140,'Inputs &amp; Assumptions'!$C$63*INDEX('Inputs &amp; Assumptions'!$C$26:$I$26,CEILING(('Inputs &amp; Assumptions'!$C$140+6)/4,1))*J77,0)</f>
        <v>174361.621551195</v>
      </c>
      <c r="K88" s="39" t="n">
        <f aca="false">IF(7&lt;='Inputs &amp; Assumptions'!$E$140,'Inputs &amp; Assumptions'!$C$63*INDEX('Inputs &amp; Assumptions'!$C$26:$I$26,CEILING(('Inputs &amp; Assumptions'!$C$140+7)/4,1))*K77,0)</f>
        <v>162971.352575983</v>
      </c>
      <c r="L88" s="39" t="n">
        <f aca="false">IF(8&lt;='Inputs &amp; Assumptions'!$E$140,'Inputs &amp; Assumptions'!$C$63*INDEX('Inputs &amp; Assumptions'!$C$26:$I$26,CEILING(('Inputs &amp; Assumptions'!$C$140+8)/4,1))*L77,0)</f>
        <v>152325.159195925</v>
      </c>
      <c r="M88" s="39" t="n">
        <f aca="false">IF(9&lt;='Inputs &amp; Assumptions'!$E$140,'Inputs &amp; Assumptions'!$C$63*INDEX('Inputs &amp; Assumptions'!$C$26:$I$26,CEILING(('Inputs &amp; Assumptions'!$C$140+9)/4,1))*M77,0)</f>
        <v>126407.207990418</v>
      </c>
      <c r="N88" s="39" t="n">
        <f aca="false">IF(10&lt;='Inputs &amp; Assumptions'!$E$140,'Inputs &amp; Assumptions'!$C$63*INDEX('Inputs &amp; Assumptions'!$C$26:$I$26,CEILING(('Inputs &amp; Assumptions'!$C$140+10)/4,1))*N77,0)</f>
        <v>118292.900450429</v>
      </c>
      <c r="O88" s="39" t="n">
        <f aca="false">IF(11&lt;='Inputs &amp; Assumptions'!$E$140,'Inputs &amp; Assumptions'!$C$63*INDEX('Inputs &amp; Assumptions'!$C$26:$I$26,CEILING(('Inputs &amp; Assumptions'!$C$140+11)/4,1))*O77,0)</f>
        <v>110699.465002312</v>
      </c>
      <c r="P88" s="39" t="n">
        <f aca="false">IF(12&lt;='Inputs &amp; Assumptions'!$E$140,'Inputs &amp; Assumptions'!$C$63*INDEX('Inputs &amp; Assumptions'!$C$26:$I$26,CEILING(('Inputs &amp; Assumptions'!$C$140+12)/4,1))*P77,0)</f>
        <v>103593.465923454</v>
      </c>
      <c r="Q88" s="39" t="n">
        <f aca="false">IF(13&lt;='Inputs &amp; Assumptions'!$E$140,'Inputs &amp; Assumptions'!$C$63*INDEX('Inputs &amp; Assumptions'!$C$26:$I$26,CEILING(('Inputs &amp; Assumptions'!$C$140+13)/4,1))*Q77,0)</f>
        <v>77554.8910326505</v>
      </c>
      <c r="R88" s="39" t="n">
        <f aca="false">IF(14&lt;='Inputs &amp; Assumptions'!$E$140,'Inputs &amp; Assumptions'!$C$63*INDEX('Inputs &amp; Assumptions'!$C$26:$I$26,CEILING(('Inputs &amp; Assumptions'!$C$140+14)/4,1))*R77,0)</f>
        <v>72715.7200892451</v>
      </c>
      <c r="S88" s="39" t="n">
        <f aca="false">IF(15&lt;='Inputs &amp; Assumptions'!$E$140,'Inputs &amp; Assumptions'!$C$63*INDEX('Inputs &amp; Assumptions'!$C$26:$I$26,CEILING(('Inputs &amp; Assumptions'!$C$140+15)/4,1))*S77,0)</f>
        <v>68178.4975479031</v>
      </c>
      <c r="T88" s="39" t="n">
        <f aca="false">IF(16&lt;='Inputs &amp; Assumptions'!$E$140,'Inputs &amp; Assumptions'!$C$63*INDEX('Inputs &amp; Assumptions'!$C$26:$I$26,CEILING(('Inputs &amp; Assumptions'!$C$140+16)/4,1))*T77,0)</f>
        <v>63924.3828182473</v>
      </c>
      <c r="U88" s="39" t="n">
        <f aca="false">IF(17&lt;='Inputs &amp; Assumptions'!$E$140,'Inputs &amp; Assumptions'!$C$63*INDEX('Inputs &amp; Assumptions'!$C$26:$I$26,CEILING(('Inputs &amp; Assumptions'!$C$140+17)/4,1))*U77,0)</f>
        <v>46726.1956695088</v>
      </c>
      <c r="V88" s="39" t="n">
        <f aca="false">IF(18&lt;='Inputs &amp; Assumptions'!$E$140,'Inputs &amp; Assumptions'!$C$63*INDEX('Inputs &amp; Assumptions'!$C$26:$I$26,CEILING(('Inputs &amp; Assumptions'!$C$140+18)/4,1))*V77,0)</f>
        <v>43884.5790403302</v>
      </c>
      <c r="W88" s="39" t="n">
        <f aca="false">IF(19&lt;='Inputs &amp; Assumptions'!$E$140,'Inputs &amp; Assumptions'!$C$63*INDEX('Inputs &amp; Assumptions'!$C$26:$I$26,CEILING(('Inputs &amp; Assumptions'!$C$140+19)/4,1))*W77,0)</f>
        <v>41215.7730787338</v>
      </c>
      <c r="X88" s="39" t="n">
        <f aca="false">IF(20&lt;='Inputs &amp; Assumptions'!$E$140,'Inputs &amp; Assumptions'!$C$63*INDEX('Inputs &amp; Assumptions'!$C$26:$I$26,CEILING(('Inputs &amp; Assumptions'!$C$140+20)/4,1))*X77,0)</f>
        <v>38709.268440664</v>
      </c>
      <c r="Y88" s="39" t="n">
        <f aca="false">IF(21&lt;='Inputs &amp; Assumptions'!$E$140,'Inputs &amp; Assumptions'!$C$63*INDEX('Inputs &amp; Assumptions'!$C$26:$I$26,CEILING(('Inputs &amp; Assumptions'!$C$140+21)/4,1))*Y77,0)</f>
        <v>29452.309792009</v>
      </c>
      <c r="Z88" s="39" t="n">
        <f aca="false">IF(22&lt;='Inputs &amp; Assumptions'!$E$140,'Inputs &amp; Assumptions'!$C$63*INDEX('Inputs &amp; Assumptions'!$C$26:$I$26,CEILING(('Inputs &amp; Assumptions'!$C$140+22)/4,1))*Z77,0)</f>
        <v>27692.4951866218</v>
      </c>
      <c r="AA88" s="39" t="n">
        <f aca="false">IF(23&lt;='Inputs &amp; Assumptions'!$E$140,'Inputs &amp; Assumptions'!$C$63*INDEX('Inputs &amp; Assumptions'!$C$26:$I$26,CEILING(('Inputs &amp; Assumptions'!$C$140+23)/4,1))*AA77,0)</f>
        <v>26037.8318399034</v>
      </c>
      <c r="AB88" s="39" t="n">
        <f aca="false">IF(24&lt;='Inputs &amp; Assumptions'!$E$140,'Inputs &amp; Assumptions'!$C$63*INDEX('Inputs &amp; Assumptions'!$C$26:$I$26,CEILING(('Inputs &amp; Assumptions'!$C$140+24)/4,1))*AB77,0)</f>
        <v>24482.0368245695</v>
      </c>
      <c r="AC88" s="39" t="n">
        <f aca="false">IF(25&lt;='Inputs &amp; Assumptions'!$E$140,'Inputs &amp; Assumptions'!$C$63*INDEX('Inputs &amp; Assumptions'!$C$26:$I$26,CEILING(('Inputs &amp; Assumptions'!$C$140+25)/4,1))*AC77,0)</f>
        <v>18103.6437323631</v>
      </c>
      <c r="AD88" s="39" t="n">
        <f aca="false">IF(26&lt;='Inputs &amp; Assumptions'!$E$140,'Inputs &amp; Assumptions'!$C$63*INDEX('Inputs &amp; Assumptions'!$C$26:$I$26,CEILING(('Inputs &amp; Assumptions'!$C$140+26)/4,1))*AD77,0)</f>
        <v>17039.4586153545</v>
      </c>
      <c r="AE88" s="39" t="n">
        <f aca="false">IF(27&lt;='Inputs &amp; Assumptions'!$E$140,'Inputs &amp; Assumptions'!$C$63*INDEX('Inputs &amp; Assumptions'!$C$26:$I$26,CEILING(('Inputs &amp; Assumptions'!$C$140+27)/4,1))*AE77,0)</f>
        <v>16037.8294113987</v>
      </c>
      <c r="AF88" s="39" t="n">
        <f aca="false">IF(28&lt;='Inputs &amp; Assumptions'!$E$140,'Inputs &amp; Assumptions'!$C$63*INDEX('Inputs &amp; Assumptions'!$C$26:$I$26,CEILING(('Inputs &amp; Assumptions'!$C$140+28)/4,1))*AF77,0)</f>
        <v>15095.0789010015</v>
      </c>
      <c r="AG88" s="39" t="n">
        <f aca="false">IF(29&lt;='Inputs &amp; Assumptions'!$E$140,'Inputs &amp; Assumptions'!$C$63*INDEX('Inputs &amp; Assumptions'!$C$26:$I$26,CEILING(('Inputs &amp; Assumptions'!$C$140+29)/4,1))*AG77,0)</f>
        <v>0</v>
      </c>
      <c r="AH88" s="39" t="n">
        <f aca="false">IF(30&lt;='Inputs &amp; Assumptions'!$E$140,'Inputs &amp; Assumptions'!$C$63*INDEX('Inputs &amp; Assumptions'!$C$26:$I$26,CEILING(('Inputs &amp; Assumptions'!$C$140+30)/4,1))*AH77,0)</f>
        <v>0</v>
      </c>
      <c r="AI88" s="39" t="n">
        <f aca="false">IF(31&lt;='Inputs &amp; Assumptions'!$E$140,'Inputs &amp; Assumptions'!$C$63*INDEX('Inputs &amp; Assumptions'!$C$26:$I$26,CEILING(('Inputs &amp; Assumptions'!$C$140+31)/4,1))*AI77,0)</f>
        <v>0</v>
      </c>
      <c r="AJ88" s="39" t="n">
        <f aca="false">IF(32&lt;='Inputs &amp; Assumptions'!$E$140,'Inputs &amp; Assumptions'!$C$63*INDEX('Inputs &amp; Assumptions'!$C$26:$I$26,CEILING(('Inputs &amp; Assumptions'!$C$140+32)/4,1))*AJ77,0)</f>
        <v>0</v>
      </c>
      <c r="AK88" s="39" t="n">
        <f aca="false">IF(33&lt;='Inputs &amp; Assumptions'!$E$140,'Inputs &amp; Assumptions'!$C$63*INDEX('Inputs &amp; Assumptions'!$C$26:$I$26,CEILING(('Inputs &amp; Assumptions'!$C$140+33)/4,1))*AK77,0)</f>
        <v>0</v>
      </c>
      <c r="AL88" s="39" t="n">
        <f aca="false">IF(34&lt;='Inputs &amp; Assumptions'!$E$140,'Inputs &amp; Assumptions'!$C$63*INDEX('Inputs &amp; Assumptions'!$C$26:$I$26,CEILING(('Inputs &amp; Assumptions'!$C$140+34)/4,1))*AL77,0)</f>
        <v>0</v>
      </c>
      <c r="AM88" s="39" t="n">
        <f aca="false">IF(35&lt;='Inputs &amp; Assumptions'!$E$140,'Inputs &amp; Assumptions'!$C$63*INDEX('Inputs &amp; Assumptions'!$C$26:$I$26,CEILING(('Inputs &amp; Assumptions'!$C$140+35)/4,1))*AM77,0)</f>
        <v>0</v>
      </c>
      <c r="AN88" s="39" t="n">
        <f aca="false">IF(36&lt;='Inputs &amp; Assumptions'!$E$140,'Inputs &amp; Assumptions'!$C$63*INDEX('Inputs &amp; Assumptions'!$C$26:$I$26,CEILING(('Inputs &amp; Assumptions'!$C$140+36)/4,1))*AN77,0)</f>
        <v>0</v>
      </c>
    </row>
    <row r="89" customFormat="false" ht="15" hidden="false" customHeight="false" outlineLevel="0" collapsed="false">
      <c r="B89" s="37" t="n">
        <v>2</v>
      </c>
      <c r="C89" s="38" t="n">
        <f aca="false">'Inputs &amp; Assumptions'!$C$141</f>
        <v>1</v>
      </c>
      <c r="D89" s="38" t="n">
        <f aca="false">'Inputs &amp; Assumptions'!$D$141</f>
        <v>3</v>
      </c>
      <c r="E89" s="39" t="n">
        <f aca="false">IF(1&lt;='Inputs &amp; Assumptions'!$E$141,'Inputs &amp; Assumptions'!$C$63*INDEX('Inputs &amp; Assumptions'!$C$26:$I$26,CEILING(('Inputs &amp; Assumptions'!$C$141+1)/4,1))*E78,0)</f>
        <v>477000</v>
      </c>
      <c r="F89" s="39" t="n">
        <f aca="false">IF(2&lt;='Inputs &amp; Assumptions'!$E$141,'Inputs &amp; Assumptions'!$C$63*INDEX('Inputs &amp; Assumptions'!$C$26:$I$26,CEILING(('Inputs &amp; Assumptions'!$C$141+2)/4,1))*F78,0)</f>
        <v>460906.21873786</v>
      </c>
      <c r="G89" s="39" t="n">
        <f aca="false">IF(3&lt;='Inputs &amp; Assumptions'!$E$141,'Inputs &amp; Assumptions'!$C$63*INDEX('Inputs &amp; Assumptions'!$C$26:$I$26,CEILING(('Inputs &amp; Assumptions'!$C$141+3)/4,1))*G78,0)</f>
        <v>445355.434950172</v>
      </c>
      <c r="H89" s="39" t="n">
        <f aca="false">IF(4&lt;='Inputs &amp; Assumptions'!$E$141,'Inputs &amp; Assumptions'!$C$63*INDEX('Inputs &amp; Assumptions'!$C$26:$I$26,CEILING(('Inputs &amp; Assumptions'!$C$141+4)/4,1))*H78,0)</f>
        <v>579185.385028138</v>
      </c>
      <c r="I89" s="39" t="n">
        <f aca="false">IF(5&lt;='Inputs &amp; Assumptions'!$E$141,'Inputs &amp; Assumptions'!$C$63*INDEX('Inputs &amp; Assumptions'!$C$26:$I$26,CEILING(('Inputs &amp; Assumptions'!$C$141+5)/4,1))*I78,0)</f>
        <v>541349.780705973</v>
      </c>
      <c r="J89" s="39" t="n">
        <f aca="false">IF(6&lt;='Inputs &amp; Assumptions'!$E$141,'Inputs &amp; Assumptions'!$C$63*INDEX('Inputs &amp; Assumptions'!$C$26:$I$26,CEILING(('Inputs &amp; Assumptions'!$C$141+6)/4,1))*J78,0)</f>
        <v>505985.808077956</v>
      </c>
      <c r="K89" s="39" t="n">
        <f aca="false">IF(7&lt;='Inputs &amp; Assumptions'!$E$141,'Inputs &amp; Assumptions'!$C$63*INDEX('Inputs &amp; Assumptions'!$C$26:$I$26,CEILING(('Inputs &amp; Assumptions'!$C$141+7)/4,1))*K78,0)</f>
        <v>472932.006442167</v>
      </c>
      <c r="L89" s="39" t="n">
        <f aca="false">IF(8&lt;='Inputs &amp; Assumptions'!$E$141,'Inputs &amp; Assumptions'!$C$63*INDEX('Inputs &amp; Assumptions'!$C$26:$I$26,CEILING(('Inputs &amp; Assumptions'!$C$141+8)/4,1))*L78,0)</f>
        <v>392463.167734277</v>
      </c>
      <c r="M89" s="39" t="n">
        <f aca="false">IF(9&lt;='Inputs &amp; Assumptions'!$E$141,'Inputs &amp; Assumptions'!$C$63*INDEX('Inputs &amp; Assumptions'!$C$26:$I$26,CEILING(('Inputs &amp; Assumptions'!$C$141+9)/4,1))*M78,0)</f>
        <v>367270.24644647</v>
      </c>
      <c r="N89" s="39" t="n">
        <f aca="false">IF(10&lt;='Inputs &amp; Assumptions'!$E$141,'Inputs &amp; Assumptions'!$C$63*INDEX('Inputs &amp; Assumptions'!$C$26:$I$26,CEILING(('Inputs &amp; Assumptions'!$C$141+10)/4,1))*N78,0)</f>
        <v>343694.50438768</v>
      </c>
      <c r="O89" s="39" t="n">
        <f aca="false">IF(11&lt;='Inputs &amp; Assumptions'!$E$141,'Inputs &amp; Assumptions'!$C$63*INDEX('Inputs &amp; Assumptions'!$C$26:$I$26,CEILING(('Inputs &amp; Assumptions'!$C$141+11)/4,1))*O78,0)</f>
        <v>321632.131895306</v>
      </c>
      <c r="P89" s="39" t="n">
        <f aca="false">IF(12&lt;='Inputs &amp; Assumptions'!$E$141,'Inputs &amp; Assumptions'!$C$63*INDEX('Inputs &amp; Assumptions'!$C$26:$I$26,CEILING(('Inputs &amp; Assumptions'!$C$141+12)/4,1))*P78,0)</f>
        <v>240788.786429552</v>
      </c>
      <c r="Q89" s="39" t="n">
        <f aca="false">IF(13&lt;='Inputs &amp; Assumptions'!$E$141,'Inputs &amp; Assumptions'!$C$63*INDEX('Inputs &amp; Assumptions'!$C$26:$I$26,CEILING(('Inputs &amp; Assumptions'!$C$141+13)/4,1))*Q78,0)</f>
        <v>225764.35556165</v>
      </c>
      <c r="R89" s="39" t="n">
        <f aca="false">IF(14&lt;='Inputs &amp; Assumptions'!$E$141,'Inputs &amp; Assumptions'!$C$63*INDEX('Inputs &amp; Assumptions'!$C$26:$I$26,CEILING(('Inputs &amp; Assumptions'!$C$141+14)/4,1))*R78,0)</f>
        <v>211677.399923602</v>
      </c>
      <c r="S89" s="39" t="n">
        <f aca="false">IF(15&lt;='Inputs &amp; Assumptions'!$E$141,'Inputs &amp; Assumptions'!$C$63*INDEX('Inputs &amp; Assumptions'!$C$26:$I$26,CEILING(('Inputs &amp; Assumptions'!$C$141+15)/4,1))*S78,0)</f>
        <v>198469.424134498</v>
      </c>
      <c r="T89" s="39" t="n">
        <f aca="false">IF(16&lt;='Inputs &amp; Assumptions'!$E$141,'Inputs &amp; Assumptions'!$C$63*INDEX('Inputs &amp; Assumptions'!$C$26:$I$26,CEILING(('Inputs &amp; Assumptions'!$C$141+16)/4,1))*T78,0)</f>
        <v>145073.29969678</v>
      </c>
      <c r="U89" s="39" t="n">
        <f aca="false">IF(17&lt;='Inputs &amp; Assumptions'!$E$141,'Inputs &amp; Assumptions'!$C$63*INDEX('Inputs &amp; Assumptions'!$C$26:$I$26,CEILING(('Inputs &amp; Assumptions'!$C$141+17)/4,1))*U78,0)</f>
        <v>136250.78172883</v>
      </c>
      <c r="V89" s="39" t="n">
        <f aca="false">IF(18&lt;='Inputs &amp; Assumptions'!$E$141,'Inputs &amp; Assumptions'!$C$63*INDEX('Inputs &amp; Assumptions'!$C$26:$I$26,CEILING(('Inputs &amp; Assumptions'!$C$141+18)/4,1))*V78,0)</f>
        <v>127964.798212481</v>
      </c>
      <c r="W89" s="39" t="n">
        <f aca="false">IF(19&lt;='Inputs &amp; Assumptions'!$E$141,'Inputs &amp; Assumptions'!$C$63*INDEX('Inputs &amp; Assumptions'!$C$26:$I$26,CEILING(('Inputs &amp; Assumptions'!$C$141+19)/4,1))*W78,0)</f>
        <v>120182.720229459</v>
      </c>
      <c r="X89" s="39" t="n">
        <f aca="false">IF(20&lt;='Inputs &amp; Assumptions'!$E$141,'Inputs &amp; Assumptions'!$C$63*INDEX('Inputs &amp; Assumptions'!$C$26:$I$26,CEILING(('Inputs &amp; Assumptions'!$C$141+20)/4,1))*X78,0)</f>
        <v>91442.1493981522</v>
      </c>
      <c r="Y89" s="39" t="n">
        <f aca="false">IF(21&lt;='Inputs &amp; Assumptions'!$E$141,'Inputs &amp; Assumptions'!$C$63*INDEX('Inputs &amp; Assumptions'!$C$26:$I$26,CEILING(('Inputs &amp; Assumptions'!$C$141+21)/4,1))*Y78,0)</f>
        <v>85978.3595903143</v>
      </c>
      <c r="Z89" s="39" t="n">
        <f aca="false">IF(22&lt;='Inputs &amp; Assumptions'!$E$141,'Inputs &amp; Assumptions'!$C$63*INDEX('Inputs &amp; Assumptions'!$C$26:$I$26,CEILING(('Inputs &amp; Assumptions'!$C$141+22)/4,1))*Z78,0)</f>
        <v>80841.0384761884</v>
      </c>
      <c r="AA89" s="39" t="n">
        <f aca="false">IF(23&lt;='Inputs &amp; Assumptions'!$E$141,'Inputs &amp; Assumptions'!$C$63*INDEX('Inputs &amp; Assumptions'!$C$26:$I$26,CEILING(('Inputs &amp; Assumptions'!$C$141+23)/4,1))*AA78,0)</f>
        <v>76010.6791179671</v>
      </c>
      <c r="AB89" s="39" t="n">
        <f aca="false">IF(24&lt;='Inputs &amp; Assumptions'!$E$141,'Inputs &amp; Assumptions'!$C$63*INDEX('Inputs &amp; Assumptions'!$C$26:$I$26,CEILING(('Inputs &amp; Assumptions'!$C$141+24)/4,1))*AB78,0)</f>
        <v>56207.3435501764</v>
      </c>
      <c r="AC89" s="39" t="n">
        <f aca="false">IF(25&lt;='Inputs &amp; Assumptions'!$E$141,'Inputs &amp; Assumptions'!$C$63*INDEX('Inputs &amp; Assumptions'!$C$26:$I$26,CEILING(('Inputs &amp; Assumptions'!$C$141+25)/4,1))*AC78,0)</f>
        <v>52903.3115355736</v>
      </c>
      <c r="AD89" s="39" t="n">
        <f aca="false">IF(26&lt;='Inputs &amp; Assumptions'!$E$141,'Inputs &amp; Assumptions'!$C$63*INDEX('Inputs &amp; Assumptions'!$C$26:$I$26,CEILING(('Inputs &amp; Assumptions'!$C$141+26)/4,1))*AD78,0)</f>
        <v>49793.5001843931</v>
      </c>
      <c r="AE89" s="39" t="n">
        <f aca="false">IF(27&lt;='Inputs &amp; Assumptions'!$E$141,'Inputs &amp; Assumptions'!$C$63*INDEX('Inputs &amp; Assumptions'!$C$26:$I$26,CEILING(('Inputs &amp; Assumptions'!$C$141+27)/4,1))*AE78,0)</f>
        <v>46866.4926381016</v>
      </c>
      <c r="AF89" s="39" t="n">
        <f aca="false">IF(28&lt;='Inputs &amp; Assumptions'!$E$141,'Inputs &amp; Assumptions'!$C$63*INDEX('Inputs &amp; Assumptions'!$C$26:$I$26,CEILING(('Inputs &amp; Assumptions'!$C$141+28)/4,1))*AF78,0)</f>
        <v>0</v>
      </c>
      <c r="AG89" s="39" t="n">
        <f aca="false">IF(29&lt;='Inputs &amp; Assumptions'!$E$141,'Inputs &amp; Assumptions'!$C$63*INDEX('Inputs &amp; Assumptions'!$C$26:$I$26,CEILING(('Inputs &amp; Assumptions'!$C$141+29)/4,1))*AG78,0)</f>
        <v>0</v>
      </c>
      <c r="AH89" s="39" t="n">
        <f aca="false">IF(30&lt;='Inputs &amp; Assumptions'!$E$141,'Inputs &amp; Assumptions'!$C$63*INDEX('Inputs &amp; Assumptions'!$C$26:$I$26,CEILING(('Inputs &amp; Assumptions'!$C$141+30)/4,1))*AH78,0)</f>
        <v>0</v>
      </c>
      <c r="AI89" s="39" t="n">
        <f aca="false">IF(31&lt;='Inputs &amp; Assumptions'!$E$141,'Inputs &amp; Assumptions'!$C$63*INDEX('Inputs &amp; Assumptions'!$C$26:$I$26,CEILING(('Inputs &amp; Assumptions'!$C$141+31)/4,1))*AI78,0)</f>
        <v>0</v>
      </c>
      <c r="AJ89" s="39" t="n">
        <f aca="false">IF(32&lt;='Inputs &amp; Assumptions'!$E$141,'Inputs &amp; Assumptions'!$C$63*INDEX('Inputs &amp; Assumptions'!$C$26:$I$26,CEILING(('Inputs &amp; Assumptions'!$C$141+32)/4,1))*AJ78,0)</f>
        <v>0</v>
      </c>
      <c r="AK89" s="39" t="n">
        <f aca="false">IF(33&lt;='Inputs &amp; Assumptions'!$E$141,'Inputs &amp; Assumptions'!$C$63*INDEX('Inputs &amp; Assumptions'!$C$26:$I$26,CEILING(('Inputs &amp; Assumptions'!$C$141+33)/4,1))*AK78,0)</f>
        <v>0</v>
      </c>
      <c r="AL89" s="39" t="n">
        <f aca="false">IF(34&lt;='Inputs &amp; Assumptions'!$E$141,'Inputs &amp; Assumptions'!$C$63*INDEX('Inputs &amp; Assumptions'!$C$26:$I$26,CEILING(('Inputs &amp; Assumptions'!$C$141+34)/4,1))*AL78,0)</f>
        <v>0</v>
      </c>
      <c r="AM89" s="39" t="n">
        <f aca="false">IF(35&lt;='Inputs &amp; Assumptions'!$E$141,'Inputs &amp; Assumptions'!$C$63*INDEX('Inputs &amp; Assumptions'!$C$26:$I$26,CEILING(('Inputs &amp; Assumptions'!$C$141+35)/4,1))*AM78,0)</f>
        <v>0</v>
      </c>
      <c r="AN89" s="39" t="n">
        <f aca="false">IF(36&lt;='Inputs &amp; Assumptions'!$E$141,'Inputs &amp; Assumptions'!$C$63*INDEX('Inputs &amp; Assumptions'!$C$26:$I$26,CEILING(('Inputs &amp; Assumptions'!$C$141+36)/4,1))*AN78,0)</f>
        <v>0</v>
      </c>
    </row>
    <row r="90" customFormat="false" ht="15" hidden="false" customHeight="false" outlineLevel="0" collapsed="false">
      <c r="B90" s="37" t="n">
        <v>3</v>
      </c>
      <c r="C90" s="38" t="n">
        <f aca="false">'Inputs &amp; Assumptions'!$C$142</f>
        <v>2</v>
      </c>
      <c r="D90" s="38" t="n">
        <f aca="false">'Inputs &amp; Assumptions'!$D$142</f>
        <v>3</v>
      </c>
      <c r="E90" s="39" t="n">
        <f aca="false">IF(1&lt;='Inputs &amp; Assumptions'!$E$142,'Inputs &amp; Assumptions'!$C$63*INDEX('Inputs &amp; Assumptions'!$C$26:$I$26,CEILING(('Inputs &amp; Assumptions'!$C$142+1)/4,1))*E79,0)</f>
        <v>477000</v>
      </c>
      <c r="F90" s="39" t="n">
        <f aca="false">IF(2&lt;='Inputs &amp; Assumptions'!$E$142,'Inputs &amp; Assumptions'!$C$63*INDEX('Inputs &amp; Assumptions'!$C$26:$I$26,CEILING(('Inputs &amp; Assumptions'!$C$142+2)/4,1))*F79,0)</f>
        <v>460906.21873786</v>
      </c>
      <c r="G90" s="39" t="n">
        <f aca="false">IF(3&lt;='Inputs &amp; Assumptions'!$E$142,'Inputs &amp; Assumptions'!$C$63*INDEX('Inputs &amp; Assumptions'!$C$26:$I$26,CEILING(('Inputs &amp; Assumptions'!$C$142+3)/4,1))*G79,0)</f>
        <v>599409.201756835</v>
      </c>
      <c r="H90" s="39" t="n">
        <f aca="false">IF(4&lt;='Inputs &amp; Assumptions'!$E$142,'Inputs &amp; Assumptions'!$C$63*INDEX('Inputs &amp; Assumptions'!$C$26:$I$26,CEILING(('Inputs &amp; Assumptions'!$C$142+4)/4,1))*H79,0)</f>
        <v>560252.465466546</v>
      </c>
      <c r="I90" s="39" t="n">
        <f aca="false">IF(5&lt;='Inputs &amp; Assumptions'!$E$142,'Inputs &amp; Assumptions'!$C$63*INDEX('Inputs &amp; Assumptions'!$C$26:$I$26,CEILING(('Inputs &amp; Assumptions'!$C$142+5)/4,1))*I79,0)</f>
        <v>523653.664543971</v>
      </c>
      <c r="J90" s="39" t="n">
        <f aca="false">IF(6&lt;='Inputs &amp; Assumptions'!$E$142,'Inputs &amp; Assumptions'!$C$63*INDEX('Inputs &amp; Assumptions'!$C$26:$I$26,CEILING(('Inputs &amp; Assumptions'!$C$142+6)/4,1))*J79,0)</f>
        <v>489445.700452172</v>
      </c>
      <c r="K90" s="39" t="n">
        <f aca="false">IF(7&lt;='Inputs &amp; Assumptions'!$E$142,'Inputs &amp; Assumptions'!$C$63*INDEX('Inputs &amp; Assumptions'!$C$26:$I$26,CEILING(('Inputs &amp; Assumptions'!$C$142+7)/4,1))*K79,0)</f>
        <v>406167.075640441</v>
      </c>
      <c r="L90" s="39" t="n">
        <f aca="false">IF(8&lt;='Inputs &amp; Assumptions'!$E$142,'Inputs &amp; Assumptions'!$C$63*INDEX('Inputs &amp; Assumptions'!$C$26:$I$26,CEILING(('Inputs &amp; Assumptions'!$C$142+8)/4,1))*L79,0)</f>
        <v>380094.475693339</v>
      </c>
      <c r="M90" s="39" t="n">
        <f aca="false">IF(9&lt;='Inputs &amp; Assumptions'!$E$142,'Inputs &amp; Assumptions'!$C$63*INDEX('Inputs &amp; Assumptions'!$C$26:$I$26,CEILING(('Inputs &amp; Assumptions'!$C$142+9)/4,1))*M79,0)</f>
        <v>355695.523141043</v>
      </c>
      <c r="N90" s="39" t="n">
        <f aca="false">IF(10&lt;='Inputs &amp; Assumptions'!$E$142,'Inputs &amp; Assumptions'!$C$63*INDEX('Inputs &amp; Assumptions'!$C$26:$I$26,CEILING(('Inputs &amp; Assumptions'!$C$142+10)/4,1))*N79,0)</f>
        <v>332862.783527158</v>
      </c>
      <c r="O90" s="39" t="n">
        <f aca="false">IF(11&lt;='Inputs &amp; Assumptions'!$E$142,'Inputs &amp; Assumptions'!$C$63*INDEX('Inputs &amp; Assumptions'!$C$26:$I$26,CEILING(('Inputs &amp; Assumptions'!$C$142+11)/4,1))*O79,0)</f>
        <v>249196.575046041</v>
      </c>
      <c r="P90" s="39" t="n">
        <f aca="false">IF(12&lt;='Inputs &amp; Assumptions'!$E$142,'Inputs &amp; Assumptions'!$C$63*INDEX('Inputs &amp; Assumptions'!$C$26:$I$26,CEILING(('Inputs &amp; Assumptions'!$C$142+12)/4,1))*P79,0)</f>
        <v>233647.525732681</v>
      </c>
      <c r="Q90" s="39" t="n">
        <f aca="false">IF(13&lt;='Inputs &amp; Assumptions'!$E$142,'Inputs &amp; Assumptions'!$C$63*INDEX('Inputs &amp; Assumptions'!$C$26:$I$26,CEILING(('Inputs &amp; Assumptions'!$C$142+13)/4,1))*Q79,0)</f>
        <v>219068.686120256</v>
      </c>
      <c r="R90" s="39" t="n">
        <f aca="false">IF(14&lt;='Inputs &amp; Assumptions'!$E$142,'Inputs &amp; Assumptions'!$C$63*INDEX('Inputs &amp; Assumptions'!$C$26:$I$26,CEILING(('Inputs &amp; Assumptions'!$C$142+14)/4,1))*R79,0)</f>
        <v>205399.518304176</v>
      </c>
      <c r="S90" s="39" t="n">
        <f aca="false">IF(15&lt;='Inputs &amp; Assumptions'!$E$142,'Inputs &amp; Assumptions'!$C$63*INDEX('Inputs &amp; Assumptions'!$C$26:$I$26,CEILING(('Inputs &amp; Assumptions'!$C$142+15)/4,1))*S79,0)</f>
        <v>150138.924453786</v>
      </c>
      <c r="T90" s="39" t="n">
        <f aca="false">IF(16&lt;='Inputs &amp; Assumptions'!$E$142,'Inputs &amp; Assumptions'!$C$63*INDEX('Inputs &amp; Assumptions'!$C$26:$I$26,CEILING(('Inputs &amp; Assumptions'!$C$142+16)/4,1))*T79,0)</f>
        <v>141008.344523153</v>
      </c>
      <c r="U90" s="39" t="n">
        <f aca="false">IF(17&lt;='Inputs &amp; Assumptions'!$E$142,'Inputs &amp; Assumptions'!$C$63*INDEX('Inputs &amp; Assumptions'!$C$26:$I$26,CEILING(('Inputs &amp; Assumptions'!$C$142+17)/4,1))*U79,0)</f>
        <v>132433.033588704</v>
      </c>
      <c r="V90" s="39" t="n">
        <f aca="false">IF(18&lt;='Inputs &amp; Assumptions'!$E$142,'Inputs &amp; Assumptions'!$C$63*INDEX('Inputs &amp; Assumptions'!$C$26:$I$26,CEILING(('Inputs &amp; Assumptions'!$C$142+18)/4,1))*V79,0)</f>
        <v>124379.223405655</v>
      </c>
      <c r="W90" s="39" t="n">
        <f aca="false">IF(19&lt;='Inputs &amp; Assumptions'!$E$142,'Inputs &amp; Assumptions'!$C$63*INDEX('Inputs &amp; Assumptions'!$C$26:$I$26,CEILING(('Inputs &amp; Assumptions'!$C$142+19)/4,1))*W79,0)</f>
        <v>94635.0981819281</v>
      </c>
      <c r="X90" s="39" t="n">
        <f aca="false">IF(20&lt;='Inputs &amp; Assumptions'!$E$142,'Inputs &amp; Assumptions'!$C$63*INDEX('Inputs &amp; Assumptions'!$C$26:$I$26,CEILING(('Inputs &amp; Assumptions'!$C$142+20)/4,1))*X79,0)</f>
        <v>88980.5254459048</v>
      </c>
      <c r="Y90" s="39" t="n">
        <f aca="false">IF(21&lt;='Inputs &amp; Assumptions'!$E$142,'Inputs &amp; Assumptions'!$C$63*INDEX('Inputs &amp; Assumptions'!$C$26:$I$26,CEILING(('Inputs &amp; Assumptions'!$C$142+21)/4,1))*Y79,0)</f>
        <v>83663.8209367999</v>
      </c>
      <c r="Z90" s="39" t="n">
        <f aca="false">IF(22&lt;='Inputs &amp; Assumptions'!$E$142,'Inputs &amp; Assumptions'!$C$63*INDEX('Inputs &amp; Assumptions'!$C$26:$I$26,CEILING(('Inputs &amp; Assumptions'!$C$142+22)/4,1))*Z79,0)</f>
        <v>78664.7965795651</v>
      </c>
      <c r="AA90" s="39" t="n">
        <f aca="false">IF(23&lt;='Inputs &amp; Assumptions'!$E$142,'Inputs &amp; Assumptions'!$C$63*INDEX('Inputs &amp; Assumptions'!$C$26:$I$26,CEILING(('Inputs &amp; Assumptions'!$C$142+23)/4,1))*AA79,0)</f>
        <v>58169.9742452007</v>
      </c>
      <c r="AB90" s="39" t="n">
        <f aca="false">IF(24&lt;='Inputs &amp; Assumptions'!$E$142,'Inputs &amp; Assumptions'!$C$63*INDEX('Inputs &amp; Assumptions'!$C$26:$I$26,CEILING(('Inputs &amp; Assumptions'!$C$142+24)/4,1))*AB79,0)</f>
        <v>54750.5730592473</v>
      </c>
      <c r="AC90" s="39" t="n">
        <f aca="false">IF(25&lt;='Inputs &amp; Assumptions'!$E$142,'Inputs &amp; Assumptions'!$C$63*INDEX('Inputs &amp; Assumptions'!$C$26:$I$26,CEILING(('Inputs &amp; Assumptions'!$C$142+25)/4,1))*AC79,0)</f>
        <v>51532.174273969</v>
      </c>
      <c r="AD90" s="39" t="n">
        <f aca="false">IF(26&lt;='Inputs &amp; Assumptions'!$E$142,'Inputs &amp; Assumptions'!$C$63*INDEX('Inputs &amp; Assumptions'!$C$26:$I$26,CEILING(('Inputs &amp; Assumptions'!$C$142+26)/4,1))*AD79,0)</f>
        <v>48502.9623804859</v>
      </c>
      <c r="AE90" s="39" t="n">
        <f aca="false">IF(27&lt;='Inputs &amp; Assumptions'!$E$142,'Inputs &amp; Assumptions'!$C$63*INDEX('Inputs &amp; Assumptions'!$C$26:$I$26,CEILING(('Inputs &amp; Assumptions'!$C$142+27)/4,1))*AE79,0)</f>
        <v>0</v>
      </c>
      <c r="AF90" s="39" t="n">
        <f aca="false">IF(28&lt;='Inputs &amp; Assumptions'!$E$142,'Inputs &amp; Assumptions'!$C$63*INDEX('Inputs &amp; Assumptions'!$C$26:$I$26,CEILING(('Inputs &amp; Assumptions'!$C$142+28)/4,1))*AF79,0)</f>
        <v>0</v>
      </c>
      <c r="AG90" s="39" t="n">
        <f aca="false">IF(29&lt;='Inputs &amp; Assumptions'!$E$142,'Inputs &amp; Assumptions'!$C$63*INDEX('Inputs &amp; Assumptions'!$C$26:$I$26,CEILING(('Inputs &amp; Assumptions'!$C$142+29)/4,1))*AG79,0)</f>
        <v>0</v>
      </c>
      <c r="AH90" s="39" t="n">
        <f aca="false">IF(30&lt;='Inputs &amp; Assumptions'!$E$142,'Inputs &amp; Assumptions'!$C$63*INDEX('Inputs &amp; Assumptions'!$C$26:$I$26,CEILING(('Inputs &amp; Assumptions'!$C$142+30)/4,1))*AH79,0)</f>
        <v>0</v>
      </c>
      <c r="AI90" s="39" t="n">
        <f aca="false">IF(31&lt;='Inputs &amp; Assumptions'!$E$142,'Inputs &amp; Assumptions'!$C$63*INDEX('Inputs &amp; Assumptions'!$C$26:$I$26,CEILING(('Inputs &amp; Assumptions'!$C$142+31)/4,1))*AI79,0)</f>
        <v>0</v>
      </c>
      <c r="AJ90" s="39" t="n">
        <f aca="false">IF(32&lt;='Inputs &amp; Assumptions'!$E$142,'Inputs &amp; Assumptions'!$C$63*INDEX('Inputs &amp; Assumptions'!$C$26:$I$26,CEILING(('Inputs &amp; Assumptions'!$C$142+32)/4,1))*AJ79,0)</f>
        <v>0</v>
      </c>
      <c r="AK90" s="39" t="n">
        <f aca="false">IF(33&lt;='Inputs &amp; Assumptions'!$E$142,'Inputs &amp; Assumptions'!$C$63*INDEX('Inputs &amp; Assumptions'!$C$26:$I$26,CEILING(('Inputs &amp; Assumptions'!$C$142+33)/4,1))*AK79,0)</f>
        <v>0</v>
      </c>
      <c r="AL90" s="39" t="n">
        <f aca="false">IF(34&lt;='Inputs &amp; Assumptions'!$E$142,'Inputs &amp; Assumptions'!$C$63*INDEX('Inputs &amp; Assumptions'!$C$26:$I$26,CEILING(('Inputs &amp; Assumptions'!$C$142+34)/4,1))*AL79,0)</f>
        <v>0</v>
      </c>
      <c r="AM90" s="39" t="n">
        <f aca="false">IF(35&lt;='Inputs &amp; Assumptions'!$E$142,'Inputs &amp; Assumptions'!$C$63*INDEX('Inputs &amp; Assumptions'!$C$26:$I$26,CEILING(('Inputs &amp; Assumptions'!$C$142+35)/4,1))*AM79,0)</f>
        <v>0</v>
      </c>
      <c r="AN90" s="39" t="n">
        <f aca="false">IF(36&lt;='Inputs &amp; Assumptions'!$E$142,'Inputs &amp; Assumptions'!$C$63*INDEX('Inputs &amp; Assumptions'!$C$26:$I$26,CEILING(('Inputs &amp; Assumptions'!$C$142+36)/4,1))*AN79,0)</f>
        <v>0</v>
      </c>
    </row>
    <row r="91" customFormat="false" ht="15" hidden="false" customHeight="false" outlineLevel="0" collapsed="false">
      <c r="B91" s="37" t="n">
        <v>4</v>
      </c>
      <c r="C91" s="38" t="n">
        <f aca="false">'Inputs &amp; Assumptions'!$C$143</f>
        <v>3</v>
      </c>
      <c r="D91" s="38" t="n">
        <f aca="false">'Inputs &amp; Assumptions'!$D$143</f>
        <v>3</v>
      </c>
      <c r="E91" s="39" t="n">
        <f aca="false">IF(1&lt;='Inputs &amp; Assumptions'!$E$143,'Inputs &amp; Assumptions'!$C$63*INDEX('Inputs &amp; Assumptions'!$C$26:$I$26,CEILING(('Inputs &amp; Assumptions'!$C$143+1)/4,1))*E80,0)</f>
        <v>477000</v>
      </c>
      <c r="F91" s="39" t="n">
        <f aca="false">IF(2&lt;='Inputs &amp; Assumptions'!$E$143,'Inputs &amp; Assumptions'!$C$63*INDEX('Inputs &amp; Assumptions'!$C$26:$I$26,CEILING(('Inputs &amp; Assumptions'!$C$143+2)/4,1))*F80,0)</f>
        <v>620339.18748366</v>
      </c>
      <c r="G91" s="39" t="n">
        <f aca="false">IF(3&lt;='Inputs &amp; Assumptions'!$E$143,'Inputs &amp; Assumptions'!$C$63*INDEX('Inputs &amp; Assumptions'!$C$26:$I$26,CEILING(('Inputs &amp; Assumptions'!$C$143+3)/4,1))*G80,0)</f>
        <v>579815.18834645</v>
      </c>
      <c r="H91" s="39" t="n">
        <f aca="false">IF(4&lt;='Inputs &amp; Assumptions'!$E$143,'Inputs &amp; Assumptions'!$C$63*INDEX('Inputs &amp; Assumptions'!$C$26:$I$26,CEILING(('Inputs &amp; Assumptions'!$C$143+4)/4,1))*H80,0)</f>
        <v>541938.441775588</v>
      </c>
      <c r="I91" s="39" t="n">
        <f aca="false">IF(5&lt;='Inputs &amp; Assumptions'!$E$143,'Inputs &amp; Assumptions'!$C$63*INDEX('Inputs &amp; Assumptions'!$C$26:$I$26,CEILING(('Inputs &amp; Assumptions'!$C$143+5)/4,1))*I80,0)</f>
        <v>506536.014538934</v>
      </c>
      <c r="J91" s="39" t="n">
        <f aca="false">IF(6&lt;='Inputs &amp; Assumptions'!$E$143,'Inputs &amp; Assumptions'!$C$63*INDEX('Inputs &amp; Assumptions'!$C$26:$I$26,CEILING(('Inputs &amp; Assumptions'!$C$143+6)/4,1))*J80,0)</f>
        <v>420349.492378364</v>
      </c>
      <c r="K91" s="39" t="n">
        <f aca="false">IF(7&lt;='Inputs &amp; Assumptions'!$E$143,'Inputs &amp; Assumptions'!$C$63*INDEX('Inputs &amp; Assumptions'!$C$26:$I$26,CEILING(('Inputs &amp; Assumptions'!$C$143+7)/4,1))*K80,0)</f>
        <v>393366.49742372</v>
      </c>
      <c r="L91" s="39" t="n">
        <f aca="false">IF(8&lt;='Inputs &amp; Assumptions'!$E$143,'Inputs &amp; Assumptions'!$C$63*INDEX('Inputs &amp; Assumptions'!$C$26:$I$26,CEILING(('Inputs &amp; Assumptions'!$C$143+8)/4,1))*L80,0)</f>
        <v>368115.589767678</v>
      </c>
      <c r="M91" s="39" t="n">
        <f aca="false">IF(9&lt;='Inputs &amp; Assumptions'!$E$143,'Inputs &amp; Assumptions'!$C$63*INDEX('Inputs &amp; Assumptions'!$C$26:$I$26,CEILING(('Inputs &amp; Assumptions'!$C$143+9)/4,1))*M80,0)</f>
        <v>344485.583590613</v>
      </c>
      <c r="N91" s="39" t="n">
        <f aca="false">IF(10&lt;='Inputs &amp; Assumptions'!$E$143,'Inputs &amp; Assumptions'!$C$63*INDEX('Inputs &amp; Assumptions'!$C$26:$I$26,CEILING(('Inputs &amp; Assumptions'!$C$143+10)/4,1))*N80,0)</f>
        <v>257897.944233569</v>
      </c>
      <c r="O91" s="39" t="n">
        <f aca="false">IF(11&lt;='Inputs &amp; Assumptions'!$E$143,'Inputs &amp; Assumptions'!$C$63*INDEX('Inputs &amp; Assumptions'!$C$26:$I$26,CEILING(('Inputs &amp; Assumptions'!$C$143+11)/4,1))*O80,0)</f>
        <v>241805.958009597</v>
      </c>
      <c r="P91" s="39" t="n">
        <f aca="false">IF(12&lt;='Inputs &amp; Assumptions'!$E$143,'Inputs &amp; Assumptions'!$C$63*INDEX('Inputs &amp; Assumptions'!$C$26:$I$26,CEILING(('Inputs &amp; Assumptions'!$C$143+12)/4,1))*P80,0)</f>
        <v>226718.05896981</v>
      </c>
      <c r="Q91" s="39" t="n">
        <f aca="false">IF(13&lt;='Inputs &amp; Assumptions'!$E$143,'Inputs &amp; Assumptions'!$C$63*INDEX('Inputs &amp; Assumptions'!$C$26:$I$26,CEILING(('Inputs &amp; Assumptions'!$C$143+13)/4,1))*Q80,0)</f>
        <v>212571.595365727</v>
      </c>
      <c r="R91" s="39" t="n">
        <f aca="false">IF(14&lt;='Inputs &amp; Assumptions'!$E$143,'Inputs &amp; Assumptions'!$C$63*INDEX('Inputs &amp; Assumptions'!$C$26:$I$26,CEILING(('Inputs &amp; Assumptions'!$C$143+14)/4,1))*R80,0)</f>
        <v>155381.429134476</v>
      </c>
      <c r="S91" s="39" t="n">
        <f aca="false">IF(15&lt;='Inputs &amp; Assumptions'!$E$143,'Inputs &amp; Assumptions'!$C$63*INDEX('Inputs &amp; Assumptions'!$C$26:$I$26,CEILING(('Inputs &amp; Assumptions'!$C$143+15)/4,1))*S80,0)</f>
        <v>145932.030428513</v>
      </c>
      <c r="T91" s="39" t="n">
        <f aca="false">IF(16&lt;='Inputs &amp; Assumptions'!$E$143,'Inputs &amp; Assumptions'!$C$63*INDEX('Inputs &amp; Assumptions'!$C$26:$I$26,CEILING(('Inputs &amp; Assumptions'!$C$143+16)/4,1))*T80,0)</f>
        <v>137057.289430369</v>
      </c>
      <c r="U91" s="39" t="n">
        <f aca="false">IF(17&lt;='Inputs &amp; Assumptions'!$E$143,'Inputs &amp; Assumptions'!$C$63*INDEX('Inputs &amp; Assumptions'!$C$26:$I$26,CEILING(('Inputs &amp; Assumptions'!$C$143+17)/4,1))*U80,0)</f>
        <v>128722.2587861</v>
      </c>
      <c r="V91" s="39" t="n">
        <f aca="false">IF(18&lt;='Inputs &amp; Assumptions'!$E$143,'Inputs &amp; Assumptions'!$C$63*INDEX('Inputs &amp; Assumptions'!$C$26:$I$26,CEILING(('Inputs &amp; Assumptions'!$C$143+18)/4,1))*V80,0)</f>
        <v>97939.5373670443</v>
      </c>
      <c r="W91" s="39" t="n">
        <f aca="false">IF(19&lt;='Inputs &amp; Assumptions'!$E$143,'Inputs &amp; Assumptions'!$C$63*INDEX('Inputs &amp; Assumptions'!$C$26:$I$26,CEILING(('Inputs &amp; Assumptions'!$C$143+19)/4,1))*W80,0)</f>
        <v>92087.5200033619</v>
      </c>
      <c r="X91" s="39" t="n">
        <f aca="false">IF(20&lt;='Inputs &amp; Assumptions'!$E$143,'Inputs &amp; Assumptions'!$C$63*INDEX('Inputs &amp; Assumptions'!$C$26:$I$26,CEILING(('Inputs &amp; Assumptions'!$C$143+20)/4,1))*X80,0)</f>
        <v>86585.1684451908</v>
      </c>
      <c r="Y91" s="39" t="n">
        <f aca="false">IF(21&lt;='Inputs &amp; Assumptions'!$E$143,'Inputs &amp; Assumptions'!$C$63*INDEX('Inputs &amp; Assumptions'!$C$26:$I$26,CEILING(('Inputs &amp; Assumptions'!$C$143+21)/4,1))*Y80,0)</f>
        <v>81411.5896965013</v>
      </c>
      <c r="Z91" s="39" t="n">
        <f aca="false">IF(22&lt;='Inputs &amp; Assumptions'!$E$143,'Inputs &amp; Assumptions'!$C$63*INDEX('Inputs &amp; Assumptions'!$C$26:$I$26,CEILING(('Inputs &amp; Assumptions'!$C$143+22)/4,1))*Z80,0)</f>
        <v>60201.1354738129</v>
      </c>
      <c r="AA91" s="39" t="n">
        <f aca="false">IF(23&lt;='Inputs &amp; Assumptions'!$E$143,'Inputs &amp; Assumptions'!$C$63*INDEX('Inputs &amp; Assumptions'!$C$26:$I$26,CEILING(('Inputs &amp; Assumptions'!$C$143+23)/4,1))*AA80,0)</f>
        <v>56662.3366913485</v>
      </c>
      <c r="AB91" s="39" t="n">
        <f aca="false">IF(24&lt;='Inputs &amp; Assumptions'!$E$143,'Inputs &amp; Assumptions'!$C$63*INDEX('Inputs &amp; Assumptions'!$C$26:$I$26,CEILING(('Inputs &amp; Assumptions'!$C$143+24)/4,1))*AB80,0)</f>
        <v>53331.5588494231</v>
      </c>
      <c r="AC91" s="39" t="n">
        <f aca="false">IF(25&lt;='Inputs &amp; Assumptions'!$E$143,'Inputs &amp; Assumptions'!$C$63*INDEX('Inputs &amp; Assumptions'!$C$26:$I$26,CEILING(('Inputs &amp; Assumptions'!$C$143+25)/4,1))*AC80,0)</f>
        <v>50196.5738688597</v>
      </c>
      <c r="AD91" s="39" t="n">
        <f aca="false">IF(26&lt;='Inputs &amp; Assumptions'!$E$143,'Inputs &amp; Assumptions'!$C$63*INDEX('Inputs &amp; Assumptions'!$C$26:$I$26,CEILING(('Inputs &amp; Assumptions'!$C$143+26)/4,1))*AD80,0)</f>
        <v>0</v>
      </c>
      <c r="AE91" s="39" t="n">
        <f aca="false">IF(27&lt;='Inputs &amp; Assumptions'!$E$143,'Inputs &amp; Assumptions'!$C$63*INDEX('Inputs &amp; Assumptions'!$C$26:$I$26,CEILING(('Inputs &amp; Assumptions'!$C$143+27)/4,1))*AE80,0)</f>
        <v>0</v>
      </c>
      <c r="AF91" s="39" t="n">
        <f aca="false">IF(28&lt;='Inputs &amp; Assumptions'!$E$143,'Inputs &amp; Assumptions'!$C$63*INDEX('Inputs &amp; Assumptions'!$C$26:$I$26,CEILING(('Inputs &amp; Assumptions'!$C$143+28)/4,1))*AF80,0)</f>
        <v>0</v>
      </c>
      <c r="AG91" s="39" t="n">
        <f aca="false">IF(29&lt;='Inputs &amp; Assumptions'!$E$143,'Inputs &amp; Assumptions'!$C$63*INDEX('Inputs &amp; Assumptions'!$C$26:$I$26,CEILING(('Inputs &amp; Assumptions'!$C$143+29)/4,1))*AG80,0)</f>
        <v>0</v>
      </c>
      <c r="AH91" s="39" t="n">
        <f aca="false">IF(30&lt;='Inputs &amp; Assumptions'!$E$143,'Inputs &amp; Assumptions'!$C$63*INDEX('Inputs &amp; Assumptions'!$C$26:$I$26,CEILING(('Inputs &amp; Assumptions'!$C$143+30)/4,1))*AH80,0)</f>
        <v>0</v>
      </c>
      <c r="AI91" s="39" t="n">
        <f aca="false">IF(31&lt;='Inputs &amp; Assumptions'!$E$143,'Inputs &amp; Assumptions'!$C$63*INDEX('Inputs &amp; Assumptions'!$C$26:$I$26,CEILING(('Inputs &amp; Assumptions'!$C$143+31)/4,1))*AI80,0)</f>
        <v>0</v>
      </c>
      <c r="AJ91" s="39" t="n">
        <f aca="false">IF(32&lt;='Inputs &amp; Assumptions'!$E$143,'Inputs &amp; Assumptions'!$C$63*INDEX('Inputs &amp; Assumptions'!$C$26:$I$26,CEILING(('Inputs &amp; Assumptions'!$C$143+32)/4,1))*AJ80,0)</f>
        <v>0</v>
      </c>
      <c r="AK91" s="39" t="n">
        <f aca="false">IF(33&lt;='Inputs &amp; Assumptions'!$E$143,'Inputs &amp; Assumptions'!$C$63*INDEX('Inputs &amp; Assumptions'!$C$26:$I$26,CEILING(('Inputs &amp; Assumptions'!$C$143+33)/4,1))*AK80,0)</f>
        <v>0</v>
      </c>
      <c r="AL91" s="39" t="n">
        <f aca="false">IF(34&lt;='Inputs &amp; Assumptions'!$E$143,'Inputs &amp; Assumptions'!$C$63*INDEX('Inputs &amp; Assumptions'!$C$26:$I$26,CEILING(('Inputs &amp; Assumptions'!$C$143+34)/4,1))*AL80,0)</f>
        <v>0</v>
      </c>
      <c r="AM91" s="39" t="n">
        <f aca="false">IF(35&lt;='Inputs &amp; Assumptions'!$E$143,'Inputs &amp; Assumptions'!$C$63*INDEX('Inputs &amp; Assumptions'!$C$26:$I$26,CEILING(('Inputs &amp; Assumptions'!$C$143+35)/4,1))*AM80,0)</f>
        <v>0</v>
      </c>
      <c r="AN91" s="39" t="n">
        <f aca="false">IF(36&lt;='Inputs &amp; Assumptions'!$E$143,'Inputs &amp; Assumptions'!$C$63*INDEX('Inputs &amp; Assumptions'!$C$26:$I$26,CEILING(('Inputs &amp; Assumptions'!$C$143+36)/4,1))*AN80,0)</f>
        <v>0</v>
      </c>
    </row>
    <row r="92" customFormat="false" ht="15" hidden="false" customHeight="false" outlineLevel="0" collapsed="false">
      <c r="B92" s="37" t="n">
        <v>5</v>
      </c>
      <c r="C92" s="38" t="n">
        <f aca="false">'Inputs &amp; Assumptions'!$C$144</f>
        <v>4</v>
      </c>
      <c r="D92" s="38" t="n">
        <f aca="false">'Inputs &amp; Assumptions'!$D$144</f>
        <v>3</v>
      </c>
      <c r="E92" s="39" t="n">
        <f aca="false">IF(1&lt;='Inputs &amp; Assumptions'!$E$144,'Inputs &amp; Assumptions'!$C$63*INDEX('Inputs &amp; Assumptions'!$C$26:$I$26,CEILING(('Inputs &amp; Assumptions'!$C$144+1)/4,1))*E81,0)</f>
        <v>642000</v>
      </c>
      <c r="F92" s="39" t="n">
        <f aca="false">IF(2&lt;='Inputs &amp; Assumptions'!$E$144,'Inputs &amp; Assumptions'!$C$63*INDEX('Inputs &amp; Assumptions'!$C$26:$I$26,CEILING(('Inputs &amp; Assumptions'!$C$144+2)/4,1))*F81,0)</f>
        <v>600060.996353266</v>
      </c>
      <c r="G92" s="39" t="n">
        <f aca="false">IF(3&lt;='Inputs &amp; Assumptions'!$E$144,'Inputs &amp; Assumptions'!$C$63*INDEX('Inputs &amp; Assumptions'!$C$26:$I$26,CEILING(('Inputs &amp; Assumptions'!$C$144+3)/4,1))*G81,0)</f>
        <v>560861.681221923</v>
      </c>
      <c r="H92" s="39" t="n">
        <f aca="false">IF(4&lt;='Inputs &amp; Assumptions'!$E$144,'Inputs &amp; Assumptions'!$C$63*INDEX('Inputs &amp; Assumptions'!$C$26:$I$26,CEILING(('Inputs &amp; Assumptions'!$C$144+4)/4,1))*H81,0)</f>
        <v>524223.08294454</v>
      </c>
      <c r="I92" s="39" t="n">
        <f aca="false">IF(5&lt;='Inputs &amp; Assumptions'!$E$144,'Inputs &amp; Assumptions'!$C$63*INDEX('Inputs &amp; Assumptions'!$C$26:$I$26,CEILING(('Inputs &amp; Assumptions'!$C$144+5)/4,1))*I81,0)</f>
        <v>435027.126371922</v>
      </c>
      <c r="J92" s="39" t="n">
        <f aca="false">IF(6&lt;='Inputs &amp; Assumptions'!$E$144,'Inputs &amp; Assumptions'!$C$63*INDEX('Inputs &amp; Assumptions'!$C$26:$I$26,CEILING(('Inputs &amp; Assumptions'!$C$144+6)/4,1))*J81,0)</f>
        <v>407101.94751751</v>
      </c>
      <c r="K92" s="39" t="n">
        <f aca="false">IF(7&lt;='Inputs &amp; Assumptions'!$E$144,'Inputs &amp; Assumptions'!$C$63*INDEX('Inputs &amp; Assumptions'!$C$26:$I$26,CEILING(('Inputs &amp; Assumptions'!$C$144+7)/4,1))*K81,0)</f>
        <v>380969.336452042</v>
      </c>
      <c r="L92" s="39" t="n">
        <f aca="false">IF(8&lt;='Inputs &amp; Assumptions'!$E$144,'Inputs &amp; Assumptions'!$C$63*INDEX('Inputs &amp; Assumptions'!$C$26:$I$26,CEILING(('Inputs &amp; Assumptions'!$C$144+8)/4,1))*L81,0)</f>
        <v>356514.225003718</v>
      </c>
      <c r="M92" s="39" t="n">
        <f aca="false">IF(9&lt;='Inputs &amp; Assumptions'!$E$144,'Inputs &amp; Assumptions'!$C$63*INDEX('Inputs &amp; Assumptions'!$C$26:$I$26,CEILING(('Inputs &amp; Assumptions'!$C$144+9)/4,1))*M81,0)</f>
        <v>266903.145148012</v>
      </c>
      <c r="N92" s="39" t="n">
        <f aca="false">IF(10&lt;='Inputs &amp; Assumptions'!$E$144,'Inputs &amp; Assumptions'!$C$63*INDEX('Inputs &amp; Assumptions'!$C$26:$I$26,CEILING(('Inputs &amp; Assumptions'!$C$144+10)/4,1))*N81,0)</f>
        <v>250249.263909754</v>
      </c>
      <c r="O92" s="39" t="n">
        <f aca="false">IF(11&lt;='Inputs &amp; Assumptions'!$E$144,'Inputs &amp; Assumptions'!$C$63*INDEX('Inputs &amp; Assumptions'!$C$26:$I$26,CEILING(('Inputs &amp; Assumptions'!$C$144+11)/4,1))*O81,0)</f>
        <v>234634.530262449</v>
      </c>
      <c r="P92" s="39" t="n">
        <f aca="false">IF(12&lt;='Inputs &amp; Assumptions'!$E$144,'Inputs &amp; Assumptions'!$C$63*INDEX('Inputs &amp; Assumptions'!$C$26:$I$26,CEILING(('Inputs &amp; Assumptions'!$C$144+12)/4,1))*P81,0)</f>
        <v>219994.104803175</v>
      </c>
      <c r="Q92" s="39" t="n">
        <f aca="false">IF(13&lt;='Inputs &amp; Assumptions'!$E$144,'Inputs &amp; Assumptions'!$C$63*INDEX('Inputs &amp; Assumptions'!$C$26:$I$26,CEILING(('Inputs &amp; Assumptions'!$C$144+13)/4,1))*Q81,0)</f>
        <v>160806.989977497</v>
      </c>
      <c r="R92" s="39" t="n">
        <f aca="false">IF(14&lt;='Inputs &amp; Assumptions'!$E$144,'Inputs &amp; Assumptions'!$C$63*INDEX('Inputs &amp; Assumptions'!$C$26:$I$26,CEILING(('Inputs &amp; Assumptions'!$C$144+14)/4,1))*R81,0)</f>
        <v>151027.640080489</v>
      </c>
      <c r="S92" s="39" t="n">
        <f aca="false">IF(15&lt;='Inputs &amp; Assumptions'!$E$144,'Inputs &amp; Assumptions'!$C$63*INDEX('Inputs &amp; Assumptions'!$C$26:$I$26,CEILING(('Inputs &amp; Assumptions'!$C$144+15)/4,1))*S81,0)</f>
        <v>141843.013611992</v>
      </c>
      <c r="T92" s="39" t="n">
        <f aca="false">IF(16&lt;='Inputs &amp; Assumptions'!$E$144,'Inputs &amp; Assumptions'!$C$63*INDEX('Inputs &amp; Assumptions'!$C$26:$I$26,CEILING(('Inputs &amp; Assumptions'!$C$144+16)/4,1))*T81,0)</f>
        <v>133216.94293713</v>
      </c>
      <c r="U92" s="39" t="n">
        <f aca="false">IF(17&lt;='Inputs &amp; Assumptions'!$E$144,'Inputs &amp; Assumptions'!$C$63*INDEX('Inputs &amp; Assumptions'!$C$26:$I$26,CEILING(('Inputs &amp; Assumptions'!$C$144+17)/4,1))*U81,0)</f>
        <v>101359.359940966</v>
      </c>
      <c r="V92" s="39" t="n">
        <f aca="false">IF(18&lt;='Inputs &amp; Assumptions'!$E$144,'Inputs &amp; Assumptions'!$C$63*INDEX('Inputs &amp; Assumptions'!$C$26:$I$26,CEILING(('Inputs &amp; Assumptions'!$C$144+18)/4,1))*V81,0)</f>
        <v>95303.0036389819</v>
      </c>
      <c r="W92" s="39" t="n">
        <f aca="false">IF(19&lt;='Inputs &amp; Assumptions'!$E$144,'Inputs &amp; Assumptions'!$C$63*INDEX('Inputs &amp; Assumptions'!$C$26:$I$26,CEILING(('Inputs &amp; Assumptions'!$C$144+19)/4,1))*W81,0)</f>
        <v>89608.5226653147</v>
      </c>
      <c r="X92" s="39" t="n">
        <f aca="false">IF(20&lt;='Inputs &amp; Assumptions'!$E$144,'Inputs &amp; Assumptions'!$C$63*INDEX('Inputs &amp; Assumptions'!$C$26:$I$26,CEILING(('Inputs &amp; Assumptions'!$C$144+20)/4,1))*X81,0)</f>
        <v>84254.2944887397</v>
      </c>
      <c r="Y92" s="39" t="n">
        <f aca="false">IF(21&lt;='Inputs &amp; Assumptions'!$E$144,'Inputs &amp; Assumptions'!$C$63*INDEX('Inputs &amp; Assumptions'!$C$26:$I$26,CEILING(('Inputs &amp; Assumptions'!$C$144+21)/4,1))*Y81,0)</f>
        <v>62303.2201640588</v>
      </c>
      <c r="Z92" s="39" t="n">
        <f aca="false">IF(22&lt;='Inputs &amp; Assumptions'!$E$144,'Inputs &amp; Assumptions'!$C$63*INDEX('Inputs &amp; Assumptions'!$C$26:$I$26,CEILING(('Inputs &amp; Assumptions'!$C$144+22)/4,1))*Z81,0)</f>
        <v>58640.8546966153</v>
      </c>
      <c r="AA92" s="39" t="n">
        <f aca="false">IF(23&lt;='Inputs &amp; Assumptions'!$E$144,'Inputs &amp; Assumptions'!$C$63*INDEX('Inputs &amp; Assumptions'!$C$26:$I$26,CEILING(('Inputs &amp; Assumptions'!$C$144+23)/4,1))*AA81,0)</f>
        <v>55193.7737807858</v>
      </c>
      <c r="AB92" s="39" t="n">
        <f aca="false">IF(24&lt;='Inputs &amp; Assumptions'!$E$144,'Inputs &amp; Assumptions'!$C$63*INDEX('Inputs &amp; Assumptions'!$C$26:$I$26,CEILING(('Inputs &amp; Assumptions'!$C$144+24)/4,1))*AB81,0)</f>
        <v>51949.3223610942</v>
      </c>
      <c r="AC92" s="39" t="n">
        <f aca="false">IF(25&lt;='Inputs &amp; Assumptions'!$E$144,'Inputs &amp; Assumptions'!$C$63*INDEX('Inputs &amp; Assumptions'!$C$26:$I$26,CEILING(('Inputs &amp; Assumptions'!$C$144+25)/4,1))*AC81,0)</f>
        <v>0</v>
      </c>
      <c r="AD92" s="39" t="n">
        <f aca="false">IF(26&lt;='Inputs &amp; Assumptions'!$E$144,'Inputs &amp; Assumptions'!$C$63*INDEX('Inputs &amp; Assumptions'!$C$26:$I$26,CEILING(('Inputs &amp; Assumptions'!$C$144+26)/4,1))*AD81,0)</f>
        <v>0</v>
      </c>
      <c r="AE92" s="39" t="n">
        <f aca="false">IF(27&lt;='Inputs &amp; Assumptions'!$E$144,'Inputs &amp; Assumptions'!$C$63*INDEX('Inputs &amp; Assumptions'!$C$26:$I$26,CEILING(('Inputs &amp; Assumptions'!$C$144+27)/4,1))*AE81,0)</f>
        <v>0</v>
      </c>
      <c r="AF92" s="39" t="n">
        <f aca="false">IF(28&lt;='Inputs &amp; Assumptions'!$E$144,'Inputs &amp; Assumptions'!$C$63*INDEX('Inputs &amp; Assumptions'!$C$26:$I$26,CEILING(('Inputs &amp; Assumptions'!$C$144+28)/4,1))*AF81,0)</f>
        <v>0</v>
      </c>
      <c r="AG92" s="39" t="n">
        <f aca="false">IF(29&lt;='Inputs &amp; Assumptions'!$E$144,'Inputs &amp; Assumptions'!$C$63*INDEX('Inputs &amp; Assumptions'!$C$26:$I$26,CEILING(('Inputs &amp; Assumptions'!$C$144+29)/4,1))*AG81,0)</f>
        <v>0</v>
      </c>
      <c r="AH92" s="39" t="n">
        <f aca="false">IF(30&lt;='Inputs &amp; Assumptions'!$E$144,'Inputs &amp; Assumptions'!$C$63*INDEX('Inputs &amp; Assumptions'!$C$26:$I$26,CEILING(('Inputs &amp; Assumptions'!$C$144+30)/4,1))*AH81,0)</f>
        <v>0</v>
      </c>
      <c r="AI92" s="39" t="n">
        <f aca="false">IF(31&lt;='Inputs &amp; Assumptions'!$E$144,'Inputs &amp; Assumptions'!$C$63*INDEX('Inputs &amp; Assumptions'!$C$26:$I$26,CEILING(('Inputs &amp; Assumptions'!$C$144+31)/4,1))*AI81,0)</f>
        <v>0</v>
      </c>
      <c r="AJ92" s="39" t="n">
        <f aca="false">IF(32&lt;='Inputs &amp; Assumptions'!$E$144,'Inputs &amp; Assumptions'!$C$63*INDEX('Inputs &amp; Assumptions'!$C$26:$I$26,CEILING(('Inputs &amp; Assumptions'!$C$144+32)/4,1))*AJ81,0)</f>
        <v>0</v>
      </c>
      <c r="AK92" s="39" t="n">
        <f aca="false">IF(33&lt;='Inputs &amp; Assumptions'!$E$144,'Inputs &amp; Assumptions'!$C$63*INDEX('Inputs &amp; Assumptions'!$C$26:$I$26,CEILING(('Inputs &amp; Assumptions'!$C$144+33)/4,1))*AK81,0)</f>
        <v>0</v>
      </c>
      <c r="AL92" s="39" t="n">
        <f aca="false">IF(34&lt;='Inputs &amp; Assumptions'!$E$144,'Inputs &amp; Assumptions'!$C$63*INDEX('Inputs &amp; Assumptions'!$C$26:$I$26,CEILING(('Inputs &amp; Assumptions'!$C$144+34)/4,1))*AL81,0)</f>
        <v>0</v>
      </c>
      <c r="AM92" s="39" t="n">
        <f aca="false">IF(35&lt;='Inputs &amp; Assumptions'!$E$144,'Inputs &amp; Assumptions'!$C$63*INDEX('Inputs &amp; Assumptions'!$C$26:$I$26,CEILING(('Inputs &amp; Assumptions'!$C$144+35)/4,1))*AM81,0)</f>
        <v>0</v>
      </c>
      <c r="AN92" s="39" t="n">
        <f aca="false">IF(36&lt;='Inputs &amp; Assumptions'!$E$144,'Inputs &amp; Assumptions'!$C$63*INDEX('Inputs &amp; Assumptions'!$C$26:$I$26,CEILING(('Inputs &amp; Assumptions'!$C$144+36)/4,1))*AN81,0)</f>
        <v>0</v>
      </c>
    </row>
    <row r="93" customFormat="false" ht="15" hidden="false" customHeight="false" outlineLevel="0" collapsed="false">
      <c r="B93" s="37" t="n">
        <v>6</v>
      </c>
      <c r="C93" s="38" t="n">
        <f aca="false">'Inputs &amp; Assumptions'!$C$145</f>
        <v>5</v>
      </c>
      <c r="D93" s="38" t="n">
        <f aca="false">'Inputs &amp; Assumptions'!$D$145</f>
        <v>3</v>
      </c>
      <c r="E93" s="39" t="n">
        <f aca="false">IF(1&lt;='Inputs &amp; Assumptions'!$E$145,'Inputs &amp; Assumptions'!$C$63*INDEX('Inputs &amp; Assumptions'!$C$26:$I$26,CEILING(('Inputs &amp; Assumptions'!$C$145+1)/4,1))*E82,0)</f>
        <v>622740</v>
      </c>
      <c r="F93" s="39" t="n">
        <f aca="false">IF(2&lt;='Inputs &amp; Assumptions'!$E$145,'Inputs &amp; Assumptions'!$C$63*INDEX('Inputs &amp; Assumptions'!$C$26:$I$26,CEILING(('Inputs &amp; Assumptions'!$C$145+2)/4,1))*F82,0)</f>
        <v>582059.166462668</v>
      </c>
      <c r="G93" s="39" t="n">
        <f aca="false">IF(3&lt;='Inputs &amp; Assumptions'!$E$145,'Inputs &amp; Assumptions'!$C$63*INDEX('Inputs &amp; Assumptions'!$C$26:$I$26,CEILING(('Inputs &amp; Assumptions'!$C$145+3)/4,1))*G82,0)</f>
        <v>544035.830785265</v>
      </c>
      <c r="H93" s="39" t="n">
        <f aca="false">IF(4&lt;='Inputs &amp; Assumptions'!$E$145,'Inputs &amp; Assumptions'!$C$63*INDEX('Inputs &amp; Assumptions'!$C$26:$I$26,CEILING(('Inputs &amp; Assumptions'!$C$145+4)/4,1))*H82,0)</f>
        <v>451468.757881677</v>
      </c>
      <c r="I93" s="39" t="n">
        <f aca="false">IF(5&lt;='Inputs &amp; Assumptions'!$E$145,'Inputs &amp; Assumptions'!$C$63*INDEX('Inputs &amp; Assumptions'!$C$26:$I$26,CEILING(('Inputs &amp; Assumptions'!$C$145+5)/4,1))*I82,0)</f>
        <v>422488.160933232</v>
      </c>
      <c r="J93" s="39" t="n">
        <f aca="false">IF(6&lt;='Inputs &amp; Assumptions'!$E$145,'Inputs &amp; Assumptions'!$C$63*INDEX('Inputs &amp; Assumptions'!$C$26:$I$26,CEILING(('Inputs &amp; Assumptions'!$C$145+6)/4,1))*J82,0)</f>
        <v>395367.880972012</v>
      </c>
      <c r="K93" s="39" t="n">
        <f aca="false">IF(7&lt;='Inputs &amp; Assumptions'!$E$145,'Inputs &amp; Assumptions'!$C$63*INDEX('Inputs &amp; Assumptions'!$C$26:$I$26,CEILING(('Inputs &amp; Assumptions'!$C$145+7)/4,1))*K82,0)</f>
        <v>369988.500882519</v>
      </c>
      <c r="L93" s="39" t="n">
        <f aca="false">IF(8&lt;='Inputs &amp; Assumptions'!$E$145,'Inputs &amp; Assumptions'!$C$63*INDEX('Inputs &amp; Assumptions'!$C$26:$I$26,CEILING(('Inputs &amp; Assumptions'!$C$145+8)/4,1))*L82,0)</f>
        <v>276990.615320083</v>
      </c>
      <c r="M93" s="39" t="n">
        <f aca="false">IF(9&lt;='Inputs &amp; Assumptions'!$E$145,'Inputs &amp; Assumptions'!$C$63*INDEX('Inputs &amp; Assumptions'!$C$26:$I$26,CEILING(('Inputs &amp; Assumptions'!$C$145+9)/4,1))*M82,0)</f>
        <v>259707.30901399</v>
      </c>
      <c r="N93" s="39" t="n">
        <f aca="false">IF(10&lt;='Inputs &amp; Assumptions'!$E$145,'Inputs &amp; Assumptions'!$C$63*INDEX('Inputs &amp; Assumptions'!$C$26:$I$26,CEILING(('Inputs &amp; Assumptions'!$C$145+10)/4,1))*N82,0)</f>
        <v>243502.424359567</v>
      </c>
      <c r="O93" s="39" t="n">
        <f aca="false">IF(11&lt;='Inputs &amp; Assumptions'!$E$145,'Inputs &amp; Assumptions'!$C$63*INDEX('Inputs &amp; Assumptions'!$C$26:$I$26,CEILING(('Inputs &amp; Assumptions'!$C$145+11)/4,1))*O82,0)</f>
        <v>228308.67138126</v>
      </c>
      <c r="P93" s="39" t="n">
        <f aca="false">IF(12&lt;='Inputs &amp; Assumptions'!$E$145,'Inputs &amp; Assumptions'!$C$63*INDEX('Inputs &amp; Assumptions'!$C$26:$I$26,CEILING(('Inputs &amp; Assumptions'!$C$145+12)/4,1))*P82,0)</f>
        <v>166884.609310004</v>
      </c>
      <c r="Q93" s="39" t="n">
        <f aca="false">IF(13&lt;='Inputs &amp; Assumptions'!$E$145,'Inputs &amp; Assumptions'!$C$63*INDEX('Inputs &amp; Assumptions'!$C$26:$I$26,CEILING(('Inputs &amp; Assumptions'!$C$145+13)/4,1))*Q82,0)</f>
        <v>156735.653800691</v>
      </c>
      <c r="R93" s="39" t="n">
        <f aca="false">IF(14&lt;='Inputs &amp; Assumptions'!$E$145,'Inputs &amp; Assumptions'!$C$63*INDEX('Inputs &amp; Assumptions'!$C$26:$I$26,CEILING(('Inputs &amp; Assumptions'!$C$145+14)/4,1))*R82,0)</f>
        <v>147203.898992845</v>
      </c>
      <c r="S93" s="39" t="n">
        <f aca="false">IF(15&lt;='Inputs &amp; Assumptions'!$E$145,'Inputs &amp; Assumptions'!$C$63*INDEX('Inputs &amp; Assumptions'!$C$26:$I$26,CEILING(('Inputs &amp; Assumptions'!$C$145+15)/4,1))*S82,0)</f>
        <v>138251.810314011</v>
      </c>
      <c r="T93" s="39" t="n">
        <f aca="false">IF(16&lt;='Inputs &amp; Assumptions'!$E$145,'Inputs &amp; Assumptions'!$C$63*INDEX('Inputs &amp; Assumptions'!$C$26:$I$26,CEILING(('Inputs &amp; Assumptions'!$C$145+16)/4,1))*T82,0)</f>
        <v>105190.185986487</v>
      </c>
      <c r="U93" s="39" t="n">
        <f aca="false">IF(17&lt;='Inputs &amp; Assumptions'!$E$145,'Inputs &amp; Assumptions'!$C$63*INDEX('Inputs &amp; Assumptions'!$C$26:$I$26,CEILING(('Inputs &amp; Assumptions'!$C$145+17)/4,1))*U82,0)</f>
        <v>98904.9327432037</v>
      </c>
      <c r="V93" s="39" t="n">
        <f aca="false">IF(18&lt;='Inputs &amp; Assumptions'!$E$145,'Inputs &amp; Assumptions'!$C$63*INDEX('Inputs &amp; Assumptions'!$C$26:$I$26,CEILING(('Inputs &amp; Assumptions'!$C$145+18)/4,1))*V82,0)</f>
        <v>92995.2317243196</v>
      </c>
      <c r="W93" s="39" t="n">
        <f aca="false">IF(19&lt;='Inputs &amp; Assumptions'!$E$145,'Inputs &amp; Assumptions'!$C$63*INDEX('Inputs &amp; Assumptions'!$C$26:$I$26,CEILING(('Inputs &amp; Assumptions'!$C$145+19)/4,1))*W82,0)</f>
        <v>87438.6431859149</v>
      </c>
      <c r="X93" s="39" t="n">
        <f aca="false">IF(20&lt;='Inputs &amp; Assumptions'!$E$145,'Inputs &amp; Assumptions'!$C$63*INDEX('Inputs &amp; Assumptions'!$C$26:$I$26,CEILING(('Inputs &amp; Assumptions'!$C$145+20)/4,1))*X82,0)</f>
        <v>64657.9390441243</v>
      </c>
      <c r="Y93" s="39" t="n">
        <f aca="false">IF(21&lt;='Inputs &amp; Assumptions'!$E$145,'Inputs &amp; Assumptions'!$C$63*INDEX('Inputs &amp; Assumptions'!$C$26:$I$26,CEILING(('Inputs &amp; Assumptions'!$C$145+21)/4,1))*Y82,0)</f>
        <v>60857.1563152748</v>
      </c>
      <c r="Z93" s="39" t="n">
        <f aca="false">IF(22&lt;='Inputs &amp; Assumptions'!$E$145,'Inputs &amp; Assumptions'!$C$63*INDEX('Inputs &amp; Assumptions'!$C$26:$I$26,CEILING(('Inputs &amp; Assumptions'!$C$145+22)/4,1))*Z82,0)</f>
        <v>57279.7947094224</v>
      </c>
      <c r="AA93" s="39" t="n">
        <f aca="false">IF(23&lt;='Inputs &amp; Assumptions'!$E$145,'Inputs &amp; Assumptions'!$C$63*INDEX('Inputs &amp; Assumptions'!$C$26:$I$26,CEILING(('Inputs &amp; Assumptions'!$C$145+23)/4,1))*AA82,0)</f>
        <v>53912.7208796325</v>
      </c>
      <c r="AB93" s="39" t="n">
        <f aca="false">IF(24&lt;='Inputs &amp; Assumptions'!$E$145,'Inputs &amp; Assumptions'!$C$63*INDEX('Inputs &amp; Assumptions'!$C$26:$I$26,CEILING(('Inputs &amp; Assumptions'!$C$145+24)/4,1))*AB82,0)</f>
        <v>0</v>
      </c>
      <c r="AC93" s="39" t="n">
        <f aca="false">IF(25&lt;='Inputs &amp; Assumptions'!$E$145,'Inputs &amp; Assumptions'!$C$63*INDEX('Inputs &amp; Assumptions'!$C$26:$I$26,CEILING(('Inputs &amp; Assumptions'!$C$145+25)/4,1))*AC82,0)</f>
        <v>0</v>
      </c>
      <c r="AD93" s="39" t="n">
        <f aca="false">IF(26&lt;='Inputs &amp; Assumptions'!$E$145,'Inputs &amp; Assumptions'!$C$63*INDEX('Inputs &amp; Assumptions'!$C$26:$I$26,CEILING(('Inputs &amp; Assumptions'!$C$145+26)/4,1))*AD82,0)</f>
        <v>0</v>
      </c>
      <c r="AE93" s="39" t="n">
        <f aca="false">IF(27&lt;='Inputs &amp; Assumptions'!$E$145,'Inputs &amp; Assumptions'!$C$63*INDEX('Inputs &amp; Assumptions'!$C$26:$I$26,CEILING(('Inputs &amp; Assumptions'!$C$145+27)/4,1))*AE82,0)</f>
        <v>0</v>
      </c>
      <c r="AF93" s="39" t="n">
        <f aca="false">IF(28&lt;='Inputs &amp; Assumptions'!$E$145,'Inputs &amp; Assumptions'!$C$63*INDEX('Inputs &amp; Assumptions'!$C$26:$I$26,CEILING(('Inputs &amp; Assumptions'!$C$145+28)/4,1))*AF82,0)</f>
        <v>0</v>
      </c>
      <c r="AG93" s="39" t="n">
        <f aca="false">IF(29&lt;='Inputs &amp; Assumptions'!$E$145,'Inputs &amp; Assumptions'!$C$63*INDEX('Inputs &amp; Assumptions'!$C$26:$I$26,CEILING(('Inputs &amp; Assumptions'!$C$145+29)/4,1))*AG82,0)</f>
        <v>0</v>
      </c>
      <c r="AH93" s="39" t="n">
        <f aca="false">IF(30&lt;='Inputs &amp; Assumptions'!$E$145,'Inputs &amp; Assumptions'!$C$63*INDEX('Inputs &amp; Assumptions'!$C$26:$I$26,CEILING(('Inputs &amp; Assumptions'!$C$145+30)/4,1))*AH82,0)</f>
        <v>0</v>
      </c>
      <c r="AI93" s="39" t="n">
        <f aca="false">IF(31&lt;='Inputs &amp; Assumptions'!$E$145,'Inputs &amp; Assumptions'!$C$63*INDEX('Inputs &amp; Assumptions'!$C$26:$I$26,CEILING(('Inputs &amp; Assumptions'!$C$145+31)/4,1))*AI82,0)</f>
        <v>0</v>
      </c>
      <c r="AJ93" s="39" t="n">
        <f aca="false">IF(32&lt;='Inputs &amp; Assumptions'!$E$145,'Inputs &amp; Assumptions'!$C$63*INDEX('Inputs &amp; Assumptions'!$C$26:$I$26,CEILING(('Inputs &amp; Assumptions'!$C$145+32)/4,1))*AJ82,0)</f>
        <v>0</v>
      </c>
      <c r="AK93" s="39" t="n">
        <f aca="false">IF(33&lt;='Inputs &amp; Assumptions'!$E$145,'Inputs &amp; Assumptions'!$C$63*INDEX('Inputs &amp; Assumptions'!$C$26:$I$26,CEILING(('Inputs &amp; Assumptions'!$C$145+33)/4,1))*AK82,0)</f>
        <v>0</v>
      </c>
      <c r="AL93" s="39" t="n">
        <f aca="false">IF(34&lt;='Inputs &amp; Assumptions'!$E$145,'Inputs &amp; Assumptions'!$C$63*INDEX('Inputs &amp; Assumptions'!$C$26:$I$26,CEILING(('Inputs &amp; Assumptions'!$C$145+34)/4,1))*AL82,0)</f>
        <v>0</v>
      </c>
      <c r="AM93" s="39" t="n">
        <f aca="false">IF(35&lt;='Inputs &amp; Assumptions'!$E$145,'Inputs &amp; Assumptions'!$C$63*INDEX('Inputs &amp; Assumptions'!$C$26:$I$26,CEILING(('Inputs &amp; Assumptions'!$C$145+35)/4,1))*AM82,0)</f>
        <v>0</v>
      </c>
      <c r="AN93" s="39" t="n">
        <f aca="false">IF(36&lt;='Inputs &amp; Assumptions'!$E$145,'Inputs &amp; Assumptions'!$C$63*INDEX('Inputs &amp; Assumptions'!$C$26:$I$26,CEILING(('Inputs &amp; Assumptions'!$C$145+36)/4,1))*AN82,0)</f>
        <v>0</v>
      </c>
    </row>
    <row r="94" customFormat="false" ht="15" hidden="false" customHeight="false" outlineLevel="0" collapsed="false">
      <c r="B94" s="37" t="n">
        <v>7</v>
      </c>
      <c r="C94" s="38" t="n">
        <f aca="false">'Inputs &amp; Assumptions'!$C$146</f>
        <v>6</v>
      </c>
      <c r="D94" s="38" t="n">
        <f aca="false">'Inputs &amp; Assumptions'!$D$146</f>
        <v>3</v>
      </c>
      <c r="E94" s="39" t="n">
        <f aca="false">IF(1&lt;='Inputs &amp; Assumptions'!$E$146,'Inputs &amp; Assumptions'!$C$63*INDEX('Inputs &amp; Assumptions'!$C$26:$I$26,CEILING(('Inputs &amp; Assumptions'!$C$146+1)/4,1))*E83,0)</f>
        <v>604057.8</v>
      </c>
      <c r="F94" s="39" t="n">
        <f aca="false">IF(2&lt;='Inputs &amp; Assumptions'!$E$146,'Inputs &amp; Assumptions'!$C$63*INDEX('Inputs &amp; Assumptions'!$C$26:$I$26,CEILING(('Inputs &amp; Assumptions'!$C$146+2)/4,1))*F83,0)</f>
        <v>564597.391468788</v>
      </c>
      <c r="G94" s="39" t="n">
        <f aca="false">IF(3&lt;='Inputs &amp; Assumptions'!$E$146,'Inputs &amp; Assumptions'!$C$63*INDEX('Inputs &amp; Assumptions'!$C$26:$I$26,CEILING(('Inputs &amp; Assumptions'!$C$146+3)/4,1))*G83,0)</f>
        <v>468531.792587497</v>
      </c>
      <c r="H94" s="39" t="n">
        <f aca="false">IF(4&lt;='Inputs &amp; Assumptions'!$E$146,'Inputs &amp; Assumptions'!$C$63*INDEX('Inputs &amp; Assumptions'!$C$26:$I$26,CEILING(('Inputs &amp; Assumptions'!$C$146+4)/4,1))*H83,0)</f>
        <v>438455.888548819</v>
      </c>
      <c r="I94" s="39" t="n">
        <f aca="false">IF(5&lt;='Inputs &amp; Assumptions'!$E$146,'Inputs &amp; Assumptions'!$C$63*INDEX('Inputs &amp; Assumptions'!$C$26:$I$26,CEILING(('Inputs &amp; Assumptions'!$C$146+5)/4,1))*I83,0)</f>
        <v>410310.611242531</v>
      </c>
      <c r="J94" s="39" t="n">
        <f aca="false">IF(6&lt;='Inputs &amp; Assumptions'!$E$146,'Inputs &amp; Assumptions'!$C$63*INDEX('Inputs &amp; Assumptions'!$C$26:$I$26,CEILING(('Inputs &amp; Assumptions'!$C$146+6)/4,1))*J83,0)</f>
        <v>383972.030243298</v>
      </c>
      <c r="K94" s="39" t="n">
        <f aca="false">IF(7&lt;='Inputs &amp; Assumptions'!$E$146,'Inputs &amp; Assumptions'!$C$63*INDEX('Inputs &amp; Assumptions'!$C$26:$I$26,CEILING(('Inputs &amp; Assumptions'!$C$146+7)/4,1))*K83,0)</f>
        <v>287459.33635533</v>
      </c>
      <c r="L94" s="39" t="n">
        <f aca="false">IF(8&lt;='Inputs &amp; Assumptions'!$E$146,'Inputs &amp; Assumptions'!$C$63*INDEX('Inputs &amp; Assumptions'!$C$26:$I$26,CEILING(('Inputs &amp; Assumptions'!$C$146+8)/4,1))*L83,0)</f>
        <v>269522.816177439</v>
      </c>
      <c r="M94" s="39" t="n">
        <f aca="false">IF(9&lt;='Inputs &amp; Assumptions'!$E$146,'Inputs &amp; Assumptions'!$C$63*INDEX('Inputs &amp; Assumptions'!$C$26:$I$26,CEILING(('Inputs &amp; Assumptions'!$C$146+9)/4,1))*M83,0)</f>
        <v>252705.476055311</v>
      </c>
      <c r="N94" s="39" t="n">
        <f aca="false">IF(10&lt;='Inputs &amp; Assumptions'!$E$146,'Inputs &amp; Assumptions'!$C$63*INDEX('Inputs &amp; Assumptions'!$C$26:$I$26,CEILING(('Inputs &amp; Assumptions'!$C$146+10)/4,1))*N83,0)</f>
        <v>236937.482822603</v>
      </c>
      <c r="O94" s="39" t="n">
        <f aca="false">IF(11&lt;='Inputs &amp; Assumptions'!$E$146,'Inputs &amp; Assumptions'!$C$63*INDEX('Inputs &amp; Assumptions'!$C$26:$I$26,CEILING(('Inputs &amp; Assumptions'!$C$146+11)/4,1))*O83,0)</f>
        <v>173191.929209358</v>
      </c>
      <c r="P94" s="39" t="n">
        <f aca="false">IF(12&lt;='Inputs &amp; Assumptions'!$E$146,'Inputs &amp; Assumptions'!$C$63*INDEX('Inputs &amp; Assumptions'!$C$26:$I$26,CEILING(('Inputs &amp; Assumptions'!$C$146+12)/4,1))*P83,0)</f>
        <v>162659.399029462</v>
      </c>
      <c r="Q94" s="39" t="n">
        <f aca="false">IF(13&lt;='Inputs &amp; Assumptions'!$E$146,'Inputs &amp; Assumptions'!$C$63*INDEX('Inputs &amp; Assumptions'!$C$26:$I$26,CEILING(('Inputs &amp; Assumptions'!$C$146+13)/4,1))*Q83,0)</f>
        <v>152767.396341216</v>
      </c>
      <c r="R94" s="39" t="n">
        <f aca="false">IF(14&lt;='Inputs &amp; Assumptions'!$E$146,'Inputs &amp; Assumptions'!$C$63*INDEX('Inputs &amp; Assumptions'!$C$26:$I$26,CEILING(('Inputs &amp; Assumptions'!$C$146+14)/4,1))*R83,0)</f>
        <v>143476.967971872</v>
      </c>
      <c r="S94" s="39" t="n">
        <f aca="false">IF(15&lt;='Inputs &amp; Assumptions'!$E$146,'Inputs &amp; Assumptions'!$C$63*INDEX('Inputs &amp; Assumptions'!$C$26:$I$26,CEILING(('Inputs &amp; Assumptions'!$C$146+15)/4,1))*S83,0)</f>
        <v>109165.796176261</v>
      </c>
      <c r="T94" s="39" t="n">
        <f aca="false">IF(16&lt;='Inputs &amp; Assumptions'!$E$146,'Inputs &amp; Assumptions'!$C$63*INDEX('Inputs &amp; Assumptions'!$C$26:$I$26,CEILING(('Inputs &amp; Assumptions'!$C$146+16)/4,1))*T83,0)</f>
        <v>102642.994946871</v>
      </c>
      <c r="U94" s="39" t="n">
        <f aca="false">IF(17&lt;='Inputs &amp; Assumptions'!$E$146,'Inputs &amp; Assumptions'!$C$63*INDEX('Inputs &amp; Assumptions'!$C$26:$I$26,CEILING(('Inputs &amp; Assumptions'!$C$146+17)/4,1))*U83,0)</f>
        <v>96509.9397493735</v>
      </c>
      <c r="V94" s="39" t="n">
        <f aca="false">IF(18&lt;='Inputs &amp; Assumptions'!$E$146,'Inputs &amp; Assumptions'!$C$63*INDEX('Inputs &amp; Assumptions'!$C$26:$I$26,CEILING(('Inputs &amp; Assumptions'!$C$146+18)/4,1))*V83,0)</f>
        <v>90743.3427410103</v>
      </c>
      <c r="W94" s="39" t="n">
        <f aca="false">IF(19&lt;='Inputs &amp; Assumptions'!$E$146,'Inputs &amp; Assumptions'!$C$63*INDEX('Inputs &amp; Assumptions'!$C$26:$I$26,CEILING(('Inputs &amp; Assumptions'!$C$146+19)/4,1))*W83,0)</f>
        <v>67101.6533403101</v>
      </c>
      <c r="X94" s="39" t="n">
        <f aca="false">IF(20&lt;='Inputs &amp; Assumptions'!$E$146,'Inputs &amp; Assumptions'!$C$63*INDEX('Inputs &amp; Assumptions'!$C$26:$I$26,CEILING(('Inputs &amp; Assumptions'!$C$146+20)/4,1))*X83,0)</f>
        <v>63157.2219392558</v>
      </c>
      <c r="Y94" s="39" t="n">
        <f aca="false">IF(21&lt;='Inputs &amp; Assumptions'!$E$146,'Inputs &amp; Assumptions'!$C$63*INDEX('Inputs &amp; Assumptions'!$C$26:$I$26,CEILING(('Inputs &amp; Assumptions'!$C$146+21)/4,1))*Y83,0)</f>
        <v>59444.6557502062</v>
      </c>
      <c r="Z94" s="39" t="n">
        <f aca="false">IF(22&lt;='Inputs &amp; Assumptions'!$E$146,'Inputs &amp; Assumptions'!$C$63*INDEX('Inputs &amp; Assumptions'!$C$26:$I$26,CEILING(('Inputs &amp; Assumptions'!$C$146+22)/4,1))*Z83,0)</f>
        <v>55950.3250579829</v>
      </c>
      <c r="AA94" s="39" t="n">
        <f aca="false">IF(23&lt;='Inputs &amp; Assumptions'!$E$146,'Inputs &amp; Assumptions'!$C$63*INDEX('Inputs &amp; Assumptions'!$C$26:$I$26,CEILING(('Inputs &amp; Assumptions'!$C$146+23)/4,1))*AA83,0)</f>
        <v>0</v>
      </c>
      <c r="AB94" s="39" t="n">
        <f aca="false">IF(24&lt;='Inputs &amp; Assumptions'!$E$146,'Inputs &amp; Assumptions'!$C$63*INDEX('Inputs &amp; Assumptions'!$C$26:$I$26,CEILING(('Inputs &amp; Assumptions'!$C$146+24)/4,1))*AB83,0)</f>
        <v>0</v>
      </c>
      <c r="AC94" s="39" t="n">
        <f aca="false">IF(25&lt;='Inputs &amp; Assumptions'!$E$146,'Inputs &amp; Assumptions'!$C$63*INDEX('Inputs &amp; Assumptions'!$C$26:$I$26,CEILING(('Inputs &amp; Assumptions'!$C$146+25)/4,1))*AC83,0)</f>
        <v>0</v>
      </c>
      <c r="AD94" s="39" t="n">
        <f aca="false">IF(26&lt;='Inputs &amp; Assumptions'!$E$146,'Inputs &amp; Assumptions'!$C$63*INDEX('Inputs &amp; Assumptions'!$C$26:$I$26,CEILING(('Inputs &amp; Assumptions'!$C$146+26)/4,1))*AD83,0)</f>
        <v>0</v>
      </c>
      <c r="AE94" s="39" t="n">
        <f aca="false">IF(27&lt;='Inputs &amp; Assumptions'!$E$146,'Inputs &amp; Assumptions'!$C$63*INDEX('Inputs &amp; Assumptions'!$C$26:$I$26,CEILING(('Inputs &amp; Assumptions'!$C$146+27)/4,1))*AE83,0)</f>
        <v>0</v>
      </c>
      <c r="AF94" s="39" t="n">
        <f aca="false">IF(28&lt;='Inputs &amp; Assumptions'!$E$146,'Inputs &amp; Assumptions'!$C$63*INDEX('Inputs &amp; Assumptions'!$C$26:$I$26,CEILING(('Inputs &amp; Assumptions'!$C$146+28)/4,1))*AF83,0)</f>
        <v>0</v>
      </c>
      <c r="AG94" s="39" t="n">
        <f aca="false">IF(29&lt;='Inputs &amp; Assumptions'!$E$146,'Inputs &amp; Assumptions'!$C$63*INDEX('Inputs &amp; Assumptions'!$C$26:$I$26,CEILING(('Inputs &amp; Assumptions'!$C$146+29)/4,1))*AG83,0)</f>
        <v>0</v>
      </c>
      <c r="AH94" s="39" t="n">
        <f aca="false">IF(30&lt;='Inputs &amp; Assumptions'!$E$146,'Inputs &amp; Assumptions'!$C$63*INDEX('Inputs &amp; Assumptions'!$C$26:$I$26,CEILING(('Inputs &amp; Assumptions'!$C$146+30)/4,1))*AH83,0)</f>
        <v>0</v>
      </c>
      <c r="AI94" s="39" t="n">
        <f aca="false">IF(31&lt;='Inputs &amp; Assumptions'!$E$146,'Inputs &amp; Assumptions'!$C$63*INDEX('Inputs &amp; Assumptions'!$C$26:$I$26,CEILING(('Inputs &amp; Assumptions'!$C$146+31)/4,1))*AI83,0)</f>
        <v>0</v>
      </c>
      <c r="AJ94" s="39" t="n">
        <f aca="false">IF(32&lt;='Inputs &amp; Assumptions'!$E$146,'Inputs &amp; Assumptions'!$C$63*INDEX('Inputs &amp; Assumptions'!$C$26:$I$26,CEILING(('Inputs &amp; Assumptions'!$C$146+32)/4,1))*AJ83,0)</f>
        <v>0</v>
      </c>
      <c r="AK94" s="39" t="n">
        <f aca="false">IF(33&lt;='Inputs &amp; Assumptions'!$E$146,'Inputs &amp; Assumptions'!$C$63*INDEX('Inputs &amp; Assumptions'!$C$26:$I$26,CEILING(('Inputs &amp; Assumptions'!$C$146+33)/4,1))*AK83,0)</f>
        <v>0</v>
      </c>
      <c r="AL94" s="39" t="n">
        <f aca="false">IF(34&lt;='Inputs &amp; Assumptions'!$E$146,'Inputs &amp; Assumptions'!$C$63*INDEX('Inputs &amp; Assumptions'!$C$26:$I$26,CEILING(('Inputs &amp; Assumptions'!$C$146+34)/4,1))*AL83,0)</f>
        <v>0</v>
      </c>
      <c r="AM94" s="39" t="n">
        <f aca="false">IF(35&lt;='Inputs &amp; Assumptions'!$E$146,'Inputs &amp; Assumptions'!$C$63*INDEX('Inputs &amp; Assumptions'!$C$26:$I$26,CEILING(('Inputs &amp; Assumptions'!$C$146+35)/4,1))*AM83,0)</f>
        <v>0</v>
      </c>
      <c r="AN94" s="39" t="n">
        <f aca="false">IF(36&lt;='Inputs &amp; Assumptions'!$E$146,'Inputs &amp; Assumptions'!$C$63*INDEX('Inputs &amp; Assumptions'!$C$26:$I$26,CEILING(('Inputs &amp; Assumptions'!$C$146+36)/4,1))*AN83,0)</f>
        <v>0</v>
      </c>
    </row>
    <row r="95" customFormat="false" ht="15" hidden="false" customHeight="false" outlineLevel="0" collapsed="false">
      <c r="B95" s="37" t="n">
        <v>8</v>
      </c>
      <c r="C95" s="38" t="n">
        <f aca="false">'Inputs &amp; Assumptions'!$C$147</f>
        <v>7</v>
      </c>
      <c r="D95" s="38" t="n">
        <f aca="false">'Inputs &amp; Assumptions'!$D$147</f>
        <v>3</v>
      </c>
      <c r="E95" s="39" t="n">
        <f aca="false">IF(1&lt;='Inputs &amp; Assumptions'!$E$147,'Inputs &amp; Assumptions'!$C$63*INDEX('Inputs &amp; Assumptions'!$C$26:$I$26,CEILING(('Inputs &amp; Assumptions'!$C$147+1)/4,1))*E84,0)</f>
        <v>585936.066</v>
      </c>
      <c r="F95" s="39" t="n">
        <f aca="false">IF(2&lt;='Inputs &amp; Assumptions'!$E$147,'Inputs &amp; Assumptions'!$C$63*INDEX('Inputs &amp; Assumptions'!$C$26:$I$26,CEILING(('Inputs &amp; Assumptions'!$C$147+2)/4,1))*F84,0)</f>
        <v>486239.716110737</v>
      </c>
      <c r="G95" s="39" t="n">
        <f aca="false">IF(3&lt;='Inputs &amp; Assumptions'!$E$147,'Inputs &amp; Assumptions'!$C$63*INDEX('Inputs &amp; Assumptions'!$C$26:$I$26,CEILING(('Inputs &amp; Assumptions'!$C$147+3)/4,1))*G84,0)</f>
        <v>455027.10840107</v>
      </c>
      <c r="H95" s="39" t="n">
        <f aca="false">IF(4&lt;='Inputs &amp; Assumptions'!$E$147,'Inputs &amp; Assumptions'!$C$63*INDEX('Inputs &amp; Assumptions'!$C$26:$I$26,CEILING(('Inputs &amp; Assumptions'!$C$147+4)/4,1))*H84,0)</f>
        <v>425818.094490425</v>
      </c>
      <c r="I95" s="39" t="n">
        <f aca="false">IF(5&lt;='Inputs &amp; Assumptions'!$E$147,'Inputs &amp; Assumptions'!$C$63*INDEX('Inputs &amp; Assumptions'!$C$26:$I$26,CEILING(('Inputs &amp; Assumptions'!$C$147+5)/4,1))*I84,0)</f>
        <v>398484.060065354</v>
      </c>
      <c r="J95" s="39" t="n">
        <f aca="false">IF(6&lt;='Inputs &amp; Assumptions'!$E$147,'Inputs &amp; Assumptions'!$C$63*INDEX('Inputs &amp; Assumptions'!$C$26:$I$26,CEILING(('Inputs &amp; Assumptions'!$C$147+6)/4,1))*J84,0)</f>
        <v>298323.717438437</v>
      </c>
      <c r="K95" s="39" t="n">
        <f aca="false">IF(7&lt;='Inputs &amp; Assumptions'!$E$147,'Inputs &amp; Assumptions'!$C$63*INDEX('Inputs &amp; Assumptions'!$C$26:$I$26,CEILING(('Inputs &amp; Assumptions'!$C$147+7)/4,1))*K84,0)</f>
        <v>279709.295498897</v>
      </c>
      <c r="L95" s="39" t="n">
        <f aca="false">IF(8&lt;='Inputs &amp; Assumptions'!$E$147,'Inputs &amp; Assumptions'!$C$63*INDEX('Inputs &amp; Assumptions'!$C$26:$I$26,CEILING(('Inputs &amp; Assumptions'!$C$147+8)/4,1))*L84,0)</f>
        <v>262256.352462606</v>
      </c>
      <c r="M95" s="39" t="n">
        <f aca="false">IF(9&lt;='Inputs &amp; Assumptions'!$E$147,'Inputs &amp; Assumptions'!$C$63*INDEX('Inputs &amp; Assumptions'!$C$26:$I$26,CEILING(('Inputs &amp; Assumptions'!$C$147+9)/4,1))*M84,0)</f>
        <v>245892.415853808</v>
      </c>
      <c r="N95" s="39" t="n">
        <f aca="false">IF(10&lt;='Inputs &amp; Assumptions'!$E$147,'Inputs &amp; Assumptions'!$C$63*INDEX('Inputs &amp; Assumptions'!$C$26:$I$26,CEILING(('Inputs &amp; Assumptions'!$C$147+10)/4,1))*N84,0)</f>
        <v>179737.631092991</v>
      </c>
      <c r="O95" s="39" t="n">
        <f aca="false">IF(11&lt;='Inputs &amp; Assumptions'!$E$147,'Inputs &amp; Assumptions'!$C$63*INDEX('Inputs &amp; Assumptions'!$C$26:$I$26,CEILING(('Inputs &amp; Assumptions'!$C$147+11)/4,1))*O84,0)</f>
        <v>168807.029230698</v>
      </c>
      <c r="P95" s="39" t="n">
        <f aca="false">IF(12&lt;='Inputs &amp; Assumptions'!$E$147,'Inputs &amp; Assumptions'!$C$63*INDEX('Inputs &amp; Assumptions'!$C$26:$I$26,CEILING(('Inputs &amp; Assumptions'!$C$147+12)/4,1))*P84,0)</f>
        <v>158541.163274544</v>
      </c>
      <c r="Q95" s="39" t="n">
        <f aca="false">IF(13&lt;='Inputs &amp; Assumptions'!$E$147,'Inputs &amp; Assumptions'!$C$63*INDEX('Inputs &amp; Assumptions'!$C$26:$I$26,CEILING(('Inputs &amp; Assumptions'!$C$147+13)/4,1))*Q84,0)</f>
        <v>148899.607836205</v>
      </c>
      <c r="R95" s="39" t="n">
        <f aca="false">IF(14&lt;='Inputs &amp; Assumptions'!$E$147,'Inputs &amp; Assumptions'!$C$63*INDEX('Inputs &amp; Assumptions'!$C$26:$I$26,CEILING(('Inputs &amp; Assumptions'!$C$147+14)/4,1))*R84,0)</f>
        <v>113291.662554223</v>
      </c>
      <c r="S95" s="39" t="n">
        <f aca="false">IF(15&lt;='Inputs &amp; Assumptions'!$E$147,'Inputs &amp; Assumptions'!$C$63*INDEX('Inputs &amp; Assumptions'!$C$26:$I$26,CEILING(('Inputs &amp; Assumptions'!$C$147+15)/4,1))*S84,0)</f>
        <v>106522.33533203</v>
      </c>
      <c r="T95" s="39" t="n">
        <f aca="false">IF(16&lt;='Inputs &amp; Assumptions'!$E$147,'Inputs &amp; Assumptions'!$C$63*INDEX('Inputs &amp; Assumptions'!$C$26:$I$26,CEILING(('Inputs &amp; Assumptions'!$C$147+16)/4,1))*T84,0)</f>
        <v>100157.484397041</v>
      </c>
      <c r="U95" s="39" t="n">
        <f aca="false">IF(17&lt;='Inputs &amp; Assumptions'!$E$147,'Inputs &amp; Assumptions'!$C$63*INDEX('Inputs &amp; Assumptions'!$C$26:$I$26,CEILING(('Inputs &amp; Assumptions'!$C$147+17)/4,1))*U84,0)</f>
        <v>94172.9417541891</v>
      </c>
      <c r="V95" s="39" t="n">
        <f aca="false">IF(18&lt;='Inputs &amp; Assumptions'!$E$147,'Inputs &amp; Assumptions'!$C$63*INDEX('Inputs &amp; Assumptions'!$C$26:$I$26,CEILING(('Inputs &amp; Assumptions'!$C$147+18)/4,1))*V84,0)</f>
        <v>69637.7265896217</v>
      </c>
      <c r="W95" s="39" t="n">
        <f aca="false">IF(19&lt;='Inputs &amp; Assumptions'!$E$147,'Inputs &amp; Assumptions'!$C$63*INDEX('Inputs &amp; Assumptions'!$C$26:$I$26,CEILING(('Inputs &amp; Assumptions'!$C$147+19)/4,1))*W84,0)</f>
        <v>65544.2173870231</v>
      </c>
      <c r="X95" s="39" t="n">
        <f aca="false">IF(20&lt;='Inputs &amp; Assumptions'!$E$147,'Inputs &amp; Assumptions'!$C$63*INDEX('Inputs &amp; Assumptions'!$C$26:$I$26,CEILING(('Inputs &amp; Assumptions'!$C$147+20)/4,1))*X84,0)</f>
        <v>61691.3366255353</v>
      </c>
      <c r="Y95" s="39" t="n">
        <f aca="false">IF(21&lt;='Inputs &amp; Assumptions'!$E$147,'Inputs &amp; Assumptions'!$C$63*INDEX('Inputs &amp; Assumptions'!$C$26:$I$26,CEILING(('Inputs &amp; Assumptions'!$C$147+21)/4,1))*Y84,0)</f>
        <v>58064.9394617474</v>
      </c>
      <c r="Z95" s="39" t="n">
        <f aca="false">IF(22&lt;='Inputs &amp; Assumptions'!$E$147,'Inputs &amp; Assumptions'!$C$63*INDEX('Inputs &amp; Assumptions'!$C$26:$I$26,CEILING(('Inputs &amp; Assumptions'!$C$147+22)/4,1))*Z84,0)</f>
        <v>0</v>
      </c>
      <c r="AA95" s="39" t="n">
        <f aca="false">IF(23&lt;='Inputs &amp; Assumptions'!$E$147,'Inputs &amp; Assumptions'!$C$63*INDEX('Inputs &amp; Assumptions'!$C$26:$I$26,CEILING(('Inputs &amp; Assumptions'!$C$147+23)/4,1))*AA84,0)</f>
        <v>0</v>
      </c>
      <c r="AB95" s="39" t="n">
        <f aca="false">IF(24&lt;='Inputs &amp; Assumptions'!$E$147,'Inputs &amp; Assumptions'!$C$63*INDEX('Inputs &amp; Assumptions'!$C$26:$I$26,CEILING(('Inputs &amp; Assumptions'!$C$147+24)/4,1))*AB84,0)</f>
        <v>0</v>
      </c>
      <c r="AC95" s="39" t="n">
        <f aca="false">IF(25&lt;='Inputs &amp; Assumptions'!$E$147,'Inputs &amp; Assumptions'!$C$63*INDEX('Inputs &amp; Assumptions'!$C$26:$I$26,CEILING(('Inputs &amp; Assumptions'!$C$147+25)/4,1))*AC84,0)</f>
        <v>0</v>
      </c>
      <c r="AD95" s="39" t="n">
        <f aca="false">IF(26&lt;='Inputs &amp; Assumptions'!$E$147,'Inputs &amp; Assumptions'!$C$63*INDEX('Inputs &amp; Assumptions'!$C$26:$I$26,CEILING(('Inputs &amp; Assumptions'!$C$147+26)/4,1))*AD84,0)</f>
        <v>0</v>
      </c>
      <c r="AE95" s="39" t="n">
        <f aca="false">IF(27&lt;='Inputs &amp; Assumptions'!$E$147,'Inputs &amp; Assumptions'!$C$63*INDEX('Inputs &amp; Assumptions'!$C$26:$I$26,CEILING(('Inputs &amp; Assumptions'!$C$147+27)/4,1))*AE84,0)</f>
        <v>0</v>
      </c>
      <c r="AF95" s="39" t="n">
        <f aca="false">IF(28&lt;='Inputs &amp; Assumptions'!$E$147,'Inputs &amp; Assumptions'!$C$63*INDEX('Inputs &amp; Assumptions'!$C$26:$I$26,CEILING(('Inputs &amp; Assumptions'!$C$147+28)/4,1))*AF84,0)</f>
        <v>0</v>
      </c>
      <c r="AG95" s="39" t="n">
        <f aca="false">IF(29&lt;='Inputs &amp; Assumptions'!$E$147,'Inputs &amp; Assumptions'!$C$63*INDEX('Inputs &amp; Assumptions'!$C$26:$I$26,CEILING(('Inputs &amp; Assumptions'!$C$147+29)/4,1))*AG84,0)</f>
        <v>0</v>
      </c>
      <c r="AH95" s="39" t="n">
        <f aca="false">IF(30&lt;='Inputs &amp; Assumptions'!$E$147,'Inputs &amp; Assumptions'!$C$63*INDEX('Inputs &amp; Assumptions'!$C$26:$I$26,CEILING(('Inputs &amp; Assumptions'!$C$147+30)/4,1))*AH84,0)</f>
        <v>0</v>
      </c>
      <c r="AI95" s="39" t="n">
        <f aca="false">IF(31&lt;='Inputs &amp; Assumptions'!$E$147,'Inputs &amp; Assumptions'!$C$63*INDEX('Inputs &amp; Assumptions'!$C$26:$I$26,CEILING(('Inputs &amp; Assumptions'!$C$147+31)/4,1))*AI84,0)</f>
        <v>0</v>
      </c>
      <c r="AJ95" s="39" t="n">
        <f aca="false">IF(32&lt;='Inputs &amp; Assumptions'!$E$147,'Inputs &amp; Assumptions'!$C$63*INDEX('Inputs &amp; Assumptions'!$C$26:$I$26,CEILING(('Inputs &amp; Assumptions'!$C$147+32)/4,1))*AJ84,0)</f>
        <v>0</v>
      </c>
      <c r="AK95" s="39" t="n">
        <f aca="false">IF(33&lt;='Inputs &amp; Assumptions'!$E$147,'Inputs &amp; Assumptions'!$C$63*INDEX('Inputs &amp; Assumptions'!$C$26:$I$26,CEILING(('Inputs &amp; Assumptions'!$C$147+33)/4,1))*AK84,0)</f>
        <v>0</v>
      </c>
      <c r="AL95" s="39" t="n">
        <f aca="false">IF(34&lt;='Inputs &amp; Assumptions'!$E$147,'Inputs &amp; Assumptions'!$C$63*INDEX('Inputs &amp; Assumptions'!$C$26:$I$26,CEILING(('Inputs &amp; Assumptions'!$C$147+34)/4,1))*AL84,0)</f>
        <v>0</v>
      </c>
      <c r="AM95" s="39" t="n">
        <f aca="false">IF(35&lt;='Inputs &amp; Assumptions'!$E$147,'Inputs &amp; Assumptions'!$C$63*INDEX('Inputs &amp; Assumptions'!$C$26:$I$26,CEILING(('Inputs &amp; Assumptions'!$C$147+35)/4,1))*AM84,0)</f>
        <v>0</v>
      </c>
      <c r="AN95" s="39" t="n">
        <f aca="false">IF(36&lt;='Inputs &amp; Assumptions'!$E$147,'Inputs &amp; Assumptions'!$C$63*INDEX('Inputs &amp; Assumptions'!$C$26:$I$26,CEILING(('Inputs &amp; Assumptions'!$C$147+36)/4,1))*AN84,0)</f>
        <v>0</v>
      </c>
    </row>
    <row r="96" customFormat="false" ht="15" hidden="false" customHeight="false" outlineLevel="0" collapsed="false">
      <c r="B96" s="37" t="n">
        <v>9</v>
      </c>
      <c r="C96" s="38" t="n">
        <f aca="false">'Inputs &amp; Assumptions'!$C$148</f>
        <v>8</v>
      </c>
      <c r="D96" s="38" t="n">
        <f aca="false">'Inputs &amp; Assumptions'!$D$148</f>
        <v>3</v>
      </c>
      <c r="E96" s="39" t="n">
        <f aca="false">IF(1&lt;='Inputs &amp; Assumptions'!$E$148,'Inputs &amp; Assumptions'!$C$63*INDEX('Inputs &amp; Assumptions'!$C$26:$I$26,CEILING(('Inputs &amp; Assumptions'!$C$148+1)/4,1))*E85,0)</f>
        <v>504616.9017</v>
      </c>
      <c r="F96" s="39" t="n">
        <f aca="false">IF(2&lt;='Inputs &amp; Assumptions'!$E$148,'Inputs &amp; Assumptions'!$C$63*INDEX('Inputs &amp; Assumptions'!$C$26:$I$26,CEILING(('Inputs &amp; Assumptions'!$C$148+2)/4,1))*F85,0)</f>
        <v>472224.629175634</v>
      </c>
      <c r="G96" s="39" t="n">
        <f aca="false">IF(3&lt;='Inputs &amp; Assumptions'!$E$148,'Inputs &amp; Assumptions'!$C$63*INDEX('Inputs &amp; Assumptions'!$C$26:$I$26,CEILING(('Inputs &amp; Assumptions'!$C$148+3)/4,1))*G85,0)</f>
        <v>441911.675270517</v>
      </c>
      <c r="H96" s="39" t="n">
        <f aca="false">IF(4&lt;='Inputs &amp; Assumptions'!$E$148,'Inputs &amp; Assumptions'!$C$63*INDEX('Inputs &amp; Assumptions'!$C$26:$I$26,CEILING(('Inputs &amp; Assumptions'!$C$148+4)/4,1))*H85,0)</f>
        <v>413544.564757892</v>
      </c>
      <c r="I96" s="39" t="n">
        <f aca="false">IF(5&lt;='Inputs &amp; Assumptions'!$E$148,'Inputs &amp; Assumptions'!$C$63*INDEX('Inputs &amp; Assumptions'!$C$26:$I$26,CEILING(('Inputs &amp; Assumptions'!$C$148+5)/4,1))*I85,0)</f>
        <v>309598.712341972</v>
      </c>
      <c r="J96" s="39" t="n">
        <f aca="false">IF(6&lt;='Inputs &amp; Assumptions'!$E$148,'Inputs &amp; Assumptions'!$C$63*INDEX('Inputs &amp; Assumptions'!$C$26:$I$26,CEILING(('Inputs &amp; Assumptions'!$C$148+6)/4,1))*J85,0)</f>
        <v>290280.767684552</v>
      </c>
      <c r="K96" s="39" t="n">
        <f aca="false">IF(7&lt;='Inputs &amp; Assumptions'!$E$148,'Inputs &amp; Assumptions'!$C$63*INDEX('Inputs &amp; Assumptions'!$C$26:$I$26,CEILING(('Inputs &amp; Assumptions'!$C$148+7)/4,1))*K85,0)</f>
        <v>272168.199441537</v>
      </c>
      <c r="L96" s="39" t="n">
        <f aca="false">IF(8&lt;='Inputs &amp; Assumptions'!$E$148,'Inputs &amp; Assumptions'!$C$63*INDEX('Inputs &amp; Assumptions'!$C$26:$I$26,CEILING(('Inputs &amp; Assumptions'!$C$148+8)/4,1))*L85,0)</f>
        <v>255185.796076391</v>
      </c>
      <c r="M96" s="39" t="n">
        <f aca="false">IF(9&lt;='Inputs &amp; Assumptions'!$E$148,'Inputs &amp; Assumptions'!$C$63*INDEX('Inputs &amp; Assumptions'!$C$26:$I$26,CEILING(('Inputs &amp; Assumptions'!$C$148+9)/4,1))*M85,0)</f>
        <v>186530.724488139</v>
      </c>
      <c r="N96" s="39" t="n">
        <f aca="false">IF(10&lt;='Inputs &amp; Assumptions'!$E$148,'Inputs &amp; Assumptions'!$C$63*INDEX('Inputs &amp; Assumptions'!$C$26:$I$26,CEILING(('Inputs &amp; Assumptions'!$C$148+10)/4,1))*N85,0)</f>
        <v>175187.006024362</v>
      </c>
      <c r="O96" s="39" t="n">
        <f aca="false">IF(11&lt;='Inputs &amp; Assumptions'!$E$148,'Inputs &amp; Assumptions'!$C$63*INDEX('Inputs &amp; Assumptions'!$C$26:$I$26,CEILING(('Inputs &amp; Assumptions'!$C$148+11)/4,1))*O85,0)</f>
        <v>164533.146826069</v>
      </c>
      <c r="P96" s="39" t="n">
        <f aca="false">IF(12&lt;='Inputs &amp; Assumptions'!$E$148,'Inputs &amp; Assumptions'!$C$63*INDEX('Inputs &amp; Assumptions'!$C$26:$I$26,CEILING(('Inputs &amp; Assumptions'!$C$148+12)/4,1))*P85,0)</f>
        <v>154527.193647708</v>
      </c>
      <c r="Q96" s="39" t="n">
        <f aca="false">IF(13&lt;='Inputs &amp; Assumptions'!$E$148,'Inputs &amp; Assumptions'!$C$63*INDEX('Inputs &amp; Assumptions'!$C$26:$I$26,CEILING(('Inputs &amp; Assumptions'!$C$148+13)/4,1))*Q85,0)</f>
        <v>117573.463977456</v>
      </c>
      <c r="R96" s="39" t="n">
        <f aca="false">IF(14&lt;='Inputs &amp; Assumptions'!$E$148,'Inputs &amp; Assumptions'!$C$63*INDEX('Inputs &amp; Assumptions'!$C$26:$I$26,CEILING(('Inputs &amp; Assumptions'!$C$148+14)/4,1))*R85,0)</f>
        <v>110548.293436515</v>
      </c>
      <c r="S96" s="39" t="n">
        <f aca="false">IF(15&lt;='Inputs &amp; Assumptions'!$E$148,'Inputs &amp; Assumptions'!$C$63*INDEX('Inputs &amp; Assumptions'!$C$26:$I$26,CEILING(('Inputs &amp; Assumptions'!$C$148+15)/4,1))*S85,0)</f>
        <v>103942.886160682</v>
      </c>
      <c r="T96" s="39" t="n">
        <f aca="false">IF(16&lt;='Inputs &amp; Assumptions'!$E$148,'Inputs &amp; Assumptions'!$C$63*INDEX('Inputs &amp; Assumptions'!$C$26:$I$26,CEILING(('Inputs &amp; Assumptions'!$C$148+16)/4,1))*T85,0)</f>
        <v>97732.1607376698</v>
      </c>
      <c r="U96" s="39" t="n">
        <f aca="false">IF(17&lt;='Inputs &amp; Assumptions'!$E$148,'Inputs &amp; Assumptions'!$C$63*INDEX('Inputs &amp; Assumptions'!$C$26:$I$26,CEILING(('Inputs &amp; Assumptions'!$C$148+17)/4,1))*U85,0)</f>
        <v>72269.6494522544</v>
      </c>
      <c r="V96" s="39" t="n">
        <f aca="false">IF(18&lt;='Inputs &amp; Assumptions'!$E$148,'Inputs &amp; Assumptions'!$C$63*INDEX('Inputs &amp; Assumptions'!$C$26:$I$26,CEILING(('Inputs &amp; Assumptions'!$C$148+18)/4,1))*V85,0)</f>
        <v>68021.4281275584</v>
      </c>
      <c r="W96" s="39" t="n">
        <f aca="false">IF(19&lt;='Inputs &amp; Assumptions'!$E$148,'Inputs &amp; Assumptions'!$C$63*INDEX('Inputs &amp; Assumptions'!$C$26:$I$26,CEILING(('Inputs &amp; Assumptions'!$C$148+19)/4,1))*W85,0)</f>
        <v>64022.9296749171</v>
      </c>
      <c r="X96" s="39" t="n">
        <f aca="false">IF(20&lt;='Inputs &amp; Assumptions'!$E$148,'Inputs &amp; Assumptions'!$C$63*INDEX('Inputs &amp; Assumptions'!$C$26:$I$26,CEILING(('Inputs &amp; Assumptions'!$C$148+20)/4,1))*X85,0)</f>
        <v>60259.474653675</v>
      </c>
      <c r="Y96" s="39" t="n">
        <f aca="false">IF(21&lt;='Inputs &amp; Assumptions'!$E$148,'Inputs &amp; Assumptions'!$C$63*INDEX('Inputs &amp; Assumptions'!$C$26:$I$26,CEILING(('Inputs &amp; Assumptions'!$C$148+21)/4,1))*Y85,0)</f>
        <v>0</v>
      </c>
      <c r="Z96" s="39" t="n">
        <f aca="false">IF(22&lt;='Inputs &amp; Assumptions'!$E$148,'Inputs &amp; Assumptions'!$C$63*INDEX('Inputs &amp; Assumptions'!$C$26:$I$26,CEILING(('Inputs &amp; Assumptions'!$C$148+22)/4,1))*Z85,0)</f>
        <v>0</v>
      </c>
      <c r="AA96" s="39" t="n">
        <f aca="false">IF(23&lt;='Inputs &amp; Assumptions'!$E$148,'Inputs &amp; Assumptions'!$C$63*INDEX('Inputs &amp; Assumptions'!$C$26:$I$26,CEILING(('Inputs &amp; Assumptions'!$C$148+23)/4,1))*AA85,0)</f>
        <v>0</v>
      </c>
      <c r="AB96" s="39" t="n">
        <f aca="false">IF(24&lt;='Inputs &amp; Assumptions'!$E$148,'Inputs &amp; Assumptions'!$C$63*INDEX('Inputs &amp; Assumptions'!$C$26:$I$26,CEILING(('Inputs &amp; Assumptions'!$C$148+24)/4,1))*AB85,0)</f>
        <v>0</v>
      </c>
      <c r="AC96" s="39" t="n">
        <f aca="false">IF(25&lt;='Inputs &amp; Assumptions'!$E$148,'Inputs &amp; Assumptions'!$C$63*INDEX('Inputs &amp; Assumptions'!$C$26:$I$26,CEILING(('Inputs &amp; Assumptions'!$C$148+25)/4,1))*AC85,0)</f>
        <v>0</v>
      </c>
      <c r="AD96" s="39" t="n">
        <f aca="false">IF(26&lt;='Inputs &amp; Assumptions'!$E$148,'Inputs &amp; Assumptions'!$C$63*INDEX('Inputs &amp; Assumptions'!$C$26:$I$26,CEILING(('Inputs &amp; Assumptions'!$C$148+26)/4,1))*AD85,0)</f>
        <v>0</v>
      </c>
      <c r="AE96" s="39" t="n">
        <f aca="false">IF(27&lt;='Inputs &amp; Assumptions'!$E$148,'Inputs &amp; Assumptions'!$C$63*INDEX('Inputs &amp; Assumptions'!$C$26:$I$26,CEILING(('Inputs &amp; Assumptions'!$C$148+27)/4,1))*AE85,0)</f>
        <v>0</v>
      </c>
      <c r="AF96" s="39" t="n">
        <f aca="false">IF(28&lt;='Inputs &amp; Assumptions'!$E$148,'Inputs &amp; Assumptions'!$C$63*INDEX('Inputs &amp; Assumptions'!$C$26:$I$26,CEILING(('Inputs &amp; Assumptions'!$C$148+28)/4,1))*AF85,0)</f>
        <v>0</v>
      </c>
      <c r="AG96" s="39" t="n">
        <f aca="false">IF(29&lt;='Inputs &amp; Assumptions'!$E$148,'Inputs &amp; Assumptions'!$C$63*INDEX('Inputs &amp; Assumptions'!$C$26:$I$26,CEILING(('Inputs &amp; Assumptions'!$C$148+29)/4,1))*AG85,0)</f>
        <v>0</v>
      </c>
      <c r="AH96" s="39" t="n">
        <f aca="false">IF(30&lt;='Inputs &amp; Assumptions'!$E$148,'Inputs &amp; Assumptions'!$C$63*INDEX('Inputs &amp; Assumptions'!$C$26:$I$26,CEILING(('Inputs &amp; Assumptions'!$C$148+30)/4,1))*AH85,0)</f>
        <v>0</v>
      </c>
      <c r="AI96" s="39" t="n">
        <f aca="false">IF(31&lt;='Inputs &amp; Assumptions'!$E$148,'Inputs &amp; Assumptions'!$C$63*INDEX('Inputs &amp; Assumptions'!$C$26:$I$26,CEILING(('Inputs &amp; Assumptions'!$C$148+31)/4,1))*AI85,0)</f>
        <v>0</v>
      </c>
      <c r="AJ96" s="39" t="n">
        <f aca="false">IF(32&lt;='Inputs &amp; Assumptions'!$E$148,'Inputs &amp; Assumptions'!$C$63*INDEX('Inputs &amp; Assumptions'!$C$26:$I$26,CEILING(('Inputs &amp; Assumptions'!$C$148+32)/4,1))*AJ85,0)</f>
        <v>0</v>
      </c>
      <c r="AK96" s="39" t="n">
        <f aca="false">IF(33&lt;='Inputs &amp; Assumptions'!$E$148,'Inputs &amp; Assumptions'!$C$63*INDEX('Inputs &amp; Assumptions'!$C$26:$I$26,CEILING(('Inputs &amp; Assumptions'!$C$148+33)/4,1))*AK85,0)</f>
        <v>0</v>
      </c>
      <c r="AL96" s="39" t="n">
        <f aca="false">IF(34&lt;='Inputs &amp; Assumptions'!$E$148,'Inputs &amp; Assumptions'!$C$63*INDEX('Inputs &amp; Assumptions'!$C$26:$I$26,CEILING(('Inputs &amp; Assumptions'!$C$148+34)/4,1))*AL85,0)</f>
        <v>0</v>
      </c>
      <c r="AM96" s="39" t="n">
        <f aca="false">IF(35&lt;='Inputs &amp; Assumptions'!$E$148,'Inputs &amp; Assumptions'!$C$63*INDEX('Inputs &amp; Assumptions'!$C$26:$I$26,CEILING(('Inputs &amp; Assumptions'!$C$148+35)/4,1))*AM85,0)</f>
        <v>0</v>
      </c>
      <c r="AN96" s="39" t="n">
        <f aca="false">IF(36&lt;='Inputs &amp; Assumptions'!$E$148,'Inputs &amp; Assumptions'!$C$63*INDEX('Inputs &amp; Assumptions'!$C$26:$I$26,CEILING(('Inputs &amp; Assumptions'!$C$148+36)/4,1))*AN85,0)</f>
        <v>0</v>
      </c>
    </row>
    <row r="97" customFormat="false" ht="15" hidden="false" customHeight="false" outlineLevel="0" collapsed="false">
      <c r="B97" s="37" t="n">
        <v>10</v>
      </c>
      <c r="C97" s="38" t="n">
        <f aca="false">'Inputs &amp; Assumptions'!$C$149</f>
        <v>9</v>
      </c>
      <c r="D97" s="38" t="n">
        <f aca="false">'Inputs &amp; Assumptions'!$D$149</f>
        <v>3</v>
      </c>
      <c r="E97" s="39" t="n">
        <f aca="false">IF(1&lt;='Inputs &amp; Assumptions'!$E$149,'Inputs &amp; Assumptions'!$C$63*INDEX('Inputs &amp; Assumptions'!$C$26:$I$26,CEILING(('Inputs &amp; Assumptions'!$C$149+1)/4,1))*E86,0)</f>
        <v>489478.394649</v>
      </c>
      <c r="F97" s="39" t="n">
        <f aca="false">IF(2&lt;='Inputs &amp; Assumptions'!$E$149,'Inputs &amp; Assumptions'!$C$63*INDEX('Inputs &amp; Assumptions'!$C$26:$I$26,CEILING(('Inputs &amp; Assumptions'!$C$149+2)/4,1))*F86,0)</f>
        <v>458057.890300364</v>
      </c>
      <c r="G97" s="39" t="n">
        <f aca="false">IF(3&lt;='Inputs &amp; Assumptions'!$E$149,'Inputs &amp; Assumptions'!$C$63*INDEX('Inputs &amp; Assumptions'!$C$26:$I$26,CEILING(('Inputs &amp; Assumptions'!$C$149+3)/4,1))*G86,0)</f>
        <v>428654.325012401</v>
      </c>
      <c r="H97" s="39" t="n">
        <f aca="false">IF(4&lt;='Inputs &amp; Assumptions'!$E$149,'Inputs &amp; Assumptions'!$C$63*INDEX('Inputs &amp; Assumptions'!$C$26:$I$26,CEILING(('Inputs &amp; Assumptions'!$C$149+4)/4,1))*H86,0)</f>
        <v>320910.582252124</v>
      </c>
      <c r="I97" s="39" t="n">
        <f aca="false">IF(5&lt;='Inputs &amp; Assumptions'!$E$149,'Inputs &amp; Assumptions'!$C$63*INDEX('Inputs &amp; Assumptions'!$C$26:$I$26,CEILING(('Inputs &amp; Assumptions'!$C$149+5)/4,1))*I86,0)</f>
        <v>300886.813997302</v>
      </c>
      <c r="J97" s="39" t="n">
        <f aca="false">IF(6&lt;='Inputs &amp; Assumptions'!$E$149,'Inputs &amp; Assumptions'!$C$63*INDEX('Inputs &amp; Assumptions'!$C$26:$I$26,CEILING(('Inputs &amp; Assumptions'!$C$149+6)/4,1))*J86,0)</f>
        <v>282112.463235381</v>
      </c>
      <c r="K97" s="39" t="n">
        <f aca="false">IF(7&lt;='Inputs &amp; Assumptions'!$E$149,'Inputs &amp; Assumptions'!$C$63*INDEX('Inputs &amp; Assumptions'!$C$26:$I$26,CEILING(('Inputs &amp; Assumptions'!$C$149+7)/4,1))*K86,0)</f>
        <v>264509.570410911</v>
      </c>
      <c r="L97" s="39" t="n">
        <f aca="false">IF(8&lt;='Inputs &amp; Assumptions'!$E$149,'Inputs &amp; Assumptions'!$C$63*INDEX('Inputs &amp; Assumptions'!$C$26:$I$26,CEILING(('Inputs &amp; Assumptions'!$C$149+8)/4,1))*L86,0)</f>
        <v>193346.034777045</v>
      </c>
      <c r="M97" s="39" t="n">
        <f aca="false">IF(9&lt;='Inputs &amp; Assumptions'!$E$149,'Inputs &amp; Assumptions'!$C$63*INDEX('Inputs &amp; Assumptions'!$C$26:$I$26,CEILING(('Inputs &amp; Assumptions'!$C$149+9)/4,1))*M86,0)</f>
        <v>181587.848608965</v>
      </c>
      <c r="N97" s="39" t="n">
        <f aca="false">IF(10&lt;='Inputs &amp; Assumptions'!$E$149,'Inputs &amp; Assumptions'!$C$63*INDEX('Inputs &amp; Assumptions'!$C$26:$I$26,CEILING(('Inputs &amp; Assumptions'!$C$149+10)/4,1))*N86,0)</f>
        <v>170544.727231962</v>
      </c>
      <c r="O97" s="39" t="n">
        <f aca="false">IF(11&lt;='Inputs &amp; Assumptions'!$E$149,'Inputs &amp; Assumptions'!$C$63*INDEX('Inputs &amp; Assumptions'!$C$26:$I$26,CEILING(('Inputs &amp; Assumptions'!$C$149+11)/4,1))*O86,0)</f>
        <v>160173.184546382</v>
      </c>
      <c r="P97" s="39" t="n">
        <f aca="false">IF(12&lt;='Inputs &amp; Assumptions'!$E$149,'Inputs &amp; Assumptions'!$C$63*INDEX('Inputs &amp; Assumptions'!$C$26:$I$26,CEILING(('Inputs &amp; Assumptions'!$C$149+12)/4,1))*P86,0)</f>
        <v>121869.269083809</v>
      </c>
      <c r="Q97" s="39" t="n">
        <f aca="false">IF(13&lt;='Inputs &amp; Assumptions'!$E$149,'Inputs &amp; Assumptions'!$C$63*INDEX('Inputs &amp; Assumptions'!$C$26:$I$26,CEILING(('Inputs &amp; Assumptions'!$C$149+13)/4,1))*Q86,0)</f>
        <v>114587.418485465</v>
      </c>
      <c r="R97" s="39" t="n">
        <f aca="false">IF(14&lt;='Inputs &amp; Assumptions'!$E$149,'Inputs &amp; Assumptions'!$C$63*INDEX('Inputs &amp; Assumptions'!$C$26:$I$26,CEILING(('Inputs &amp; Assumptions'!$C$149+14)/4,1))*R86,0)</f>
        <v>107740.668126379</v>
      </c>
      <c r="S97" s="39" t="n">
        <f aca="false">IF(15&lt;='Inputs &amp; Assumptions'!$E$149,'Inputs &amp; Assumptions'!$C$63*INDEX('Inputs &amp; Assumptions'!$C$26:$I$26,CEILING(('Inputs &amp; Assumptions'!$C$149+15)/4,1))*S86,0)</f>
        <v>101303.0201897</v>
      </c>
      <c r="T97" s="39" t="n">
        <f aca="false">IF(16&lt;='Inputs &amp; Assumptions'!$E$149,'Inputs &amp; Assumptions'!$C$63*INDEX('Inputs &amp; Assumptions'!$C$26:$I$26,CEILING(('Inputs &amp; Assumptions'!$C$149+16)/4,1))*T86,0)</f>
        <v>74910.1800503055</v>
      </c>
      <c r="U97" s="39" t="n">
        <f aca="false">IF(17&lt;='Inputs &amp; Assumptions'!$E$149,'Inputs &amp; Assumptions'!$C$63*INDEX('Inputs &amp; Assumptions'!$C$26:$I$26,CEILING(('Inputs &amp; Assumptions'!$C$149+17)/4,1))*U86,0)</f>
        <v>70506.7406156536</v>
      </c>
      <c r="V97" s="39" t="n">
        <f aca="false">IF(18&lt;='Inputs &amp; Assumptions'!$E$149,'Inputs &amp; Assumptions'!$C$63*INDEX('Inputs &amp; Assumptions'!$C$26:$I$26,CEILING(('Inputs &amp; Assumptions'!$C$149+18)/4,1))*V86,0)</f>
        <v>66362.1482274463</v>
      </c>
      <c r="W97" s="39" t="n">
        <f aca="false">IF(19&lt;='Inputs &amp; Assumptions'!$E$149,'Inputs &amp; Assumptions'!$C$63*INDEX('Inputs &amp; Assumptions'!$C$26:$I$26,CEILING(('Inputs &amp; Assumptions'!$C$149+19)/4,1))*W86,0)</f>
        <v>62461.1870993765</v>
      </c>
      <c r="X97" s="39" t="n">
        <f aca="false">IF(20&lt;='Inputs &amp; Assumptions'!$E$149,'Inputs &amp; Assumptions'!$C$63*INDEX('Inputs &amp; Assumptions'!$C$26:$I$26,CEILING(('Inputs &amp; Assumptions'!$C$149+20)/4,1))*X86,0)</f>
        <v>0</v>
      </c>
      <c r="Y97" s="39" t="n">
        <f aca="false">IF(21&lt;='Inputs &amp; Assumptions'!$E$149,'Inputs &amp; Assumptions'!$C$63*INDEX('Inputs &amp; Assumptions'!$C$26:$I$26,CEILING(('Inputs &amp; Assumptions'!$C$149+21)/4,1))*Y86,0)</f>
        <v>0</v>
      </c>
      <c r="Z97" s="39" t="n">
        <f aca="false">IF(22&lt;='Inputs &amp; Assumptions'!$E$149,'Inputs &amp; Assumptions'!$C$63*INDEX('Inputs &amp; Assumptions'!$C$26:$I$26,CEILING(('Inputs &amp; Assumptions'!$C$149+22)/4,1))*Z86,0)</f>
        <v>0</v>
      </c>
      <c r="AA97" s="39" t="n">
        <f aca="false">IF(23&lt;='Inputs &amp; Assumptions'!$E$149,'Inputs &amp; Assumptions'!$C$63*INDEX('Inputs &amp; Assumptions'!$C$26:$I$26,CEILING(('Inputs &amp; Assumptions'!$C$149+23)/4,1))*AA86,0)</f>
        <v>0</v>
      </c>
      <c r="AB97" s="39" t="n">
        <f aca="false">IF(24&lt;='Inputs &amp; Assumptions'!$E$149,'Inputs &amp; Assumptions'!$C$63*INDEX('Inputs &amp; Assumptions'!$C$26:$I$26,CEILING(('Inputs &amp; Assumptions'!$C$149+24)/4,1))*AB86,0)</f>
        <v>0</v>
      </c>
      <c r="AC97" s="39" t="n">
        <f aca="false">IF(25&lt;='Inputs &amp; Assumptions'!$E$149,'Inputs &amp; Assumptions'!$C$63*INDEX('Inputs &amp; Assumptions'!$C$26:$I$26,CEILING(('Inputs &amp; Assumptions'!$C$149+25)/4,1))*AC86,0)</f>
        <v>0</v>
      </c>
      <c r="AD97" s="39" t="n">
        <f aca="false">IF(26&lt;='Inputs &amp; Assumptions'!$E$149,'Inputs &amp; Assumptions'!$C$63*INDEX('Inputs &amp; Assumptions'!$C$26:$I$26,CEILING(('Inputs &amp; Assumptions'!$C$149+26)/4,1))*AD86,0)</f>
        <v>0</v>
      </c>
      <c r="AE97" s="39" t="n">
        <f aca="false">IF(27&lt;='Inputs &amp; Assumptions'!$E$149,'Inputs &amp; Assumptions'!$C$63*INDEX('Inputs &amp; Assumptions'!$C$26:$I$26,CEILING(('Inputs &amp; Assumptions'!$C$149+27)/4,1))*AE86,0)</f>
        <v>0</v>
      </c>
      <c r="AF97" s="39" t="n">
        <f aca="false">IF(28&lt;='Inputs &amp; Assumptions'!$E$149,'Inputs &amp; Assumptions'!$C$63*INDEX('Inputs &amp; Assumptions'!$C$26:$I$26,CEILING(('Inputs &amp; Assumptions'!$C$149+28)/4,1))*AF86,0)</f>
        <v>0</v>
      </c>
      <c r="AG97" s="39" t="n">
        <f aca="false">IF(29&lt;='Inputs &amp; Assumptions'!$E$149,'Inputs &amp; Assumptions'!$C$63*INDEX('Inputs &amp; Assumptions'!$C$26:$I$26,CEILING(('Inputs &amp; Assumptions'!$C$149+29)/4,1))*AG86,0)</f>
        <v>0</v>
      </c>
      <c r="AH97" s="39" t="n">
        <f aca="false">IF(30&lt;='Inputs &amp; Assumptions'!$E$149,'Inputs &amp; Assumptions'!$C$63*INDEX('Inputs &amp; Assumptions'!$C$26:$I$26,CEILING(('Inputs &amp; Assumptions'!$C$149+30)/4,1))*AH86,0)</f>
        <v>0</v>
      </c>
      <c r="AI97" s="39" t="n">
        <f aca="false">IF(31&lt;='Inputs &amp; Assumptions'!$E$149,'Inputs &amp; Assumptions'!$C$63*INDEX('Inputs &amp; Assumptions'!$C$26:$I$26,CEILING(('Inputs &amp; Assumptions'!$C$149+31)/4,1))*AI86,0)</f>
        <v>0</v>
      </c>
      <c r="AJ97" s="39" t="n">
        <f aca="false">IF(32&lt;='Inputs &amp; Assumptions'!$E$149,'Inputs &amp; Assumptions'!$C$63*INDEX('Inputs &amp; Assumptions'!$C$26:$I$26,CEILING(('Inputs &amp; Assumptions'!$C$149+32)/4,1))*AJ86,0)</f>
        <v>0</v>
      </c>
      <c r="AK97" s="39" t="n">
        <f aca="false">IF(33&lt;='Inputs &amp; Assumptions'!$E$149,'Inputs &amp; Assumptions'!$C$63*INDEX('Inputs &amp; Assumptions'!$C$26:$I$26,CEILING(('Inputs &amp; Assumptions'!$C$149+33)/4,1))*AK86,0)</f>
        <v>0</v>
      </c>
      <c r="AL97" s="39" t="n">
        <f aca="false">IF(34&lt;='Inputs &amp; Assumptions'!$E$149,'Inputs &amp; Assumptions'!$C$63*INDEX('Inputs &amp; Assumptions'!$C$26:$I$26,CEILING(('Inputs &amp; Assumptions'!$C$149+34)/4,1))*AL86,0)</f>
        <v>0</v>
      </c>
      <c r="AM97" s="39" t="n">
        <f aca="false">IF(35&lt;='Inputs &amp; Assumptions'!$E$149,'Inputs &amp; Assumptions'!$C$63*INDEX('Inputs &amp; Assumptions'!$C$26:$I$26,CEILING(('Inputs &amp; Assumptions'!$C$149+35)/4,1))*AM86,0)</f>
        <v>0</v>
      </c>
      <c r="AN97" s="39" t="n">
        <f aca="false">IF(36&lt;='Inputs &amp; Assumptions'!$E$149,'Inputs &amp; Assumptions'!$C$63*INDEX('Inputs &amp; Assumptions'!$C$26:$I$26,CEILING(('Inputs &amp; Assumptions'!$C$149+36)/4,1))*AN86,0)</f>
        <v>0</v>
      </c>
    </row>
    <row r="98" customFormat="false" ht="15" hidden="false" customHeight="false" outlineLevel="0" collapsed="false">
      <c r="B98" s="37" t="n">
        <v>11</v>
      </c>
      <c r="C98" s="38" t="n">
        <f aca="false">'Inputs &amp; Assumptions'!$C$150</f>
        <v>10</v>
      </c>
      <c r="D98" s="38" t="n">
        <f aca="false">'Inputs &amp; Assumptions'!$D$150</f>
        <v>2</v>
      </c>
      <c r="E98" s="39" t="n">
        <f aca="false">IF(1&lt;='Inputs &amp; Assumptions'!$E$150,'Inputs &amp; Assumptions'!$C$63*INDEX('Inputs &amp; Assumptions'!$C$26:$I$26,CEILING(('Inputs &amp; Assumptions'!$C$150+1)/4,1))*E87,0)</f>
        <v>316529.36187302</v>
      </c>
      <c r="F98" s="39" t="n">
        <f aca="false">IF(2&lt;='Inputs &amp; Assumptions'!$E$150,'Inputs &amp; Assumptions'!$C$63*INDEX('Inputs &amp; Assumptions'!$C$26:$I$26,CEILING(('Inputs &amp; Assumptions'!$C$150+2)/4,1))*F87,0)</f>
        <v>296210.769060902</v>
      </c>
      <c r="G98" s="39" t="n">
        <f aca="false">IF(3&lt;='Inputs &amp; Assumptions'!$E$150,'Inputs &amp; Assumptions'!$C$63*INDEX('Inputs &amp; Assumptions'!$C$26:$I$26,CEILING(('Inputs &amp; Assumptions'!$C$150+3)/4,1))*G87,0)</f>
        <v>221757.170806415</v>
      </c>
      <c r="H98" s="39" t="n">
        <f aca="false">IF(4&lt;='Inputs &amp; Assumptions'!$E$150,'Inputs &amp; Assumptions'!$C$63*INDEX('Inputs &amp; Assumptions'!$C$26:$I$26,CEILING(('Inputs &amp; Assumptions'!$C$150+4)/4,1))*H87,0)</f>
        <v>207920.250359884</v>
      </c>
      <c r="I98" s="39" t="n">
        <f aca="false">IF(5&lt;='Inputs &amp; Assumptions'!$E$150,'Inputs &amp; Assumptions'!$C$63*INDEX('Inputs &amp; Assumptions'!$C$26:$I$26,CEILING(('Inputs &amp; Assumptions'!$C$150+5)/4,1))*I87,0)</f>
        <v>194946.708386064</v>
      </c>
      <c r="J98" s="39" t="n">
        <f aca="false">IF(6&lt;='Inputs &amp; Assumptions'!$E$150,'Inputs &amp; Assumptions'!$C$63*INDEX('Inputs &amp; Assumptions'!$C$26:$I$26,CEILING(('Inputs &amp; Assumptions'!$C$150+6)/4,1))*J87,0)</f>
        <v>182782.672898771</v>
      </c>
      <c r="K98" s="39" t="n">
        <f aca="false">IF(7&lt;='Inputs &amp; Assumptions'!$E$150,'Inputs &amp; Assumptions'!$C$63*INDEX('Inputs &amp; Assumptions'!$C$26:$I$26,CEILING(('Inputs &amp; Assumptions'!$C$150+7)/4,1))*K87,0)</f>
        <v>133606.904944975</v>
      </c>
      <c r="L98" s="39" t="n">
        <f aca="false">IF(8&lt;='Inputs &amp; Assumptions'!$E$150,'Inputs &amp; Assumptions'!$C$63*INDEX('Inputs &amp; Assumptions'!$C$26:$I$26,CEILING(('Inputs &amp; Assumptions'!$C$150+8)/4,1))*L87,0)</f>
        <v>125481.706703928</v>
      </c>
      <c r="M98" s="39" t="n">
        <f aca="false">IF(9&lt;='Inputs &amp; Assumptions'!$E$150,'Inputs &amp; Assumptions'!$C$63*INDEX('Inputs &amp; Assumptions'!$C$26:$I$26,CEILING(('Inputs &amp; Assumptions'!$C$150+9)/4,1))*M87,0)</f>
        <v>117850.635966871</v>
      </c>
      <c r="N98" s="39" t="n">
        <f aca="false">IF(10&lt;='Inputs &amp; Assumptions'!$E$150,'Inputs &amp; Assumptions'!$C$63*INDEX('Inputs &amp; Assumptions'!$C$26:$I$26,CEILING(('Inputs &amp; Assumptions'!$C$150+10)/4,1))*N87,0)</f>
        <v>110683.642760504</v>
      </c>
      <c r="O98" s="39" t="n">
        <f aca="false">IF(11&lt;='Inputs &amp; Assumptions'!$E$150,'Inputs &amp; Assumptions'!$C$63*INDEX('Inputs &amp; Assumptions'!$C$26:$I$26,CEILING(('Inputs &amp; Assumptions'!$C$150+11)/4,1))*O87,0)</f>
        <v>84214.6872521598</v>
      </c>
      <c r="P98" s="39" t="n">
        <f aca="false">IF(12&lt;='Inputs &amp; Assumptions'!$E$150,'Inputs &amp; Assumptions'!$C$63*INDEX('Inputs &amp; Assumptions'!$C$26:$I$26,CEILING(('Inputs &amp; Assumptions'!$C$150+12)/4,1))*P87,0)</f>
        <v>79182.7479013563</v>
      </c>
      <c r="Q98" s="39" t="n">
        <f aca="false">IF(13&lt;='Inputs &amp; Assumptions'!$E$150,'Inputs &amp; Assumptions'!$C$63*INDEX('Inputs &amp; Assumptions'!$C$26:$I$26,CEILING(('Inputs &amp; Assumptions'!$C$150+13)/4,1))*Q87,0)</f>
        <v>74451.4736062141</v>
      </c>
      <c r="R98" s="39" t="n">
        <f aca="false">IF(14&lt;='Inputs &amp; Assumptions'!$E$150,'Inputs &amp; Assumptions'!$C$63*INDEX('Inputs &amp; Assumptions'!$C$26:$I$26,CEILING(('Inputs &amp; Assumptions'!$C$150+14)/4,1))*R87,0)</f>
        <v>70002.8992305513</v>
      </c>
      <c r="S98" s="39" t="n">
        <f aca="false">IF(15&lt;='Inputs &amp; Assumptions'!$E$150,'Inputs &amp; Assumptions'!$C$63*INDEX('Inputs &amp; Assumptions'!$C$26:$I$26,CEILING(('Inputs &amp; Assumptions'!$C$150+15)/4,1))*S87,0)</f>
        <v>51764.7921610256</v>
      </c>
      <c r="T98" s="39" t="n">
        <f aca="false">IF(16&lt;='Inputs &amp; Assumptions'!$E$150,'Inputs &amp; Assumptions'!$C$63*INDEX('Inputs &amp; Assumptions'!$C$26:$I$26,CEILING(('Inputs &amp; Assumptions'!$C$150+16)/4,1))*T87,0)</f>
        <v>48721.9063079234</v>
      </c>
      <c r="U98" s="39" t="n">
        <f aca="false">IF(17&lt;='Inputs &amp; Assumptions'!$E$150,'Inputs &amp; Assumptions'!$C$63*INDEX('Inputs &amp; Assumptions'!$C$26:$I$26,CEILING(('Inputs &amp; Assumptions'!$C$150+17)/4,1))*U87,0)</f>
        <v>45857.8901832305</v>
      </c>
      <c r="V98" s="39" t="n">
        <f aca="false">IF(18&lt;='Inputs &amp; Assumptions'!$E$150,'Inputs &amp; Assumptions'!$C$63*INDEX('Inputs &amp; Assumptions'!$C$26:$I$26,CEILING(('Inputs &amp; Assumptions'!$C$150+18)/4,1))*V87,0)</f>
        <v>43162.2293012627</v>
      </c>
      <c r="W98" s="39" t="n">
        <f aca="false">IF(19&lt;='Inputs &amp; Assumptions'!$E$150,'Inputs &amp; Assumptions'!$C$63*INDEX('Inputs &amp; Assumptions'!$C$26:$I$26,CEILING(('Inputs &amp; Assumptions'!$C$150+19)/4,1))*W87,0)</f>
        <v>0</v>
      </c>
      <c r="X98" s="39" t="n">
        <f aca="false">IF(20&lt;='Inputs &amp; Assumptions'!$E$150,'Inputs &amp; Assumptions'!$C$63*INDEX('Inputs &amp; Assumptions'!$C$26:$I$26,CEILING(('Inputs &amp; Assumptions'!$C$150+20)/4,1))*X87,0)</f>
        <v>0</v>
      </c>
      <c r="Y98" s="39" t="n">
        <f aca="false">IF(21&lt;='Inputs &amp; Assumptions'!$E$150,'Inputs &amp; Assumptions'!$C$63*INDEX('Inputs &amp; Assumptions'!$C$26:$I$26,CEILING(('Inputs &amp; Assumptions'!$C$150+21)/4,1))*Y87,0)</f>
        <v>0</v>
      </c>
      <c r="Z98" s="39" t="n">
        <f aca="false">IF(22&lt;='Inputs &amp; Assumptions'!$E$150,'Inputs &amp; Assumptions'!$C$63*INDEX('Inputs &amp; Assumptions'!$C$26:$I$26,CEILING(('Inputs &amp; Assumptions'!$C$150+22)/4,1))*Z87,0)</f>
        <v>0</v>
      </c>
      <c r="AA98" s="39" t="n">
        <f aca="false">IF(23&lt;='Inputs &amp; Assumptions'!$E$150,'Inputs &amp; Assumptions'!$C$63*INDEX('Inputs &amp; Assumptions'!$C$26:$I$26,CEILING(('Inputs &amp; Assumptions'!$C$150+23)/4,1))*AA87,0)</f>
        <v>0</v>
      </c>
      <c r="AB98" s="39" t="n">
        <f aca="false">IF(24&lt;='Inputs &amp; Assumptions'!$E$150,'Inputs &amp; Assumptions'!$C$63*INDEX('Inputs &amp; Assumptions'!$C$26:$I$26,CEILING(('Inputs &amp; Assumptions'!$C$150+24)/4,1))*AB87,0)</f>
        <v>0</v>
      </c>
      <c r="AC98" s="39" t="n">
        <f aca="false">IF(25&lt;='Inputs &amp; Assumptions'!$E$150,'Inputs &amp; Assumptions'!$C$63*INDEX('Inputs &amp; Assumptions'!$C$26:$I$26,CEILING(('Inputs &amp; Assumptions'!$C$150+25)/4,1))*AC87,0)</f>
        <v>0</v>
      </c>
      <c r="AD98" s="39" t="n">
        <f aca="false">IF(26&lt;='Inputs &amp; Assumptions'!$E$150,'Inputs &amp; Assumptions'!$C$63*INDEX('Inputs &amp; Assumptions'!$C$26:$I$26,CEILING(('Inputs &amp; Assumptions'!$C$150+26)/4,1))*AD87,0)</f>
        <v>0</v>
      </c>
      <c r="AE98" s="39" t="n">
        <f aca="false">IF(27&lt;='Inputs &amp; Assumptions'!$E$150,'Inputs &amp; Assumptions'!$C$63*INDEX('Inputs &amp; Assumptions'!$C$26:$I$26,CEILING(('Inputs &amp; Assumptions'!$C$150+27)/4,1))*AE87,0)</f>
        <v>0</v>
      </c>
      <c r="AF98" s="39" t="n">
        <f aca="false">IF(28&lt;='Inputs &amp; Assumptions'!$E$150,'Inputs &amp; Assumptions'!$C$63*INDEX('Inputs &amp; Assumptions'!$C$26:$I$26,CEILING(('Inputs &amp; Assumptions'!$C$150+28)/4,1))*AF87,0)</f>
        <v>0</v>
      </c>
      <c r="AG98" s="39" t="n">
        <f aca="false">IF(29&lt;='Inputs &amp; Assumptions'!$E$150,'Inputs &amp; Assumptions'!$C$63*INDEX('Inputs &amp; Assumptions'!$C$26:$I$26,CEILING(('Inputs &amp; Assumptions'!$C$150+29)/4,1))*AG87,0)</f>
        <v>0</v>
      </c>
      <c r="AH98" s="39" t="n">
        <f aca="false">IF(30&lt;='Inputs &amp; Assumptions'!$E$150,'Inputs &amp; Assumptions'!$C$63*INDEX('Inputs &amp; Assumptions'!$C$26:$I$26,CEILING(('Inputs &amp; Assumptions'!$C$150+30)/4,1))*AH87,0)</f>
        <v>0</v>
      </c>
      <c r="AI98" s="39" t="n">
        <f aca="false">IF(31&lt;='Inputs &amp; Assumptions'!$E$150,'Inputs &amp; Assumptions'!$C$63*INDEX('Inputs &amp; Assumptions'!$C$26:$I$26,CEILING(('Inputs &amp; Assumptions'!$C$150+31)/4,1))*AI87,0)</f>
        <v>0</v>
      </c>
      <c r="AJ98" s="39" t="n">
        <f aca="false">IF(32&lt;='Inputs &amp; Assumptions'!$E$150,'Inputs &amp; Assumptions'!$C$63*INDEX('Inputs &amp; Assumptions'!$C$26:$I$26,CEILING(('Inputs &amp; Assumptions'!$C$150+32)/4,1))*AJ87,0)</f>
        <v>0</v>
      </c>
      <c r="AK98" s="39" t="n">
        <f aca="false">IF(33&lt;='Inputs &amp; Assumptions'!$E$150,'Inputs &amp; Assumptions'!$C$63*INDEX('Inputs &amp; Assumptions'!$C$26:$I$26,CEILING(('Inputs &amp; Assumptions'!$C$150+33)/4,1))*AK87,0)</f>
        <v>0</v>
      </c>
      <c r="AL98" s="39" t="n">
        <f aca="false">IF(34&lt;='Inputs &amp; Assumptions'!$E$150,'Inputs &amp; Assumptions'!$C$63*INDEX('Inputs &amp; Assumptions'!$C$26:$I$26,CEILING(('Inputs &amp; Assumptions'!$C$150+34)/4,1))*AL87,0)</f>
        <v>0</v>
      </c>
      <c r="AM98" s="39" t="n">
        <f aca="false">IF(35&lt;='Inputs &amp; Assumptions'!$E$150,'Inputs &amp; Assumptions'!$C$63*INDEX('Inputs &amp; Assumptions'!$C$26:$I$26,CEILING(('Inputs &amp; Assumptions'!$C$150+35)/4,1))*AM87,0)</f>
        <v>0</v>
      </c>
      <c r="AN98" s="39" t="n">
        <f aca="false">IF(36&lt;='Inputs &amp; Assumptions'!$E$150,'Inputs &amp; Assumptions'!$C$63*INDEX('Inputs &amp; Assumptions'!$C$26:$I$26,CEILING(('Inputs &amp; Assumptions'!$C$150+36)/4,1))*AN87,0)</f>
        <v>0</v>
      </c>
    </row>
    <row r="99" customFormat="false" ht="15" hidden="false" customHeight="false" outlineLevel="0" collapsed="false">
      <c r="A99" s="14" t="s">
        <v>83</v>
      </c>
      <c r="B99" s="37" t="n">
        <v>1</v>
      </c>
      <c r="C99" s="38" t="n">
        <f aca="false">'Inputs &amp; Assumptions'!$C$140</f>
        <v>0</v>
      </c>
      <c r="D99" s="38" t="n">
        <f aca="false">'Inputs &amp; Assumptions'!$D$140</f>
        <v>1</v>
      </c>
      <c r="E99" s="39" t="n">
        <f aca="false">IF(1&gt;'Inputs &amp; Assumptions'!$E$140,0,IF(1='Inputs &amp; Assumptions'!$E$140,E77-E88,IF(('Inputs &amp; Assumptions'!$C$140+1)&gt;'Inputs &amp; Assumptions'!$C$11,'Inputs &amp; Assumptions'!$C$12*(E77-E88),0)))</f>
        <v>0</v>
      </c>
      <c r="F99" s="39" t="n">
        <f aca="false">IF(2&gt;'Inputs &amp; Assumptions'!$E$140,0,IF(2='Inputs &amp; Assumptions'!$E$140,F77-F88,IF(('Inputs &amp; Assumptions'!$C$140+2)&gt;'Inputs &amp; Assumptions'!$C$11,'Inputs &amp; Assumptions'!$C$12*(F77-F88),0)))</f>
        <v>0</v>
      </c>
      <c r="G99" s="39" t="n">
        <f aca="false">IF(3&gt;'Inputs &amp; Assumptions'!$E$140,0,IF(3='Inputs &amp; Assumptions'!$E$140,G77-G88,IF(('Inputs &amp; Assumptions'!$C$140+3)&gt;'Inputs &amp; Assumptions'!$C$11,'Inputs &amp; Assumptions'!$C$12*(G77-G88),0)))</f>
        <v>0</v>
      </c>
      <c r="H99" s="39" t="n">
        <f aca="false">IF(4&gt;'Inputs &amp; Assumptions'!$E$140,0,IF(4='Inputs &amp; Assumptions'!$E$140,H77-H88,IF(('Inputs &amp; Assumptions'!$C$140+4)&gt;'Inputs &amp; Assumptions'!$C$11,'Inputs &amp; Assumptions'!$C$12*(H77-H88),0)))</f>
        <v>0</v>
      </c>
      <c r="I99" s="39" t="n">
        <f aca="false">IF(5&gt;'Inputs &amp; Assumptions'!$E$140,0,IF(5='Inputs &amp; Assumptions'!$E$140,I77-I88,IF(('Inputs &amp; Assumptions'!$C$140+5)&gt;'Inputs &amp; Assumptions'!$C$11,'Inputs &amp; Assumptions'!$C$12*(I77-I88),0)))</f>
        <v>517435.253829232</v>
      </c>
      <c r="J99" s="39" t="n">
        <f aca="false">IF(6&gt;'Inputs &amp; Assumptions'!$E$140,0,IF(6='Inputs &amp; Assumptions'!$E$140,J77-J88,IF(('Inputs &amp; Assumptions'!$C$140+6)&gt;'Inputs &amp; Assumptions'!$C$11,'Inputs &amp; Assumptions'!$C$12*(J77-J88),0)))</f>
        <v>483633.510842795</v>
      </c>
      <c r="K99" s="39" t="n">
        <f aca="false">IF(7&gt;'Inputs &amp; Assumptions'!$E$140,0,IF(7='Inputs &amp; Assumptions'!$E$140,K77-K88,IF(('Inputs &amp; Assumptions'!$C$140+7)&gt;'Inputs &amp; Assumptions'!$C$11,'Inputs &amp; Assumptions'!$C$12*(K77-K88),0)))</f>
        <v>452039.885336691</v>
      </c>
      <c r="L99" s="39" t="n">
        <f aca="false">IF(8&gt;'Inputs &amp; Assumptions'!$E$140,0,IF(8='Inputs &amp; Assumptions'!$E$140,L77-L88,IF(('Inputs &amp; Assumptions'!$C$140+8)&gt;'Inputs &amp; Assumptions'!$C$11,'Inputs &amp; Assumptions'!$C$12*(L77-L88),0)))</f>
        <v>422510.130820173</v>
      </c>
      <c r="M99" s="39" t="n">
        <f aca="false">IF(9&gt;'Inputs &amp; Assumptions'!$E$140,0,IF(9='Inputs &amp; Assumptions'!$E$140,M77-M88,IF(('Inputs &amp; Assumptions'!$C$140+9)&gt;'Inputs &amp; Assumptions'!$C$11,'Inputs &amp; Assumptions'!$C$12*(M77-M88),0)))</f>
        <v>395388.440572133</v>
      </c>
      <c r="N99" s="39" t="n">
        <f aca="false">IF(10&gt;'Inputs &amp; Assumptions'!$E$140,0,IF(10='Inputs &amp; Assumptions'!$E$140,N77-N88,IF(('Inputs &amp; Assumptions'!$C$140+10)&gt;'Inputs &amp; Assumptions'!$C$11,'Inputs &amp; Assumptions'!$C$12*(N77-N88),0)))</f>
        <v>370007.740724685</v>
      </c>
      <c r="O99" s="39" t="n">
        <f aca="false">IF(11&gt;'Inputs &amp; Assumptions'!$E$140,0,IF(11='Inputs &amp; Assumptions'!$E$140,O77-O88,IF(('Inputs &amp; Assumptions'!$C$140+11)&gt;'Inputs &amp; Assumptions'!$C$11,'Inputs &amp; Assumptions'!$C$12*(O77-O88),0)))</f>
        <v>346256.273951968</v>
      </c>
      <c r="P99" s="39" t="n">
        <f aca="false">IF(12&gt;'Inputs &amp; Assumptions'!$E$140,0,IF(12='Inputs &amp; Assumptions'!$E$140,P77-P88,IF(('Inputs &amp; Assumptions'!$C$140+12)&gt;'Inputs &amp; Assumptions'!$C$11,'Inputs &amp; Assumptions'!$C$12*(P77-P88),0)))</f>
        <v>324029.456833203</v>
      </c>
      <c r="Q99" s="39" t="n">
        <f aca="false">IF(13&gt;'Inputs &amp; Assumptions'!$E$140,0,IF(13='Inputs &amp; Assumptions'!$E$140,Q77-Q88,IF(('Inputs &amp; Assumptions'!$C$140+13)&gt;'Inputs &amp; Assumptions'!$C$11,'Inputs &amp; Assumptions'!$C$12*(Q77-Q88),0)))</f>
        <v>303811.081029483</v>
      </c>
      <c r="R99" s="39" t="n">
        <f aca="false">IF(14&gt;'Inputs &amp; Assumptions'!$E$140,0,IF(14='Inputs &amp; Assumptions'!$E$140,R77-R88,IF(('Inputs &amp; Assumptions'!$C$140+14)&gt;'Inputs &amp; Assumptions'!$C$11,'Inputs &amp; Assumptions'!$C$12*(R77-R88),0)))</f>
        <v>284854.265591712</v>
      </c>
      <c r="S99" s="39" t="n">
        <f aca="false">IF(15&gt;'Inputs &amp; Assumptions'!$E$140,0,IF(15='Inputs &amp; Assumptions'!$E$140,S77-S88,IF(('Inputs &amp; Assumptions'!$C$140+15)&gt;'Inputs &amp; Assumptions'!$C$11,'Inputs &amp; Assumptions'!$C$12*(S77-S88),0)))</f>
        <v>267080.29328897</v>
      </c>
      <c r="T99" s="39" t="n">
        <f aca="false">IF(16&gt;'Inputs &amp; Assumptions'!$E$140,0,IF(16='Inputs &amp; Assumptions'!$E$140,T77-T88,IF(('Inputs &amp; Assumptions'!$C$140+16)&gt;'Inputs &amp; Assumptions'!$C$11,'Inputs &amp; Assumptions'!$C$12*(T77-T88),0)))</f>
        <v>250415.358587482</v>
      </c>
      <c r="U99" s="39" t="n">
        <f aca="false">IF(17&gt;'Inputs &amp; Assumptions'!$E$140,0,IF(17='Inputs &amp; Assumptions'!$E$140,U77-U88,IF(('Inputs &amp; Assumptions'!$C$140+17)&gt;'Inputs &amp; Assumptions'!$C$11,'Inputs &amp; Assumptions'!$C$12*(U77-U88),0)))</f>
        <v>235186.546633757</v>
      </c>
      <c r="V99" s="39" t="n">
        <f aca="false">IF(18&gt;'Inputs &amp; Assumptions'!$E$140,0,IF(18='Inputs &amp; Assumptions'!$E$140,V77-V88,IF(('Inputs &amp; Assumptions'!$C$140+18)&gt;'Inputs &amp; Assumptions'!$C$11,'Inputs &amp; Assumptions'!$C$12*(V77-V88),0)))</f>
        <v>220883.862832994</v>
      </c>
      <c r="W99" s="39" t="n">
        <f aca="false">IF(19&gt;'Inputs &amp; Assumptions'!$E$140,0,IF(19='Inputs &amp; Assumptions'!$E$140,W77-W88,IF(('Inputs &amp; Assumptions'!$C$140+19)&gt;'Inputs &amp; Assumptions'!$C$11,'Inputs &amp; Assumptions'!$C$12*(W77-W88),0)))</f>
        <v>207450.985434138</v>
      </c>
      <c r="X99" s="39" t="n">
        <f aca="false">IF(20&gt;'Inputs &amp; Assumptions'!$E$140,0,IF(20='Inputs &amp; Assumptions'!$E$140,X77-X88,IF(('Inputs &amp; Assumptions'!$C$140+20)&gt;'Inputs &amp; Assumptions'!$C$11,'Inputs &amp; Assumptions'!$C$12*(X77-X88),0)))</f>
        <v>194835.017848876</v>
      </c>
      <c r="Y99" s="39" t="n">
        <f aca="false">IF(21&gt;'Inputs &amp; Assumptions'!$E$140,0,IF(21='Inputs &amp; Assumptions'!$E$140,Y77-Y88,IF(('Inputs &amp; Assumptions'!$C$140+21)&gt;'Inputs &amp; Assumptions'!$C$11,'Inputs &amp; Assumptions'!$C$12*(Y77-Y88),0)))</f>
        <v>183193.366906296</v>
      </c>
      <c r="Z99" s="39" t="n">
        <f aca="false">IF(22&gt;'Inputs &amp; Assumptions'!$E$140,0,IF(22='Inputs &amp; Assumptions'!$E$140,Z77-Z88,IF(('Inputs &amp; Assumptions'!$C$140+22)&gt;'Inputs &amp; Assumptions'!$C$11,'Inputs &amp; Assumptions'!$C$12*(Z77-Z88),0)))</f>
        <v>172247.320060787</v>
      </c>
      <c r="AA99" s="39" t="n">
        <f aca="false">IF(23&gt;'Inputs &amp; Assumptions'!$E$140,0,IF(23='Inputs &amp; Assumptions'!$E$140,AA77-AA88,IF(('Inputs &amp; Assumptions'!$C$140+23)&gt;'Inputs &amp; Assumptions'!$C$11,'Inputs &amp; Assumptions'!$C$12*(AA77-AA88),0)))</f>
        <v>161955.314044199</v>
      </c>
      <c r="AB99" s="39" t="n">
        <f aca="false">IF(24&gt;'Inputs &amp; Assumptions'!$E$140,0,IF(24='Inputs &amp; Assumptions'!$E$140,AB77-AB88,IF(('Inputs &amp; Assumptions'!$C$140+24)&gt;'Inputs &amp; Assumptions'!$C$11,'Inputs &amp; Assumptions'!$C$12*(AB77-AB88),0)))</f>
        <v>152278.269048822</v>
      </c>
      <c r="AC99" s="39" t="n">
        <f aca="false">IF(25&gt;'Inputs &amp; Assumptions'!$E$140,0,IF(25='Inputs &amp; Assumptions'!$E$140,AC77-AC88,IF(('Inputs &amp; Assumptions'!$C$140+25)&gt;'Inputs &amp; Assumptions'!$C$11,'Inputs &amp; Assumptions'!$C$12*(AC77-AC88),0)))</f>
        <v>143326.90710416</v>
      </c>
      <c r="AD99" s="39" t="n">
        <f aca="false">IF(26&gt;'Inputs &amp; Assumptions'!$E$140,0,IF(26='Inputs &amp; Assumptions'!$E$140,AD77-AD88,IF(('Inputs &amp; Assumptions'!$C$140+26)&gt;'Inputs &amp; Assumptions'!$C$11,'Inputs &amp; Assumptions'!$C$12*(AD77-AD88),0)))</f>
        <v>134901.732390052</v>
      </c>
      <c r="AE99" s="39" t="n">
        <f aca="false">IF(27&gt;'Inputs &amp; Assumptions'!$E$140,0,IF(27='Inputs &amp; Assumptions'!$E$140,AE77-AE88,IF(('Inputs &amp; Assumptions'!$C$140+27)&gt;'Inputs &amp; Assumptions'!$C$11,'Inputs &amp; Assumptions'!$C$12*(AE77-AE88),0)))</f>
        <v>126971.814082416</v>
      </c>
      <c r="AF99" s="39" t="n">
        <f aca="false">IF(28&gt;'Inputs &amp; Assumptions'!$E$140,0,IF(28='Inputs &amp; Assumptions'!$E$140,AF77-AF88,IF(('Inputs &amp; Assumptions'!$C$140+28)&gt;'Inputs &amp; Assumptions'!$C$11,'Inputs &amp; Assumptions'!$C$12*(AF77-AF88),0)))</f>
        <v>3983601.31871529</v>
      </c>
      <c r="AG99" s="39" t="n">
        <f aca="false">IF(29&gt;'Inputs &amp; Assumptions'!$E$140,0,IF(29='Inputs &amp; Assumptions'!$E$140,AG77-AG88,IF(('Inputs &amp; Assumptions'!$C$140+29)&gt;'Inputs &amp; Assumptions'!$C$11,'Inputs &amp; Assumptions'!$C$12*(AG77-AG88),0)))</f>
        <v>0</v>
      </c>
      <c r="AH99" s="39" t="n">
        <f aca="false">IF(30&gt;'Inputs &amp; Assumptions'!$E$140,0,IF(30='Inputs &amp; Assumptions'!$E$140,AH77-AH88,IF(('Inputs &amp; Assumptions'!$C$140+30)&gt;'Inputs &amp; Assumptions'!$C$11,'Inputs &amp; Assumptions'!$C$12*(AH77-AH88),0)))</f>
        <v>0</v>
      </c>
      <c r="AI99" s="39" t="n">
        <f aca="false">IF(31&gt;'Inputs &amp; Assumptions'!$E$140,0,IF(31='Inputs &amp; Assumptions'!$E$140,AI77-AI88,IF(('Inputs &amp; Assumptions'!$C$140+31)&gt;'Inputs &amp; Assumptions'!$C$11,'Inputs &amp; Assumptions'!$C$12*(AI77-AI88),0)))</f>
        <v>0</v>
      </c>
      <c r="AJ99" s="39" t="n">
        <f aca="false">IF(32&gt;'Inputs &amp; Assumptions'!$E$140,0,IF(32='Inputs &amp; Assumptions'!$E$140,AJ77-AJ88,IF(('Inputs &amp; Assumptions'!$C$140+32)&gt;'Inputs &amp; Assumptions'!$C$11,'Inputs &amp; Assumptions'!$C$12*(AJ77-AJ88),0)))</f>
        <v>0</v>
      </c>
      <c r="AK99" s="39" t="n">
        <f aca="false">IF(33&gt;'Inputs &amp; Assumptions'!$E$140,0,IF(33='Inputs &amp; Assumptions'!$E$140,AK77-AK88,IF(('Inputs &amp; Assumptions'!$C$140+33)&gt;'Inputs &amp; Assumptions'!$C$11,'Inputs &amp; Assumptions'!$C$12*(AK77-AK88),0)))</f>
        <v>0</v>
      </c>
      <c r="AL99" s="39" t="n">
        <f aca="false">IF(34&gt;'Inputs &amp; Assumptions'!$E$140,0,IF(34='Inputs &amp; Assumptions'!$E$140,AL77-AL88,IF(('Inputs &amp; Assumptions'!$C$140+34)&gt;'Inputs &amp; Assumptions'!$C$11,'Inputs &amp; Assumptions'!$C$12*(AL77-AL88),0)))</f>
        <v>0</v>
      </c>
      <c r="AM99" s="39" t="n">
        <f aca="false">IF(35&gt;'Inputs &amp; Assumptions'!$E$140,0,IF(35='Inputs &amp; Assumptions'!$E$140,AM77-AM88,IF(('Inputs &amp; Assumptions'!$C$140+35)&gt;'Inputs &amp; Assumptions'!$C$11,'Inputs &amp; Assumptions'!$C$12*(AM77-AM88),0)))</f>
        <v>0</v>
      </c>
      <c r="AN99" s="39" t="n">
        <f aca="false">IF(36&gt;'Inputs &amp; Assumptions'!$E$140,0,IF(36='Inputs &amp; Assumptions'!$E$140,AN77-AN88,IF(('Inputs &amp; Assumptions'!$C$140+36)&gt;'Inputs &amp; Assumptions'!$C$11,'Inputs &amp; Assumptions'!$C$12*(AN77-AN88),0)))</f>
        <v>0</v>
      </c>
    </row>
    <row r="100" customFormat="false" ht="15" hidden="false" customHeight="false" outlineLevel="0" collapsed="false">
      <c r="B100" s="37" t="n">
        <v>2</v>
      </c>
      <c r="C100" s="38" t="n">
        <f aca="false">'Inputs &amp; Assumptions'!$C$141</f>
        <v>1</v>
      </c>
      <c r="D100" s="38" t="n">
        <f aca="false">'Inputs &amp; Assumptions'!$D$141</f>
        <v>3</v>
      </c>
      <c r="E100" s="39" t="n">
        <f aca="false">IF(1&gt;'Inputs &amp; Assumptions'!$E$141,0,IF(1='Inputs &amp; Assumptions'!$E$141,E78-E89,IF(('Inputs &amp; Assumptions'!$C$141+1)&gt;'Inputs &amp; Assumptions'!$C$11,'Inputs &amp; Assumptions'!$C$12*(E78-E89),0)))</f>
        <v>0</v>
      </c>
      <c r="F100" s="39" t="n">
        <f aca="false">IF(2&gt;'Inputs &amp; Assumptions'!$E$141,0,IF(2='Inputs &amp; Assumptions'!$E$141,F78-F89,IF(('Inputs &amp; Assumptions'!$C$141+2)&gt;'Inputs &amp; Assumptions'!$C$11,'Inputs &amp; Assumptions'!$C$12*(F78-F89),0)))</f>
        <v>0</v>
      </c>
      <c r="G100" s="39" t="n">
        <f aca="false">IF(3&gt;'Inputs &amp; Assumptions'!$E$141,0,IF(3='Inputs &amp; Assumptions'!$E$141,G78-G89,IF(('Inputs &amp; Assumptions'!$C$141+3)&gt;'Inputs &amp; Assumptions'!$C$11,'Inputs &amp; Assumptions'!$C$12*(G78-G89),0)))</f>
        <v>0</v>
      </c>
      <c r="H100" s="39" t="n">
        <f aca="false">IF(4&gt;'Inputs &amp; Assumptions'!$E$141,0,IF(4='Inputs &amp; Assumptions'!$E$141,H78-H89,IF(('Inputs &amp; Assumptions'!$C$141+4)&gt;'Inputs &amp; Assumptions'!$C$11,'Inputs &amp; Assumptions'!$C$12*(H78-H89),0)))</f>
        <v>1606508.69553739</v>
      </c>
      <c r="I100" s="39" t="n">
        <f aca="false">IF(5&gt;'Inputs &amp; Assumptions'!$E$141,0,IF(5='Inputs &amp; Assumptions'!$E$141,I78-I89,IF(('Inputs &amp; Assumptions'!$C$141+5)&gt;'Inputs &amp; Assumptions'!$C$11,'Inputs &amp; Assumptions'!$C$12*(I78-I89),0)))</f>
        <v>1501562.63005351</v>
      </c>
      <c r="J100" s="39" t="n">
        <f aca="false">IF(6&gt;'Inputs &amp; Assumptions'!$E$141,0,IF(6='Inputs &amp; Assumptions'!$E$141,J78-J89,IF(('Inputs &amp; Assumptions'!$C$141+6)&gt;'Inputs &amp; Assumptions'!$C$11,'Inputs &amp; Assumptions'!$C$12*(J78-J89),0)))</f>
        <v>1403472.22410707</v>
      </c>
      <c r="K100" s="39" t="n">
        <f aca="false">IF(7&gt;'Inputs &amp; Assumptions'!$E$141,0,IF(7='Inputs &amp; Assumptions'!$E$141,K78-K89,IF(('Inputs &amp; Assumptions'!$C$141+7)&gt;'Inputs &amp; Assumptions'!$C$11,'Inputs &amp; Assumptions'!$C$12*(K78-K89),0)))</f>
        <v>1311789.62796234</v>
      </c>
      <c r="L100" s="39" t="n">
        <f aca="false">IF(8&gt;'Inputs &amp; Assumptions'!$E$141,0,IF(8='Inputs &amp; Assumptions'!$E$141,L78-L89,IF(('Inputs &amp; Assumptions'!$C$141+8)&gt;'Inputs &amp; Assumptions'!$C$11,'Inputs &amp; Assumptions'!$C$12*(L78-L89),0)))</f>
        <v>1227583.47676042</v>
      </c>
      <c r="M100" s="39" t="n">
        <f aca="false">IF(9&gt;'Inputs &amp; Assumptions'!$E$141,0,IF(9='Inputs &amp; Assumptions'!$E$141,M78-M89,IF(('Inputs &amp; Assumptions'!$C$141+9)&gt;'Inputs &amp; Assumptions'!$C$11,'Inputs &amp; Assumptions'!$C$12*(M78-M89),0)))</f>
        <v>1148782.67085862</v>
      </c>
      <c r="N100" s="39" t="n">
        <f aca="false">IF(10&gt;'Inputs &amp; Assumptions'!$E$141,0,IF(10='Inputs &amp; Assumptions'!$E$141,N78-N89,IF(('Inputs &amp; Assumptions'!$C$141+10)&gt;'Inputs &amp; Assumptions'!$C$11,'Inputs &amp; Assumptions'!$C$12*(N78-N89),0)))</f>
        <v>1075040.23135578</v>
      </c>
      <c r="O100" s="39" t="n">
        <f aca="false">IF(11&gt;'Inputs &amp; Assumptions'!$E$141,0,IF(11='Inputs &amp; Assumptions'!$E$141,O78-O89,IF(('Inputs &amp; Assumptions'!$C$141+11)&gt;'Inputs &amp; Assumptions'!$C$11,'Inputs &amp; Assumptions'!$C$12*(O78-O89),0)))</f>
        <v>1006031.45255463</v>
      </c>
      <c r="P100" s="39" t="n">
        <f aca="false">IF(12&gt;'Inputs &amp; Assumptions'!$E$141,0,IF(12='Inputs &amp; Assumptions'!$E$141,P78-P89,IF(('Inputs &amp; Assumptions'!$C$141+12)&gt;'Inputs &amp; Assumptions'!$C$11,'Inputs &amp; Assumptions'!$C$12*(P78-P89),0)))</f>
        <v>943258.388102713</v>
      </c>
      <c r="Q100" s="39" t="n">
        <f aca="false">IF(13&gt;'Inputs &amp; Assumptions'!$E$141,0,IF(13='Inputs &amp; Assumptions'!$E$141,Q78-Q89,IF(('Inputs &amp; Assumptions'!$C$141+13)&gt;'Inputs &amp; Assumptions'!$C$11,'Inputs &amp; Assumptions'!$C$12*(Q78-Q89),0)))</f>
        <v>884402.157076506</v>
      </c>
      <c r="R100" s="39" t="n">
        <f aca="false">IF(14&gt;'Inputs &amp; Assumptions'!$E$141,0,IF(14='Inputs &amp; Assumptions'!$E$141,R78-R89,IF(('Inputs &amp; Assumptions'!$C$141+14)&gt;'Inputs &amp; Assumptions'!$C$11,'Inputs &amp; Assumptions'!$C$12*(R78-R89),0)))</f>
        <v>829218.361911248</v>
      </c>
      <c r="S100" s="39" t="n">
        <f aca="false">IF(15&gt;'Inputs &amp; Assumptions'!$E$141,0,IF(15='Inputs &amp; Assumptions'!$E$141,S78-S89,IF(('Inputs &amp; Assumptions'!$C$141+15)&gt;'Inputs &amp; Assumptions'!$C$11,'Inputs &amp; Assumptions'!$C$12*(S78-S89),0)))</f>
        <v>777477.854648983</v>
      </c>
      <c r="T100" s="39" t="n">
        <f aca="false">IF(16&gt;'Inputs &amp; Assumptions'!$E$141,0,IF(16='Inputs &amp; Assumptions'!$E$141,T78-T89,IF(('Inputs &amp; Assumptions'!$C$141+16)&gt;'Inputs &amp; Assumptions'!$C$11,'Inputs &amp; Assumptions'!$C$12*(T78-T89),0)))</f>
        <v>730196.153904184</v>
      </c>
      <c r="U100" s="39" t="n">
        <f aca="false">IF(17&gt;'Inputs &amp; Assumptions'!$E$141,0,IF(17='Inputs &amp; Assumptions'!$E$141,U78-U89,IF(('Inputs &amp; Assumptions'!$C$141+17)&gt;'Inputs &amp; Assumptions'!$C$11,'Inputs &amp; Assumptions'!$C$12*(U78-U89),0)))</f>
        <v>685789.852390312</v>
      </c>
      <c r="V100" s="39" t="n">
        <f aca="false">IF(18&gt;'Inputs &amp; Assumptions'!$E$141,0,IF(18='Inputs &amp; Assumptions'!$E$141,V78-V89,IF(('Inputs &amp; Assumptions'!$C$141+18)&gt;'Inputs &amp; Assumptions'!$C$11,'Inputs &amp; Assumptions'!$C$12*(V78-V89),0)))</f>
        <v>644084.084977582</v>
      </c>
      <c r="W100" s="39" t="n">
        <f aca="false">IF(19&gt;'Inputs &amp; Assumptions'!$E$141,0,IF(19='Inputs &amp; Assumptions'!$E$141,W78-W89,IF(('Inputs &amp; Assumptions'!$C$141+19)&gt;'Inputs &amp; Assumptions'!$C$11,'Inputs &amp; Assumptions'!$C$12*(W78-W89),0)))</f>
        <v>604914.620820758</v>
      </c>
      <c r="X100" s="39" t="n">
        <f aca="false">IF(20&gt;'Inputs &amp; Assumptions'!$E$141,0,IF(20='Inputs &amp; Assumptions'!$E$141,X78-X89,IF(('Inputs &amp; Assumptions'!$C$141+20)&gt;'Inputs &amp; Assumptions'!$C$11,'Inputs &amp; Assumptions'!$C$12*(X78-X89),0)))</f>
        <v>568770.169256506</v>
      </c>
      <c r="Y100" s="39" t="n">
        <f aca="false">IF(21&gt;'Inputs &amp; Assumptions'!$E$141,0,IF(21='Inputs &amp; Assumptions'!$E$141,Y78-Y89,IF(('Inputs &amp; Assumptions'!$C$141+21)&gt;'Inputs &amp; Assumptions'!$C$11,'Inputs &amp; Assumptions'!$C$12*(Y78-Y89),0)))</f>
        <v>534785.396651754</v>
      </c>
      <c r="Z100" s="39" t="n">
        <f aca="false">IF(22&gt;'Inputs &amp; Assumptions'!$E$141,0,IF(22='Inputs &amp; Assumptions'!$E$141,Z78-Z89,IF(('Inputs &amp; Assumptions'!$C$141+22)&gt;'Inputs &amp; Assumptions'!$C$11,'Inputs &amp; Assumptions'!$C$12*(Z78-Z89),0)))</f>
        <v>502831.259321891</v>
      </c>
      <c r="AA100" s="39" t="n">
        <f aca="false">IF(23&gt;'Inputs &amp; Assumptions'!$E$141,0,IF(23='Inputs &amp; Assumptions'!$E$141,AA78-AA89,IF(('Inputs &amp; Assumptions'!$C$141+23)&gt;'Inputs &amp; Assumptions'!$C$11,'Inputs &amp; Assumptions'!$C$12*(AA78-AA89),0)))</f>
        <v>472786.424113755</v>
      </c>
      <c r="AB100" s="39" t="n">
        <f aca="false">IF(24&gt;'Inputs &amp; Assumptions'!$E$141,0,IF(24='Inputs &amp; Assumptions'!$E$141,AB78-AB89,IF(('Inputs &amp; Assumptions'!$C$141+24)&gt;'Inputs &amp; Assumptions'!$C$11,'Inputs &amp; Assumptions'!$C$12*(AB78-AB89),0)))</f>
        <v>444994.655588936</v>
      </c>
      <c r="AC100" s="39" t="n">
        <f aca="false">IF(25&gt;'Inputs &amp; Assumptions'!$E$141,0,IF(25='Inputs &amp; Assumptions'!$E$141,AC78-AC89,IF(('Inputs &amp; Assumptions'!$C$141+25)&gt;'Inputs &amp; Assumptions'!$C$11,'Inputs &amp; Assumptions'!$C$12*(AC78-AC89),0)))</f>
        <v>418836.568486306</v>
      </c>
      <c r="AD100" s="39" t="n">
        <f aca="false">IF(26&gt;'Inputs &amp; Assumptions'!$E$141,0,IF(26='Inputs &amp; Assumptions'!$E$141,AD78-AD89,IF(('Inputs &amp; Assumptions'!$C$141+26)&gt;'Inputs &amp; Assumptions'!$C$11,'Inputs &amp; Assumptions'!$C$12*(AD78-AD89),0)))</f>
        <v>394216.130234678</v>
      </c>
      <c r="AE100" s="39" t="n">
        <f aca="false">IF(27&gt;'Inputs &amp; Assumptions'!$E$141,0,IF(27='Inputs &amp; Assumptions'!$E$141,AE78-AE89,IF(('Inputs &amp; Assumptions'!$C$141+27)&gt;'Inputs &amp; Assumptions'!$C$11,'Inputs &amp; Assumptions'!$C$12*(AE78-AE89),0)))</f>
        <v>12368098.4446073</v>
      </c>
      <c r="AF100" s="39" t="n">
        <f aca="false">IF(28&gt;'Inputs &amp; Assumptions'!$E$141,0,IF(28='Inputs &amp; Assumptions'!$E$141,AF78-AF89,IF(('Inputs &amp; Assumptions'!$C$141+28)&gt;'Inputs &amp; Assumptions'!$C$11,'Inputs &amp; Assumptions'!$C$12*(AF78-AF89),0)))</f>
        <v>0</v>
      </c>
      <c r="AG100" s="39" t="n">
        <f aca="false">IF(29&gt;'Inputs &amp; Assumptions'!$E$141,0,IF(29='Inputs &amp; Assumptions'!$E$141,AG78-AG89,IF(('Inputs &amp; Assumptions'!$C$141+29)&gt;'Inputs &amp; Assumptions'!$C$11,'Inputs &amp; Assumptions'!$C$12*(AG78-AG89),0)))</f>
        <v>0</v>
      </c>
      <c r="AH100" s="39" t="n">
        <f aca="false">IF(30&gt;'Inputs &amp; Assumptions'!$E$141,0,IF(30='Inputs &amp; Assumptions'!$E$141,AH78-AH89,IF(('Inputs &amp; Assumptions'!$C$141+30)&gt;'Inputs &amp; Assumptions'!$C$11,'Inputs &amp; Assumptions'!$C$12*(AH78-AH89),0)))</f>
        <v>0</v>
      </c>
      <c r="AI100" s="39" t="n">
        <f aca="false">IF(31&gt;'Inputs &amp; Assumptions'!$E$141,0,IF(31='Inputs &amp; Assumptions'!$E$141,AI78-AI89,IF(('Inputs &amp; Assumptions'!$C$141+31)&gt;'Inputs &amp; Assumptions'!$C$11,'Inputs &amp; Assumptions'!$C$12*(AI78-AI89),0)))</f>
        <v>0</v>
      </c>
      <c r="AJ100" s="39" t="n">
        <f aca="false">IF(32&gt;'Inputs &amp; Assumptions'!$E$141,0,IF(32='Inputs &amp; Assumptions'!$E$141,AJ78-AJ89,IF(('Inputs &amp; Assumptions'!$C$141+32)&gt;'Inputs &amp; Assumptions'!$C$11,'Inputs &amp; Assumptions'!$C$12*(AJ78-AJ89),0)))</f>
        <v>0</v>
      </c>
      <c r="AK100" s="39" t="n">
        <f aca="false">IF(33&gt;'Inputs &amp; Assumptions'!$E$141,0,IF(33='Inputs &amp; Assumptions'!$E$141,AK78-AK89,IF(('Inputs &amp; Assumptions'!$C$141+33)&gt;'Inputs &amp; Assumptions'!$C$11,'Inputs &amp; Assumptions'!$C$12*(AK78-AK89),0)))</f>
        <v>0</v>
      </c>
      <c r="AL100" s="39" t="n">
        <f aca="false">IF(34&gt;'Inputs &amp; Assumptions'!$E$141,0,IF(34='Inputs &amp; Assumptions'!$E$141,AL78-AL89,IF(('Inputs &amp; Assumptions'!$C$141+34)&gt;'Inputs &amp; Assumptions'!$C$11,'Inputs &amp; Assumptions'!$C$12*(AL78-AL89),0)))</f>
        <v>0</v>
      </c>
      <c r="AM100" s="39" t="n">
        <f aca="false">IF(35&gt;'Inputs &amp; Assumptions'!$E$141,0,IF(35='Inputs &amp; Assumptions'!$E$141,AM78-AM89,IF(('Inputs &amp; Assumptions'!$C$141+35)&gt;'Inputs &amp; Assumptions'!$C$11,'Inputs &amp; Assumptions'!$C$12*(AM78-AM89),0)))</f>
        <v>0</v>
      </c>
      <c r="AN100" s="39" t="n">
        <f aca="false">IF(36&gt;'Inputs &amp; Assumptions'!$E$141,0,IF(36='Inputs &amp; Assumptions'!$E$141,AN78-AN89,IF(('Inputs &amp; Assumptions'!$C$141+36)&gt;'Inputs &amp; Assumptions'!$C$11,'Inputs &amp; Assumptions'!$C$12*(AN78-AN89),0)))</f>
        <v>0</v>
      </c>
    </row>
    <row r="101" customFormat="false" ht="15" hidden="false" customHeight="false" outlineLevel="0" collapsed="false">
      <c r="B101" s="37" t="n">
        <v>3</v>
      </c>
      <c r="C101" s="38" t="n">
        <f aca="false">'Inputs &amp; Assumptions'!$C$142</f>
        <v>2</v>
      </c>
      <c r="D101" s="38" t="n">
        <f aca="false">'Inputs &amp; Assumptions'!$D$142</f>
        <v>3</v>
      </c>
      <c r="E101" s="39" t="n">
        <f aca="false">IF(1&gt;'Inputs &amp; Assumptions'!$E$142,0,IF(1='Inputs &amp; Assumptions'!$E$142,E79-E90,IF(('Inputs &amp; Assumptions'!$C$142+1)&gt;'Inputs &amp; Assumptions'!$C$11,'Inputs &amp; Assumptions'!$C$12*(E79-E90),0)))</f>
        <v>0</v>
      </c>
      <c r="F101" s="39" t="n">
        <f aca="false">IF(2&gt;'Inputs &amp; Assumptions'!$E$142,0,IF(2='Inputs &amp; Assumptions'!$E$142,F79-F90,IF(('Inputs &amp; Assumptions'!$C$142+2)&gt;'Inputs &amp; Assumptions'!$C$11,'Inputs &amp; Assumptions'!$C$12*(F79-F90),0)))</f>
        <v>0</v>
      </c>
      <c r="G101" s="39" t="n">
        <f aca="false">IF(3&gt;'Inputs &amp; Assumptions'!$E$142,0,IF(3='Inputs &amp; Assumptions'!$E$142,G79-G90,IF(('Inputs &amp; Assumptions'!$C$142+3)&gt;'Inputs &amp; Assumptions'!$C$11,'Inputs &amp; Assumptions'!$C$12*(G79-G90),0)))</f>
        <v>1662604.27092908</v>
      </c>
      <c r="H101" s="39" t="n">
        <f aca="false">IF(4&gt;'Inputs &amp; Assumptions'!$E$142,0,IF(4='Inputs &amp; Assumptions'!$E$142,H79-H90,IF(('Inputs &amp; Assumptions'!$C$142+4)&gt;'Inputs &amp; Assumptions'!$C$11,'Inputs &amp; Assumptions'!$C$12*(H79-H90),0)))</f>
        <v>1553993.73108239</v>
      </c>
      <c r="I101" s="39" t="n">
        <f aca="false">IF(5&gt;'Inputs &amp; Assumptions'!$E$142,0,IF(5='Inputs &amp; Assumptions'!$E$142,I79-I90,IF(('Inputs &amp; Assumptions'!$C$142+5)&gt;'Inputs &amp; Assumptions'!$C$11,'Inputs &amp; Assumptions'!$C$12*(I79-I90),0)))</f>
        <v>1452478.23457949</v>
      </c>
      <c r="J101" s="39" t="n">
        <f aca="false">IF(6&gt;'Inputs &amp; Assumptions'!$E$142,0,IF(6='Inputs &amp; Assumptions'!$E$142,J79-J90,IF(('Inputs &amp; Assumptions'!$C$142+6)&gt;'Inputs &amp; Assumptions'!$C$11,'Inputs &amp; Assumptions'!$C$12*(J79-J90),0)))</f>
        <v>1357594.29380561</v>
      </c>
      <c r="K101" s="39" t="n">
        <f aca="false">IF(7&gt;'Inputs &amp; Assumptions'!$E$142,0,IF(7='Inputs &amp; Assumptions'!$E$142,K79-K90,IF(('Inputs &amp; Assumptions'!$C$142+7)&gt;'Inputs &amp; Assumptions'!$C$11,'Inputs &amp; Assumptions'!$C$12*(K79-K90),0)))</f>
        <v>1270447.85817429</v>
      </c>
      <c r="L101" s="39" t="n">
        <f aca="false">IF(8&gt;'Inputs &amp; Assumptions'!$E$142,0,IF(8='Inputs &amp; Assumptions'!$E$142,L79-L90,IF(('Inputs &amp; Assumptions'!$C$142+8)&gt;'Inputs &amp; Assumptions'!$C$11,'Inputs &amp; Assumptions'!$C$12*(L79-L90),0)))</f>
        <v>1188895.51002396</v>
      </c>
      <c r="M101" s="39" t="n">
        <f aca="false">IF(9&gt;'Inputs &amp; Assumptions'!$E$142,0,IF(9='Inputs &amp; Assumptions'!$E$142,M79-M90,IF(('Inputs &amp; Assumptions'!$C$142+9)&gt;'Inputs &amp; Assumptions'!$C$11,'Inputs &amp; Assumptions'!$C$12*(M79-M90),0)))</f>
        <v>1112578.15475117</v>
      </c>
      <c r="N101" s="39" t="n">
        <f aca="false">IF(10&gt;'Inputs &amp; Assumptions'!$E$142,0,IF(10='Inputs &amp; Assumptions'!$E$142,N79-N90,IF(('Inputs &amp; Assumptions'!$C$142+10)&gt;'Inputs &amp; Assumptions'!$C$11,'Inputs &amp; Assumptions'!$C$12*(N79-N90),0)))</f>
        <v>1041159.74868521</v>
      </c>
      <c r="O101" s="39" t="n">
        <f aca="false">IF(11&gt;'Inputs &amp; Assumptions'!$E$142,0,IF(11='Inputs &amp; Assumptions'!$E$142,O79-O90,IF(('Inputs &amp; Assumptions'!$C$142+11)&gt;'Inputs &amp; Assumptions'!$C$11,'Inputs &amp; Assumptions'!$C$12*(O79-O90),0)))</f>
        <v>976194.793719835</v>
      </c>
      <c r="P101" s="39" t="n">
        <f aca="false">IF(12&gt;'Inputs &amp; Assumptions'!$E$142,0,IF(12='Inputs &amp; Assumptions'!$E$142,P79-P90,IF(('Inputs &amp; Assumptions'!$C$142+12)&gt;'Inputs &amp; Assumptions'!$C$11,'Inputs &amp; Assumptions'!$C$12*(P79-P90),0)))</f>
        <v>915283.438962289</v>
      </c>
      <c r="Q101" s="39" t="n">
        <f aca="false">IF(13&gt;'Inputs &amp; Assumptions'!$E$142,0,IF(13='Inputs &amp; Assumptions'!$E$142,Q79-Q90,IF(('Inputs &amp; Assumptions'!$C$142+13)&gt;'Inputs &amp; Assumptions'!$C$11,'Inputs &amp; Assumptions'!$C$12*(Q79-Q90),0)))</f>
        <v>858172.753048982</v>
      </c>
      <c r="R101" s="39" t="n">
        <f aca="false">IF(14&gt;'Inputs &amp; Assumptions'!$E$142,0,IF(14='Inputs &amp; Assumptions'!$E$142,R79-R90,IF(('Inputs &amp; Assumptions'!$C$142+14)&gt;'Inputs &amp; Assumptions'!$C$11,'Inputs &amp; Assumptions'!$C$12*(R79-R90),0)))</f>
        <v>804625.5867042</v>
      </c>
      <c r="S101" s="39" t="n">
        <f aca="false">IF(15&gt;'Inputs &amp; Assumptions'!$E$142,0,IF(15='Inputs &amp; Assumptions'!$E$142,S79-S90,IF(('Inputs &amp; Assumptions'!$C$142+15)&gt;'Inputs &amp; Assumptions'!$C$11,'Inputs &amp; Assumptions'!$C$12*(S79-S90),0)))</f>
        <v>755692.918108343</v>
      </c>
      <c r="T101" s="39" t="n">
        <f aca="false">IF(16&gt;'Inputs &amp; Assumptions'!$E$142,0,IF(16='Inputs &amp; Assumptions'!$E$142,T79-T90,IF(('Inputs &amp; Assumptions'!$C$142+16)&gt;'Inputs &amp; Assumptions'!$C$11,'Inputs &amp; Assumptions'!$C$12*(T79-T90),0)))</f>
        <v>709736.051047359</v>
      </c>
      <c r="U101" s="39" t="n">
        <f aca="false">IF(17&gt;'Inputs &amp; Assumptions'!$E$142,0,IF(17='Inputs &amp; Assumptions'!$E$142,U79-U90,IF(('Inputs &amp; Assumptions'!$C$142+17)&gt;'Inputs &amp; Assumptions'!$C$11,'Inputs &amp; Assumptions'!$C$12*(U79-U90),0)))</f>
        <v>666574.014504765</v>
      </c>
      <c r="V101" s="39" t="n">
        <f aca="false">IF(18&gt;'Inputs &amp; Assumptions'!$E$142,0,IF(18='Inputs &amp; Assumptions'!$E$142,V79-V90,IF(('Inputs &amp; Assumptions'!$C$142+18)&gt;'Inputs &amp; Assumptions'!$C$11,'Inputs &amp; Assumptions'!$C$12*(V79-V90),0)))</f>
        <v>626036.8430733</v>
      </c>
      <c r="W101" s="39" t="n">
        <f aca="false">IF(19&gt;'Inputs &amp; Assumptions'!$E$142,0,IF(19='Inputs &amp; Assumptions'!$E$142,W79-W90,IF(('Inputs &amp; Assumptions'!$C$142+19)&gt;'Inputs &amp; Assumptions'!$C$11,'Inputs &amp; Assumptions'!$C$12*(W79-W90),0)))</f>
        <v>588630.310691592</v>
      </c>
      <c r="X101" s="39" t="n">
        <f aca="false">IF(20&gt;'Inputs &amp; Assumptions'!$E$142,0,IF(20='Inputs &amp; Assumptions'!$E$142,X79-X90,IF(('Inputs &amp; Assumptions'!$C$142+20)&gt;'Inputs &amp; Assumptions'!$C$11,'Inputs &amp; Assumptions'!$C$12*(X79-X90),0)))</f>
        <v>553458.868273527</v>
      </c>
      <c r="Y101" s="39" t="n">
        <f aca="false">IF(21&gt;'Inputs &amp; Assumptions'!$E$142,0,IF(21='Inputs &amp; Assumptions'!$E$142,Y79-Y90,IF(('Inputs &amp; Assumptions'!$C$142+21)&gt;'Inputs &amp; Assumptions'!$C$11,'Inputs &amp; Assumptions'!$C$12*(Y79-Y90),0)))</f>
        <v>520388.966226895</v>
      </c>
      <c r="Z101" s="39" t="n">
        <f aca="false">IF(22&gt;'Inputs &amp; Assumptions'!$E$142,0,IF(22='Inputs &amp; Assumptions'!$E$142,Z79-Z90,IF(('Inputs &amp; Assumptions'!$C$142+22)&gt;'Inputs &amp; Assumptions'!$C$11,'Inputs &amp; Assumptions'!$C$12*(Z79-Z90),0)))</f>
        <v>489295.034724894</v>
      </c>
      <c r="AA101" s="39" t="n">
        <f aca="false">IF(23&gt;'Inputs &amp; Assumptions'!$E$142,0,IF(23='Inputs &amp; Assumptions'!$E$142,AA79-AA90,IF(('Inputs &amp; Assumptions'!$C$142+23)&gt;'Inputs &amp; Assumptions'!$C$11,'Inputs &amp; Assumptions'!$C$12*(AA79-AA90),0)))</f>
        <v>460532.841794106</v>
      </c>
      <c r="AB101" s="39" t="n">
        <f aca="false">IF(24&gt;'Inputs &amp; Assumptions'!$E$142,0,IF(24='Inputs &amp; Assumptions'!$E$142,AB79-AB90,IF(('Inputs &amp; Assumptions'!$C$142+24)&gt;'Inputs &amp; Assumptions'!$C$11,'Inputs &amp; Assumptions'!$C$12*(AB79-AB90),0)))</f>
        <v>433461.37466979</v>
      </c>
      <c r="AC101" s="39" t="n">
        <f aca="false">IF(25&gt;'Inputs &amp; Assumptions'!$E$142,0,IF(25='Inputs &amp; Assumptions'!$E$142,AC79-AC90,IF(('Inputs &amp; Assumptions'!$C$142+25)&gt;'Inputs &amp; Assumptions'!$C$11,'Inputs &amp; Assumptions'!$C$12*(AC79-AC90),0)))</f>
        <v>407981.247545045</v>
      </c>
      <c r="AD101" s="39" t="n">
        <f aca="false">IF(26&gt;'Inputs &amp; Assumptions'!$E$142,0,IF(26='Inputs &amp; Assumptions'!$E$142,AD79-AD90,IF(('Inputs &amp; Assumptions'!$C$142+26)&gt;'Inputs &amp; Assumptions'!$C$11,'Inputs &amp; Assumptions'!$C$12*(AD79-AD90),0)))</f>
        <v>12799963.8933774</v>
      </c>
      <c r="AE101" s="39" t="n">
        <f aca="false">IF(27&gt;'Inputs &amp; Assumptions'!$E$142,0,IF(27='Inputs &amp; Assumptions'!$E$142,AE79-AE90,IF(('Inputs &amp; Assumptions'!$C$142+27)&gt;'Inputs &amp; Assumptions'!$C$11,'Inputs &amp; Assumptions'!$C$12*(AE79-AE90),0)))</f>
        <v>0</v>
      </c>
      <c r="AF101" s="39" t="n">
        <f aca="false">IF(28&gt;'Inputs &amp; Assumptions'!$E$142,0,IF(28='Inputs &amp; Assumptions'!$E$142,AF79-AF90,IF(('Inputs &amp; Assumptions'!$C$142+28)&gt;'Inputs &amp; Assumptions'!$C$11,'Inputs &amp; Assumptions'!$C$12*(AF79-AF90),0)))</f>
        <v>0</v>
      </c>
      <c r="AG101" s="39" t="n">
        <f aca="false">IF(29&gt;'Inputs &amp; Assumptions'!$E$142,0,IF(29='Inputs &amp; Assumptions'!$E$142,AG79-AG90,IF(('Inputs &amp; Assumptions'!$C$142+29)&gt;'Inputs &amp; Assumptions'!$C$11,'Inputs &amp; Assumptions'!$C$12*(AG79-AG90),0)))</f>
        <v>0</v>
      </c>
      <c r="AH101" s="39" t="n">
        <f aca="false">IF(30&gt;'Inputs &amp; Assumptions'!$E$142,0,IF(30='Inputs &amp; Assumptions'!$E$142,AH79-AH90,IF(('Inputs &amp; Assumptions'!$C$142+30)&gt;'Inputs &amp; Assumptions'!$C$11,'Inputs &amp; Assumptions'!$C$12*(AH79-AH90),0)))</f>
        <v>0</v>
      </c>
      <c r="AI101" s="39" t="n">
        <f aca="false">IF(31&gt;'Inputs &amp; Assumptions'!$E$142,0,IF(31='Inputs &amp; Assumptions'!$E$142,AI79-AI90,IF(('Inputs &amp; Assumptions'!$C$142+31)&gt;'Inputs &amp; Assumptions'!$C$11,'Inputs &amp; Assumptions'!$C$12*(AI79-AI90),0)))</f>
        <v>0</v>
      </c>
      <c r="AJ101" s="39" t="n">
        <f aca="false">IF(32&gt;'Inputs &amp; Assumptions'!$E$142,0,IF(32='Inputs &amp; Assumptions'!$E$142,AJ79-AJ90,IF(('Inputs &amp; Assumptions'!$C$142+32)&gt;'Inputs &amp; Assumptions'!$C$11,'Inputs &amp; Assumptions'!$C$12*(AJ79-AJ90),0)))</f>
        <v>0</v>
      </c>
      <c r="AK101" s="39" t="n">
        <f aca="false">IF(33&gt;'Inputs &amp; Assumptions'!$E$142,0,IF(33='Inputs &amp; Assumptions'!$E$142,AK79-AK90,IF(('Inputs &amp; Assumptions'!$C$142+33)&gt;'Inputs &amp; Assumptions'!$C$11,'Inputs &amp; Assumptions'!$C$12*(AK79-AK90),0)))</f>
        <v>0</v>
      </c>
      <c r="AL101" s="39" t="n">
        <f aca="false">IF(34&gt;'Inputs &amp; Assumptions'!$E$142,0,IF(34='Inputs &amp; Assumptions'!$E$142,AL79-AL90,IF(('Inputs &amp; Assumptions'!$C$142+34)&gt;'Inputs &amp; Assumptions'!$C$11,'Inputs &amp; Assumptions'!$C$12*(AL79-AL90),0)))</f>
        <v>0</v>
      </c>
      <c r="AM101" s="39" t="n">
        <f aca="false">IF(35&gt;'Inputs &amp; Assumptions'!$E$142,0,IF(35='Inputs &amp; Assumptions'!$E$142,AM79-AM90,IF(('Inputs &amp; Assumptions'!$C$142+35)&gt;'Inputs &amp; Assumptions'!$C$11,'Inputs &amp; Assumptions'!$C$12*(AM79-AM90),0)))</f>
        <v>0</v>
      </c>
      <c r="AN101" s="39" t="n">
        <f aca="false">IF(36&gt;'Inputs &amp; Assumptions'!$E$142,0,IF(36='Inputs &amp; Assumptions'!$E$142,AN79-AN90,IF(('Inputs &amp; Assumptions'!$C$142+36)&gt;'Inputs &amp; Assumptions'!$C$11,'Inputs &amp; Assumptions'!$C$12*(AN79-AN90),0)))</f>
        <v>0</v>
      </c>
    </row>
    <row r="102" customFormat="false" ht="15" hidden="false" customHeight="false" outlineLevel="0" collapsed="false">
      <c r="B102" s="37" t="n">
        <v>4</v>
      </c>
      <c r="C102" s="38" t="n">
        <f aca="false">'Inputs &amp; Assumptions'!$C$143</f>
        <v>3</v>
      </c>
      <c r="D102" s="38" t="n">
        <f aca="false">'Inputs &amp; Assumptions'!$D$143</f>
        <v>3</v>
      </c>
      <c r="E102" s="39" t="n">
        <f aca="false">IF(1&gt;'Inputs &amp; Assumptions'!$E$143,0,IF(1='Inputs &amp; Assumptions'!$E$143,E80-E91,IF(('Inputs &amp; Assumptions'!$C$143+1)&gt;'Inputs &amp; Assumptions'!$C$11,'Inputs &amp; Assumptions'!$C$12*(E80-E91),0)))</f>
        <v>0</v>
      </c>
      <c r="F102" s="39" t="n">
        <f aca="false">IF(2&gt;'Inputs &amp; Assumptions'!$E$143,0,IF(2='Inputs &amp; Assumptions'!$E$143,F80-F91,IF(('Inputs &amp; Assumptions'!$C$143+2)&gt;'Inputs &amp; Assumptions'!$C$11,'Inputs &amp; Assumptions'!$C$12*(F80-F91),0)))</f>
        <v>1720658.57432968</v>
      </c>
      <c r="G102" s="39" t="n">
        <f aca="false">IF(3&gt;'Inputs &amp; Assumptions'!$E$143,0,IF(3='Inputs &amp; Assumptions'!$E$143,G80-G91,IF(('Inputs &amp; Assumptions'!$C$143+3)&gt;'Inputs &amp; Assumptions'!$C$11,'Inputs &amp; Assumptions'!$C$12*(G80-G91),0)))</f>
        <v>1608255.60513405</v>
      </c>
      <c r="H102" s="39" t="n">
        <f aca="false">IF(4&gt;'Inputs &amp; Assumptions'!$E$143,0,IF(4='Inputs &amp; Assumptions'!$E$143,H80-H91,IF(('Inputs &amp; Assumptions'!$C$143+4)&gt;'Inputs &amp; Assumptions'!$C$11,'Inputs &amp; Assumptions'!$C$12*(H80-H91),0)))</f>
        <v>1503195.42181847</v>
      </c>
      <c r="I102" s="39" t="n">
        <f aca="false">IF(5&gt;'Inputs &amp; Assumptions'!$E$143,0,IF(5='Inputs &amp; Assumptions'!$E$143,I80-I91,IF(('Inputs &amp; Assumptions'!$C$143+5)&gt;'Inputs &amp; Assumptions'!$C$11,'Inputs &amp; Assumptions'!$C$12*(I80-I91),0)))</f>
        <v>1404998.35285056</v>
      </c>
      <c r="J102" s="39" t="n">
        <f aca="false">IF(6&gt;'Inputs &amp; Assumptions'!$E$143,0,IF(6='Inputs &amp; Assumptions'!$E$143,J80-J91,IF(('Inputs &amp; Assumptions'!$C$143+6)&gt;'Inputs &amp; Assumptions'!$C$11,'Inputs &amp; Assumptions'!$C$12*(J80-J91),0)))</f>
        <v>1314808.96484453</v>
      </c>
      <c r="K102" s="39" t="n">
        <f aca="false">IF(7&gt;'Inputs &amp; Assumptions'!$E$143,0,IF(7='Inputs &amp; Assumptions'!$E$143,K80-K91,IF(('Inputs &amp; Assumptions'!$C$143+7)&gt;'Inputs &amp; Assumptions'!$C$11,'Inputs &amp; Assumptions'!$C$12*(K80-K91),0)))</f>
        <v>1230408.99694167</v>
      </c>
      <c r="L102" s="39" t="n">
        <f aca="false">IF(8&gt;'Inputs &amp; Assumptions'!$E$143,0,IF(8='Inputs &amp; Assumptions'!$E$143,L80-L91,IF(('Inputs &amp; Assumptions'!$C$143+8)&gt;'Inputs &amp; Assumptions'!$C$11,'Inputs &amp; Assumptions'!$C$12*(L80-L91),0)))</f>
        <v>1151426.81578385</v>
      </c>
      <c r="M102" s="39" t="n">
        <f aca="false">IF(9&gt;'Inputs &amp; Assumptions'!$E$143,0,IF(9='Inputs &amp; Assumptions'!$E$143,M80-M91,IF(('Inputs &amp; Assumptions'!$C$143+9)&gt;'Inputs &amp; Assumptions'!$C$11,'Inputs &amp; Assumptions'!$C$12*(M80-M91),0)))</f>
        <v>1077514.64383106</v>
      </c>
      <c r="N102" s="39" t="n">
        <f aca="false">IF(10&gt;'Inputs &amp; Assumptions'!$E$143,0,IF(10='Inputs &amp; Assumptions'!$E$143,N80-N91,IF(('Inputs &amp; Assumptions'!$C$143+10)&gt;'Inputs &amp; Assumptions'!$C$11,'Inputs &amp; Assumptions'!$C$12*(N80-N91),0)))</f>
        <v>1010281.26259498</v>
      </c>
      <c r="O102" s="39" t="n">
        <f aca="false">IF(11&gt;'Inputs &amp; Assumptions'!$E$143,0,IF(11='Inputs &amp; Assumptions'!$E$143,O80-O91,IF(('Inputs &amp; Assumptions'!$C$143+11)&gt;'Inputs &amp; Assumptions'!$C$11,'Inputs &amp; Assumptions'!$C$12*(O80-O91),0)))</f>
        <v>947243.023929174</v>
      </c>
      <c r="P102" s="39" t="n">
        <f aca="false">IF(12&gt;'Inputs &amp; Assumptions'!$E$143,0,IF(12='Inputs &amp; Assumptions'!$E$143,P80-P91,IF(('Inputs &amp; Assumptions'!$C$143+12)&gt;'Inputs &amp; Assumptions'!$C$11,'Inputs &amp; Assumptions'!$C$12*(P80-P91),0)))</f>
        <v>888138.164690681</v>
      </c>
      <c r="Q102" s="39" t="n">
        <f aca="false">IF(13&gt;'Inputs &amp; Assumptions'!$E$143,0,IF(13='Inputs &amp; Assumptions'!$E$143,Q80-Q91,IF(('Inputs &amp; Assumptions'!$C$143+13)&gt;'Inputs &amp; Assumptions'!$C$11,'Inputs &amp; Assumptions'!$C$12*(Q80-Q91),0)))</f>
        <v>832721.254898479</v>
      </c>
      <c r="R102" s="39" t="n">
        <f aca="false">IF(14&gt;'Inputs &amp; Assumptions'!$E$143,0,IF(14='Inputs &amp; Assumptions'!$E$143,R80-R91,IF(('Inputs &amp; Assumptions'!$C$143+14)&gt;'Inputs &amp; Assumptions'!$C$11,'Inputs &amp; Assumptions'!$C$12*(R80-R91),0)))</f>
        <v>782079.970465086</v>
      </c>
      <c r="S102" s="39" t="n">
        <f aca="false">IF(15&gt;'Inputs &amp; Assumptions'!$E$143,0,IF(15='Inputs &amp; Assumptions'!$E$143,S80-S91,IF(('Inputs &amp; Assumptions'!$C$143+15)&gt;'Inputs &amp; Assumptions'!$C$11,'Inputs &amp; Assumptions'!$C$12*(S80-S91),0)))</f>
        <v>734518.395687208</v>
      </c>
      <c r="T102" s="39" t="n">
        <f aca="false">IF(16&gt;'Inputs &amp; Assumptions'!$E$143,0,IF(16='Inputs &amp; Assumptions'!$E$143,T80-T91,IF(('Inputs &amp; Assumptions'!$C$143+16)&gt;'Inputs &amp; Assumptions'!$C$11,'Inputs &amp; Assumptions'!$C$12*(T80-T91),0)))</f>
        <v>689849.240458199</v>
      </c>
      <c r="U102" s="39" t="n">
        <f aca="false">IF(17&gt;'Inputs &amp; Assumptions'!$E$143,0,IF(17='Inputs &amp; Assumptions'!$E$143,U80-U91,IF(('Inputs &amp; Assumptions'!$C$143+17)&gt;'Inputs &amp; Assumptions'!$C$11,'Inputs &amp; Assumptions'!$C$12*(U80-U91),0)))</f>
        <v>647896.6045711</v>
      </c>
      <c r="V102" s="39" t="n">
        <f aca="false">IF(18&gt;'Inputs &amp; Assumptions'!$E$143,0,IF(18='Inputs &amp; Assumptions'!$E$143,V80-V91,IF(('Inputs &amp; Assumptions'!$C$143+18)&gt;'Inputs &amp; Assumptions'!$C$11,'Inputs &amp; Assumptions'!$C$12*(V80-V91),0)))</f>
        <v>609183.922423015</v>
      </c>
      <c r="W102" s="39" t="n">
        <f aca="false">IF(19&gt;'Inputs &amp; Assumptions'!$E$143,0,IF(19='Inputs &amp; Assumptions'!$E$143,W80-W91,IF(('Inputs &amp; Assumptions'!$C$143+19)&gt;'Inputs &amp; Assumptions'!$C$11,'Inputs &amp; Assumptions'!$C$12*(W80-W91),0)))</f>
        <v>572784.374420911</v>
      </c>
      <c r="X102" s="39" t="n">
        <f aca="false">IF(20&gt;'Inputs &amp; Assumptions'!$E$143,0,IF(20='Inputs &amp; Assumptions'!$E$143,X80-X91,IF(('Inputs &amp; Assumptions'!$C$143+20)&gt;'Inputs &amp; Assumptions'!$C$11,'Inputs &amp; Assumptions'!$C$12*(X80-X91),0)))</f>
        <v>538559.747729086</v>
      </c>
      <c r="Y102" s="39" t="n">
        <f aca="false">IF(21&gt;'Inputs &amp; Assumptions'!$E$143,0,IF(21='Inputs &amp; Assumptions'!$E$143,Y80-Y91,IF(('Inputs &amp; Assumptions'!$C$143+21)&gt;'Inputs &amp; Assumptions'!$C$11,'Inputs &amp; Assumptions'!$C$12*(Y80-Y91),0)))</f>
        <v>506380.087912238</v>
      </c>
      <c r="Z102" s="39" t="n">
        <f aca="false">IF(22&gt;'Inputs &amp; Assumptions'!$E$143,0,IF(22='Inputs &amp; Assumptions'!$E$143,Z80-Z91,IF(('Inputs &amp; Assumptions'!$C$143+22)&gt;'Inputs &amp; Assumptions'!$C$11,'Inputs &amp; Assumptions'!$C$12*(Z80-Z91),0)))</f>
        <v>476613.585595225</v>
      </c>
      <c r="AA102" s="39" t="n">
        <f aca="false">IF(23&gt;'Inputs &amp; Assumptions'!$E$143,0,IF(23='Inputs &amp; Assumptions'!$E$143,AA80-AA91,IF(('Inputs &amp; Assumptions'!$C$143+23)&gt;'Inputs &amp; Assumptions'!$C$11,'Inputs &amp; Assumptions'!$C$12*(AA80-AA91),0)))</f>
        <v>448596.845327195</v>
      </c>
      <c r="AB102" s="39" t="n">
        <f aca="false">IF(24&gt;'Inputs &amp; Assumptions'!$E$143,0,IF(24='Inputs &amp; Assumptions'!$E$143,AB80-AB91,IF(('Inputs &amp; Assumptions'!$C$143+24)&gt;'Inputs &amp; Assumptions'!$C$11,'Inputs &amp; Assumptions'!$C$12*(AB80-AB91),0)))</f>
        <v>422227.010978277</v>
      </c>
      <c r="AC102" s="39" t="n">
        <f aca="false">IF(25&gt;'Inputs &amp; Assumptions'!$E$143,0,IF(25='Inputs &amp; Assumptions'!$E$143,AC80-AC91,IF(('Inputs &amp; Assumptions'!$C$143+25)&gt;'Inputs &amp; Assumptions'!$C$11,'Inputs &amp; Assumptions'!$C$12*(AC80-AC91),0)))</f>
        <v>13246909.0867562</v>
      </c>
      <c r="AD102" s="39" t="n">
        <f aca="false">IF(26&gt;'Inputs &amp; Assumptions'!$E$143,0,IF(26='Inputs &amp; Assumptions'!$E$143,AD80-AD91,IF(('Inputs &amp; Assumptions'!$C$143+26)&gt;'Inputs &amp; Assumptions'!$C$11,'Inputs &amp; Assumptions'!$C$12*(AD80-AD91),0)))</f>
        <v>0</v>
      </c>
      <c r="AE102" s="39" t="n">
        <f aca="false">IF(27&gt;'Inputs &amp; Assumptions'!$E$143,0,IF(27='Inputs &amp; Assumptions'!$E$143,AE80-AE91,IF(('Inputs &amp; Assumptions'!$C$143+27)&gt;'Inputs &amp; Assumptions'!$C$11,'Inputs &amp; Assumptions'!$C$12*(AE80-AE91),0)))</f>
        <v>0</v>
      </c>
      <c r="AF102" s="39" t="n">
        <f aca="false">IF(28&gt;'Inputs &amp; Assumptions'!$E$143,0,IF(28='Inputs &amp; Assumptions'!$E$143,AF80-AF91,IF(('Inputs &amp; Assumptions'!$C$143+28)&gt;'Inputs &amp; Assumptions'!$C$11,'Inputs &amp; Assumptions'!$C$12*(AF80-AF91),0)))</f>
        <v>0</v>
      </c>
      <c r="AG102" s="39" t="n">
        <f aca="false">IF(29&gt;'Inputs &amp; Assumptions'!$E$143,0,IF(29='Inputs &amp; Assumptions'!$E$143,AG80-AG91,IF(('Inputs &amp; Assumptions'!$C$143+29)&gt;'Inputs &amp; Assumptions'!$C$11,'Inputs &amp; Assumptions'!$C$12*(AG80-AG91),0)))</f>
        <v>0</v>
      </c>
      <c r="AH102" s="39" t="n">
        <f aca="false">IF(30&gt;'Inputs &amp; Assumptions'!$E$143,0,IF(30='Inputs &amp; Assumptions'!$E$143,AH80-AH91,IF(('Inputs &amp; Assumptions'!$C$143+30)&gt;'Inputs &amp; Assumptions'!$C$11,'Inputs &amp; Assumptions'!$C$12*(AH80-AH91),0)))</f>
        <v>0</v>
      </c>
      <c r="AI102" s="39" t="n">
        <f aca="false">IF(31&gt;'Inputs &amp; Assumptions'!$E$143,0,IF(31='Inputs &amp; Assumptions'!$E$143,AI80-AI91,IF(('Inputs &amp; Assumptions'!$C$143+31)&gt;'Inputs &amp; Assumptions'!$C$11,'Inputs &amp; Assumptions'!$C$12*(AI80-AI91),0)))</f>
        <v>0</v>
      </c>
      <c r="AJ102" s="39" t="n">
        <f aca="false">IF(32&gt;'Inputs &amp; Assumptions'!$E$143,0,IF(32='Inputs &amp; Assumptions'!$E$143,AJ80-AJ91,IF(('Inputs &amp; Assumptions'!$C$143+32)&gt;'Inputs &amp; Assumptions'!$C$11,'Inputs &amp; Assumptions'!$C$12*(AJ80-AJ91),0)))</f>
        <v>0</v>
      </c>
      <c r="AK102" s="39" t="n">
        <f aca="false">IF(33&gt;'Inputs &amp; Assumptions'!$E$143,0,IF(33='Inputs &amp; Assumptions'!$E$143,AK80-AK91,IF(('Inputs &amp; Assumptions'!$C$143+33)&gt;'Inputs &amp; Assumptions'!$C$11,'Inputs &amp; Assumptions'!$C$12*(AK80-AK91),0)))</f>
        <v>0</v>
      </c>
      <c r="AL102" s="39" t="n">
        <f aca="false">IF(34&gt;'Inputs &amp; Assumptions'!$E$143,0,IF(34='Inputs &amp; Assumptions'!$E$143,AL80-AL91,IF(('Inputs &amp; Assumptions'!$C$143+34)&gt;'Inputs &amp; Assumptions'!$C$11,'Inputs &amp; Assumptions'!$C$12*(AL80-AL91),0)))</f>
        <v>0</v>
      </c>
      <c r="AM102" s="39" t="n">
        <f aca="false">IF(35&gt;'Inputs &amp; Assumptions'!$E$143,0,IF(35='Inputs &amp; Assumptions'!$E$143,AM80-AM91,IF(('Inputs &amp; Assumptions'!$C$143+35)&gt;'Inputs &amp; Assumptions'!$C$11,'Inputs &amp; Assumptions'!$C$12*(AM80-AM91),0)))</f>
        <v>0</v>
      </c>
      <c r="AN102" s="39" t="n">
        <f aca="false">IF(36&gt;'Inputs &amp; Assumptions'!$E$143,0,IF(36='Inputs &amp; Assumptions'!$E$143,AN80-AN91,IF(('Inputs &amp; Assumptions'!$C$143+36)&gt;'Inputs &amp; Assumptions'!$C$11,'Inputs &amp; Assumptions'!$C$12*(AN80-AN91),0)))</f>
        <v>0</v>
      </c>
    </row>
    <row r="103" customFormat="false" ht="15" hidden="false" customHeight="false" outlineLevel="0" collapsed="false">
      <c r="B103" s="37" t="n">
        <v>5</v>
      </c>
      <c r="C103" s="38" t="n">
        <f aca="false">'Inputs &amp; Assumptions'!$C$144</f>
        <v>4</v>
      </c>
      <c r="D103" s="38" t="n">
        <f aca="false">'Inputs &amp; Assumptions'!$D$144</f>
        <v>3</v>
      </c>
      <c r="E103" s="39" t="n">
        <f aca="false">IF(1&gt;'Inputs &amp; Assumptions'!$E$144,0,IF(1='Inputs &amp; Assumptions'!$E$144,E81-E92,IF(('Inputs &amp; Assumptions'!$C$144+1)&gt;'Inputs &amp; Assumptions'!$C$11,'Inputs &amp; Assumptions'!$C$12*(E81-E92),0)))</f>
        <v>1780740</v>
      </c>
      <c r="F103" s="39" t="n">
        <f aca="false">IF(2&gt;'Inputs &amp; Assumptions'!$E$144,0,IF(2='Inputs &amp; Assumptions'!$E$144,F81-F92,IF(('Inputs &amp; Assumptions'!$C$144+2)&gt;'Inputs &amp; Assumptions'!$C$11,'Inputs &amp; Assumptions'!$C$12*(F81-F92),0)))</f>
        <v>1664412.1785765</v>
      </c>
      <c r="G103" s="39" t="n">
        <f aca="false">IF(3&gt;'Inputs &amp; Assumptions'!$E$144,0,IF(3='Inputs &amp; Assumptions'!$E$144,G81-G92,IF(('Inputs &amp; Assumptions'!$C$144+3)&gt;'Inputs &amp; Assumptions'!$C$11,'Inputs &amp; Assumptions'!$C$12*(G81-G92),0)))</f>
        <v>1555683.53616686</v>
      </c>
      <c r="H103" s="39" t="n">
        <f aca="false">IF(4&gt;'Inputs &amp; Assumptions'!$E$144,0,IF(4='Inputs &amp; Assumptions'!$E$144,H81-H92,IF(('Inputs &amp; Assumptions'!$C$144+4)&gt;'Inputs &amp; Assumptions'!$C$11,'Inputs &amp; Assumptions'!$C$12*(H81-H92),0)))</f>
        <v>1454057.65221598</v>
      </c>
      <c r="I103" s="39" t="n">
        <f aca="false">IF(5&gt;'Inputs &amp; Assumptions'!$E$144,0,IF(5='Inputs &amp; Assumptions'!$E$144,I81-I92,IF(('Inputs &amp; Assumptions'!$C$144+5)&gt;'Inputs &amp; Assumptions'!$C$11,'Inputs &amp; Assumptions'!$C$12*(I81-I92),0)))</f>
        <v>1360719.05896228</v>
      </c>
      <c r="J103" s="39" t="n">
        <f aca="false">IF(6&gt;'Inputs &amp; Assumptions'!$E$144,0,IF(6='Inputs &amp; Assumptions'!$E$144,J81-J92,IF(('Inputs &amp; Assumptions'!$C$144+6)&gt;'Inputs &amp; Assumptions'!$C$11,'Inputs &amp; Assumptions'!$C$12*(J81-J92),0)))</f>
        <v>1273372.03899819</v>
      </c>
      <c r="K103" s="39" t="n">
        <f aca="false">IF(7&gt;'Inputs &amp; Assumptions'!$E$144,0,IF(7='Inputs &amp; Assumptions'!$E$144,K81-K92,IF(('Inputs &amp; Assumptions'!$C$144+7)&gt;'Inputs &amp; Assumptions'!$C$11,'Inputs &amp; Assumptions'!$C$12*(K81-K92),0)))</f>
        <v>1191631.98238657</v>
      </c>
      <c r="L103" s="39" t="n">
        <f aca="false">IF(8&gt;'Inputs &amp; Assumptions'!$E$144,0,IF(8='Inputs &amp; Assumptions'!$E$144,L81-L92,IF(('Inputs &amp; Assumptions'!$C$144+8)&gt;'Inputs &amp; Assumptions'!$C$11,'Inputs &amp; Assumptions'!$C$12*(L81-L92),0)))</f>
        <v>1115138.96799847</v>
      </c>
      <c r="M103" s="39" t="n">
        <f aca="false">IF(9&gt;'Inputs &amp; Assumptions'!$E$144,0,IF(9='Inputs &amp; Assumptions'!$E$144,M81-M92,IF(('Inputs &amp; Assumptions'!$C$144+9)&gt;'Inputs &amp; Assumptions'!$C$11,'Inputs &amp; Assumptions'!$C$12*(M81-M92),0)))</f>
        <v>1045557.95228245</v>
      </c>
      <c r="N103" s="39" t="n">
        <f aca="false">IF(10&gt;'Inputs &amp; Assumptions'!$E$144,0,IF(10='Inputs &amp; Assumptions'!$E$144,N81-N92,IF(('Inputs &amp; Assumptions'!$C$144+10)&gt;'Inputs &amp; Assumptions'!$C$11,'Inputs &amp; Assumptions'!$C$12*(N81-N92),0)))</f>
        <v>980318.563831739</v>
      </c>
      <c r="O103" s="39" t="n">
        <f aca="false">IF(11&gt;'Inputs &amp; Assumptions'!$E$144,0,IF(11='Inputs &amp; Assumptions'!$E$144,O81-O92,IF(('Inputs &amp; Assumptions'!$C$144+11)&gt;'Inputs &amp; Assumptions'!$C$11,'Inputs &amp; Assumptions'!$C$12*(O81-O92),0)))</f>
        <v>919149.899338635</v>
      </c>
      <c r="P103" s="39" t="n">
        <f aca="false">IF(12&gt;'Inputs &amp; Assumptions'!$E$144,0,IF(12='Inputs &amp; Assumptions'!$E$144,P81-P92,IF(('Inputs &amp; Assumptions'!$C$144+12)&gt;'Inputs &amp; Assumptions'!$C$11,'Inputs &amp; Assumptions'!$C$12*(P81-P92),0)))</f>
        <v>861797.958973702</v>
      </c>
      <c r="Q103" s="39" t="n">
        <f aca="false">IF(13&gt;'Inputs &amp; Assumptions'!$E$144,0,IF(13='Inputs &amp; Assumptions'!$E$144,Q81-Q92,IF(('Inputs &amp; Assumptions'!$C$144+13)&gt;'Inputs &amp; Assumptions'!$C$11,'Inputs &amp; Assumptions'!$C$12*(Q81-Q92),0)))</f>
        <v>809388.397781673</v>
      </c>
      <c r="R103" s="39" t="n">
        <f aca="false">IF(14&gt;'Inputs &amp; Assumptions'!$E$144,0,IF(14='Inputs &amp; Assumptions'!$E$144,R81-R92,IF(('Inputs &amp; Assumptions'!$C$144+14)&gt;'Inputs &amp; Assumptions'!$C$11,'Inputs &amp; Assumptions'!$C$12*(R81-R92),0)))</f>
        <v>760166.082597528</v>
      </c>
      <c r="S103" s="39" t="n">
        <f aca="false">IF(15&gt;'Inputs &amp; Assumptions'!$E$144,0,IF(15='Inputs &amp; Assumptions'!$E$144,S81-S92,IF(('Inputs &amp; Assumptions'!$C$144+15)&gt;'Inputs &amp; Assumptions'!$C$11,'Inputs &amp; Assumptions'!$C$12*(S81-S92),0)))</f>
        <v>713937.183576411</v>
      </c>
      <c r="T103" s="39" t="n">
        <f aca="false">IF(16&gt;'Inputs &amp; Assumptions'!$E$144,0,IF(16='Inputs &amp; Assumptions'!$E$144,T81-T92,IF(('Inputs &amp; Assumptions'!$C$144+16)&gt;'Inputs &amp; Assumptions'!$C$11,'Inputs &amp; Assumptions'!$C$12*(T81-T92),0)))</f>
        <v>670519.658482163</v>
      </c>
      <c r="U103" s="39" t="n">
        <f aca="false">IF(17&gt;'Inputs &amp; Assumptions'!$E$144,0,IF(17='Inputs &amp; Assumptions'!$E$144,U81-U92,IF(('Inputs &amp; Assumptions'!$C$144+17)&gt;'Inputs &amp; Assumptions'!$C$11,'Inputs &amp; Assumptions'!$C$12*(U81-U92),0)))</f>
        <v>630455.218832805</v>
      </c>
      <c r="V103" s="39" t="n">
        <f aca="false">IF(18&gt;'Inputs &amp; Assumptions'!$E$144,0,IF(18='Inputs &amp; Assumptions'!$E$144,V81-V92,IF(('Inputs &amp; Assumptions'!$C$144+18)&gt;'Inputs &amp; Assumptions'!$C$11,'Inputs &amp; Assumptions'!$C$12*(V81-V92),0)))</f>
        <v>592784.682634467</v>
      </c>
      <c r="W103" s="39" t="n">
        <f aca="false">IF(19&gt;'Inputs &amp; Assumptions'!$E$144,0,IF(19='Inputs &amp; Assumptions'!$E$144,W81-W92,IF(('Inputs &amp; Assumptions'!$C$144+19)&gt;'Inputs &amp; Assumptions'!$C$11,'Inputs &amp; Assumptions'!$C$12*(W81-W92),0)))</f>
        <v>557365.010978257</v>
      </c>
      <c r="X103" s="39" t="n">
        <f aca="false">IF(20&gt;'Inputs &amp; Assumptions'!$E$144,0,IF(20='Inputs &amp; Assumptions'!$E$144,X81-X92,IF(('Inputs &amp; Assumptions'!$C$144+20)&gt;'Inputs &amp; Assumptions'!$C$11,'Inputs &amp; Assumptions'!$C$12*(X81-X92),0)))</f>
        <v>524061.711719961</v>
      </c>
      <c r="Y103" s="39" t="n">
        <f aca="false">IF(21&gt;'Inputs &amp; Assumptions'!$E$144,0,IF(21='Inputs &amp; Assumptions'!$E$144,Y81-Y92,IF(('Inputs &amp; Assumptions'!$C$144+21)&gt;'Inputs &amp; Assumptions'!$C$11,'Inputs &amp; Assumptions'!$C$12*(Y81-Y92),0)))</f>
        <v>493255.831851175</v>
      </c>
      <c r="Z103" s="39" t="n">
        <f aca="false">IF(22&gt;'Inputs &amp; Assumptions'!$E$144,0,IF(22='Inputs &amp; Assumptions'!$E$144,Z81-Z92,IF(('Inputs &amp; Assumptions'!$C$144+22)&gt;'Inputs &amp; Assumptions'!$C$11,'Inputs &amp; Assumptions'!$C$12*(Z81-Z92),0)))</f>
        <v>464260.811683197</v>
      </c>
      <c r="AA103" s="39" t="n">
        <f aca="false">IF(23&gt;'Inputs &amp; Assumptions'!$E$144,0,IF(23='Inputs &amp; Assumptions'!$E$144,AA81-AA92,IF(('Inputs &amp; Assumptions'!$C$144+23)&gt;'Inputs &amp; Assumptions'!$C$11,'Inputs &amp; Assumptions'!$C$12*(AA81-AA92),0)))</f>
        <v>436970.203587523</v>
      </c>
      <c r="AB103" s="39" t="n">
        <f aca="false">IF(24&gt;'Inputs &amp; Assumptions'!$E$144,0,IF(24='Inputs &amp; Assumptions'!$E$144,AB81-AB92,IF(('Inputs &amp; Assumptions'!$C$144+24)&gt;'Inputs &amp; Assumptions'!$C$11,'Inputs &amp; Assumptions'!$C$12*(AB81-AB92),0)))</f>
        <v>13709460.5746175</v>
      </c>
      <c r="AC103" s="39" t="n">
        <f aca="false">IF(25&gt;'Inputs &amp; Assumptions'!$E$144,0,IF(25='Inputs &amp; Assumptions'!$E$144,AC81-AC92,IF(('Inputs &amp; Assumptions'!$C$144+25)&gt;'Inputs &amp; Assumptions'!$C$11,'Inputs &amp; Assumptions'!$C$12*(AC81-AC92),0)))</f>
        <v>0</v>
      </c>
      <c r="AD103" s="39" t="n">
        <f aca="false">IF(26&gt;'Inputs &amp; Assumptions'!$E$144,0,IF(26='Inputs &amp; Assumptions'!$E$144,AD81-AD92,IF(('Inputs &amp; Assumptions'!$C$144+26)&gt;'Inputs &amp; Assumptions'!$C$11,'Inputs &amp; Assumptions'!$C$12*(AD81-AD92),0)))</f>
        <v>0</v>
      </c>
      <c r="AE103" s="39" t="n">
        <f aca="false">IF(27&gt;'Inputs &amp; Assumptions'!$E$144,0,IF(27='Inputs &amp; Assumptions'!$E$144,AE81-AE92,IF(('Inputs &amp; Assumptions'!$C$144+27)&gt;'Inputs &amp; Assumptions'!$C$11,'Inputs &amp; Assumptions'!$C$12*(AE81-AE92),0)))</f>
        <v>0</v>
      </c>
      <c r="AF103" s="39" t="n">
        <f aca="false">IF(28&gt;'Inputs &amp; Assumptions'!$E$144,0,IF(28='Inputs &amp; Assumptions'!$E$144,AF81-AF92,IF(('Inputs &amp; Assumptions'!$C$144+28)&gt;'Inputs &amp; Assumptions'!$C$11,'Inputs &amp; Assumptions'!$C$12*(AF81-AF92),0)))</f>
        <v>0</v>
      </c>
      <c r="AG103" s="39" t="n">
        <f aca="false">IF(29&gt;'Inputs &amp; Assumptions'!$E$144,0,IF(29='Inputs &amp; Assumptions'!$E$144,AG81-AG92,IF(('Inputs &amp; Assumptions'!$C$144+29)&gt;'Inputs &amp; Assumptions'!$C$11,'Inputs &amp; Assumptions'!$C$12*(AG81-AG92),0)))</f>
        <v>0</v>
      </c>
      <c r="AH103" s="39" t="n">
        <f aca="false">IF(30&gt;'Inputs &amp; Assumptions'!$E$144,0,IF(30='Inputs &amp; Assumptions'!$E$144,AH81-AH92,IF(('Inputs &amp; Assumptions'!$C$144+30)&gt;'Inputs &amp; Assumptions'!$C$11,'Inputs &amp; Assumptions'!$C$12*(AH81-AH92),0)))</f>
        <v>0</v>
      </c>
      <c r="AI103" s="39" t="n">
        <f aca="false">IF(31&gt;'Inputs &amp; Assumptions'!$E$144,0,IF(31='Inputs &amp; Assumptions'!$E$144,AI81-AI92,IF(('Inputs &amp; Assumptions'!$C$144+31)&gt;'Inputs &amp; Assumptions'!$C$11,'Inputs &amp; Assumptions'!$C$12*(AI81-AI92),0)))</f>
        <v>0</v>
      </c>
      <c r="AJ103" s="39" t="n">
        <f aca="false">IF(32&gt;'Inputs &amp; Assumptions'!$E$144,0,IF(32='Inputs &amp; Assumptions'!$E$144,AJ81-AJ92,IF(('Inputs &amp; Assumptions'!$C$144+32)&gt;'Inputs &amp; Assumptions'!$C$11,'Inputs &amp; Assumptions'!$C$12*(AJ81-AJ92),0)))</f>
        <v>0</v>
      </c>
      <c r="AK103" s="39" t="n">
        <f aca="false">IF(33&gt;'Inputs &amp; Assumptions'!$E$144,0,IF(33='Inputs &amp; Assumptions'!$E$144,AK81-AK92,IF(('Inputs &amp; Assumptions'!$C$144+33)&gt;'Inputs &amp; Assumptions'!$C$11,'Inputs &amp; Assumptions'!$C$12*(AK81-AK92),0)))</f>
        <v>0</v>
      </c>
      <c r="AL103" s="39" t="n">
        <f aca="false">IF(34&gt;'Inputs &amp; Assumptions'!$E$144,0,IF(34='Inputs &amp; Assumptions'!$E$144,AL81-AL92,IF(('Inputs &amp; Assumptions'!$C$144+34)&gt;'Inputs &amp; Assumptions'!$C$11,'Inputs &amp; Assumptions'!$C$12*(AL81-AL92),0)))</f>
        <v>0</v>
      </c>
      <c r="AM103" s="39" t="n">
        <f aca="false">IF(35&gt;'Inputs &amp; Assumptions'!$E$144,0,IF(35='Inputs &amp; Assumptions'!$E$144,AM81-AM92,IF(('Inputs &amp; Assumptions'!$C$144+35)&gt;'Inputs &amp; Assumptions'!$C$11,'Inputs &amp; Assumptions'!$C$12*(AM81-AM92),0)))</f>
        <v>0</v>
      </c>
      <c r="AN103" s="39" t="n">
        <f aca="false">IF(36&gt;'Inputs &amp; Assumptions'!$E$144,0,IF(36='Inputs &amp; Assumptions'!$E$144,AN81-AN92,IF(('Inputs &amp; Assumptions'!$C$144+36)&gt;'Inputs &amp; Assumptions'!$C$11,'Inputs &amp; Assumptions'!$C$12*(AN81-AN92),0)))</f>
        <v>0</v>
      </c>
    </row>
    <row r="104" customFormat="false" ht="15" hidden="false" customHeight="false" outlineLevel="0" collapsed="false">
      <c r="B104" s="37" t="n">
        <v>6</v>
      </c>
      <c r="C104" s="38" t="n">
        <f aca="false">'Inputs &amp; Assumptions'!$C$145</f>
        <v>5</v>
      </c>
      <c r="D104" s="38" t="n">
        <f aca="false">'Inputs &amp; Assumptions'!$D$145</f>
        <v>3</v>
      </c>
      <c r="E104" s="39" t="n">
        <f aca="false">IF(1&gt;'Inputs &amp; Assumptions'!$E$145,0,IF(1='Inputs &amp; Assumptions'!$E$145,E82-E93,IF(('Inputs &amp; Assumptions'!$C$145+1)&gt;'Inputs &amp; Assumptions'!$C$11,'Inputs &amp; Assumptions'!$C$12*(E82-E93),0)))</f>
        <v>1727317.8</v>
      </c>
      <c r="F104" s="39" t="n">
        <f aca="false">IF(2&gt;'Inputs &amp; Assumptions'!$E$145,0,IF(2='Inputs &amp; Assumptions'!$E$145,F82-F93,IF(('Inputs &amp; Assumptions'!$C$145+2)&gt;'Inputs &amp; Assumptions'!$C$11,'Inputs &amp; Assumptions'!$C$12*(F82-F93),0)))</f>
        <v>1614479.81321921</v>
      </c>
      <c r="G104" s="39" t="n">
        <f aca="false">IF(3&gt;'Inputs &amp; Assumptions'!$E$145,0,IF(3='Inputs &amp; Assumptions'!$E$145,G82-G93,IF(('Inputs &amp; Assumptions'!$C$145+3)&gt;'Inputs &amp; Assumptions'!$C$11,'Inputs &amp; Assumptions'!$C$12*(G82-G93),0)))</f>
        <v>1509013.03008186</v>
      </c>
      <c r="H104" s="39" t="n">
        <f aca="false">IF(4&gt;'Inputs &amp; Assumptions'!$E$145,0,IF(4='Inputs &amp; Assumptions'!$E$145,H82-H93,IF(('Inputs &amp; Assumptions'!$C$145+4)&gt;'Inputs &amp; Assumptions'!$C$11,'Inputs &amp; Assumptions'!$C$12*(H82-H93),0)))</f>
        <v>1412146.75162674</v>
      </c>
      <c r="I104" s="39" t="n">
        <f aca="false">IF(5&gt;'Inputs &amp; Assumptions'!$E$145,0,IF(5='Inputs &amp; Assumptions'!$E$145,I82-I93,IF(('Inputs &amp; Assumptions'!$C$145+5)&gt;'Inputs &amp; Assumptions'!$C$11,'Inputs &amp; Assumptions'!$C$12*(I82-I93),0)))</f>
        <v>1321498.49496116</v>
      </c>
      <c r="J104" s="39" t="n">
        <f aca="false">IF(6&gt;'Inputs &amp; Assumptions'!$E$145,0,IF(6='Inputs &amp; Assumptions'!$E$145,J82-J93,IF(('Inputs &amp; Assumptions'!$C$145+6)&gt;'Inputs &amp; Assumptions'!$C$11,'Inputs &amp; Assumptions'!$C$12*(J82-J93),0)))</f>
        <v>1236669.11400877</v>
      </c>
      <c r="K104" s="39" t="n">
        <f aca="false">IF(7&gt;'Inputs &amp; Assumptions'!$E$145,0,IF(7='Inputs &amp; Assumptions'!$E$145,K82-K93,IF(('Inputs &amp; Assumptions'!$C$145+7)&gt;'Inputs &amp; Assumptions'!$C$11,'Inputs &amp; Assumptions'!$C$12*(K82-K93),0)))</f>
        <v>1157285.08460253</v>
      </c>
      <c r="L104" s="39" t="n">
        <f aca="false">IF(8&gt;'Inputs &amp; Assumptions'!$E$145,0,IF(8='Inputs &amp; Assumptions'!$E$145,L82-L93,IF(('Inputs &amp; Assumptions'!$C$145+8)&gt;'Inputs &amp; Assumptions'!$C$11,'Inputs &amp; Assumptions'!$C$12*(L82-L93),0)))</f>
        <v>1085074.28938283</v>
      </c>
      <c r="M104" s="39" t="n">
        <f aca="false">IF(9&gt;'Inputs &amp; Assumptions'!$E$145,0,IF(9='Inputs &amp; Assumptions'!$E$145,M82-M93,IF(('Inputs &amp; Assumptions'!$C$145+9)&gt;'Inputs &amp; Assumptions'!$C$11,'Inputs &amp; Assumptions'!$C$12*(M82-M93),0)))</f>
        <v>1017369.21104796</v>
      </c>
      <c r="N104" s="39" t="n">
        <f aca="false">IF(10&gt;'Inputs &amp; Assumptions'!$E$145,0,IF(10='Inputs &amp; Assumptions'!$E$145,N82-N93,IF(('Inputs &amp; Assumptions'!$C$145+10)&gt;'Inputs &amp; Assumptions'!$C$11,'Inputs &amp; Assumptions'!$C$12*(N82-N93),0)))</f>
        <v>953888.707635924</v>
      </c>
      <c r="O104" s="39" t="n">
        <f aca="false">IF(11&gt;'Inputs &amp; Assumptions'!$E$145,0,IF(11='Inputs &amp; Assumptions'!$E$145,O82-O93,IF(('Inputs &amp; Assumptions'!$C$145+11)&gt;'Inputs &amp; Assumptions'!$C$11,'Inputs &amp; Assumptions'!$C$12*(O82-O93),0)))</f>
        <v>894369.179521431</v>
      </c>
      <c r="P104" s="39" t="n">
        <f aca="false">IF(12&gt;'Inputs &amp; Assumptions'!$E$145,0,IF(12='Inputs &amp; Assumptions'!$E$145,P82-P93,IF(('Inputs &amp; Assumptions'!$C$145+12)&gt;'Inputs &amp; Assumptions'!$C$11,'Inputs &amp; Assumptions'!$C$12*(P82-P93),0)))</f>
        <v>839978.825315657</v>
      </c>
      <c r="Q104" s="39" t="n">
        <f aca="false">IF(13&gt;'Inputs &amp; Assumptions'!$E$145,0,IF(13='Inputs &amp; Assumptions'!$E$145,Q82-Q93,IF(('Inputs &amp; Assumptions'!$C$145+13)&gt;'Inputs &amp; Assumptions'!$C$11,'Inputs &amp; Assumptions'!$C$12*(Q82-Q93),0)))</f>
        <v>788896.177478088</v>
      </c>
      <c r="R104" s="39" t="n">
        <f aca="false">IF(14&gt;'Inputs &amp; Assumptions'!$E$145,0,IF(14='Inputs &amp; Assumptions'!$E$145,R82-R93,IF(('Inputs &amp; Assumptions'!$C$145+14)&gt;'Inputs &amp; Assumptions'!$C$11,'Inputs &amp; Assumptions'!$C$12*(R82-R93),0)))</f>
        <v>740920.080462341</v>
      </c>
      <c r="S104" s="39" t="n">
        <f aca="false">IF(15&gt;'Inputs &amp; Assumptions'!$E$145,0,IF(15='Inputs &amp; Assumptions'!$E$145,S82-S93,IF(('Inputs &amp; Assumptions'!$C$145+15)&gt;'Inputs &amp; Assumptions'!$C$11,'Inputs &amp; Assumptions'!$C$12*(S82-S93),0)))</f>
        <v>695861.61183747</v>
      </c>
      <c r="T104" s="39" t="n">
        <f aca="false">IF(16&gt;'Inputs &amp; Assumptions'!$E$145,0,IF(16='Inputs &amp; Assumptions'!$E$145,T82-T93,IF(('Inputs &amp; Assumptions'!$C$145+16)&gt;'Inputs &amp; Assumptions'!$C$11,'Inputs &amp; Assumptions'!$C$12*(T82-T93),0)))</f>
        <v>654282.95683595</v>
      </c>
      <c r="U104" s="39" t="n">
        <f aca="false">IF(17&gt;'Inputs &amp; Assumptions'!$E$145,0,IF(17='Inputs &amp; Assumptions'!$E$145,U82-U93,IF(('Inputs &amp; Assumptions'!$C$145+17)&gt;'Inputs &amp; Assumptions'!$C$11,'Inputs &amp; Assumptions'!$C$12*(U82-U93),0)))</f>
        <v>615188.681662726</v>
      </c>
      <c r="V104" s="39" t="n">
        <f aca="false">IF(18&gt;'Inputs &amp; Assumptions'!$E$145,0,IF(18='Inputs &amp; Assumptions'!$E$145,V82-V93,IF(('Inputs &amp; Assumptions'!$C$145+18)&gt;'Inputs &amp; Assumptions'!$C$11,'Inputs &amp; Assumptions'!$C$12*(V82-V93),0)))</f>
        <v>578430.341325267</v>
      </c>
      <c r="W104" s="39" t="n">
        <f aca="false">IF(19&gt;'Inputs &amp; Assumptions'!$E$145,0,IF(19='Inputs &amp; Assumptions'!$E$145,W82-W93,IF(('Inputs &amp; Assumptions'!$C$145+19)&gt;'Inputs &amp; Assumptions'!$C$11,'Inputs &amp; Assumptions'!$C$12*(W82-W93),0)))</f>
        <v>543868.36061639</v>
      </c>
      <c r="X104" s="39" t="n">
        <f aca="false">IF(20&gt;'Inputs &amp; Assumptions'!$E$145,0,IF(20='Inputs &amp; Assumptions'!$E$145,X82-X93,IF(('Inputs &amp; Assumptions'!$C$145+20)&gt;'Inputs &amp; Assumptions'!$C$11,'Inputs &amp; Assumptions'!$C$12*(X82-X93),0)))</f>
        <v>511898.188007148</v>
      </c>
      <c r="Y104" s="39" t="n">
        <f aca="false">IF(21&gt;'Inputs &amp; Assumptions'!$E$145,0,IF(21='Inputs &amp; Assumptions'!$E$145,Y82-Y93,IF(('Inputs &amp; Assumptions'!$C$145+21)&gt;'Inputs &amp; Assumptions'!$C$11,'Inputs &amp; Assumptions'!$C$12*(Y82-Y93),0)))</f>
        <v>481807.315630606</v>
      </c>
      <c r="Z104" s="39" t="n">
        <f aca="false">IF(22&gt;'Inputs &amp; Assumptions'!$E$145,0,IF(22='Inputs &amp; Assumptions'!$E$145,Z82-Z93,IF(('Inputs &amp; Assumptions'!$C$145+22)&gt;'Inputs &amp; Assumptions'!$C$11,'Inputs &amp; Assumptions'!$C$12*(Z82-Z93),0)))</f>
        <v>453485.272723663</v>
      </c>
      <c r="AA104" s="39" t="n">
        <f aca="false">IF(23&gt;'Inputs &amp; Assumptions'!$E$145,0,IF(23='Inputs &amp; Assumptions'!$E$145,AA82-AA93,IF(('Inputs &amp; Assumptions'!$C$145+23)&gt;'Inputs &amp; Assumptions'!$C$11,'Inputs &amp; Assumptions'!$C$12*(AA82-AA93),0)))</f>
        <v>14227602.7439237</v>
      </c>
      <c r="AB104" s="39" t="n">
        <f aca="false">IF(24&gt;'Inputs &amp; Assumptions'!$E$145,0,IF(24='Inputs &amp; Assumptions'!$E$145,AB82-AB93,IF(('Inputs &amp; Assumptions'!$C$145+24)&gt;'Inputs &amp; Assumptions'!$C$11,'Inputs &amp; Assumptions'!$C$12*(AB82-AB93),0)))</f>
        <v>0</v>
      </c>
      <c r="AC104" s="39" t="n">
        <f aca="false">IF(25&gt;'Inputs &amp; Assumptions'!$E$145,0,IF(25='Inputs &amp; Assumptions'!$E$145,AC82-AC93,IF(('Inputs &amp; Assumptions'!$C$145+25)&gt;'Inputs &amp; Assumptions'!$C$11,'Inputs &amp; Assumptions'!$C$12*(AC82-AC93),0)))</f>
        <v>0</v>
      </c>
      <c r="AD104" s="39" t="n">
        <f aca="false">IF(26&gt;'Inputs &amp; Assumptions'!$E$145,0,IF(26='Inputs &amp; Assumptions'!$E$145,AD82-AD93,IF(('Inputs &amp; Assumptions'!$C$145+26)&gt;'Inputs &amp; Assumptions'!$C$11,'Inputs &amp; Assumptions'!$C$12*(AD82-AD93),0)))</f>
        <v>0</v>
      </c>
      <c r="AE104" s="39" t="n">
        <f aca="false">IF(27&gt;'Inputs &amp; Assumptions'!$E$145,0,IF(27='Inputs &amp; Assumptions'!$E$145,AE82-AE93,IF(('Inputs &amp; Assumptions'!$C$145+27)&gt;'Inputs &amp; Assumptions'!$C$11,'Inputs &amp; Assumptions'!$C$12*(AE82-AE93),0)))</f>
        <v>0</v>
      </c>
      <c r="AF104" s="39" t="n">
        <f aca="false">IF(28&gt;'Inputs &amp; Assumptions'!$E$145,0,IF(28='Inputs &amp; Assumptions'!$E$145,AF82-AF93,IF(('Inputs &amp; Assumptions'!$C$145+28)&gt;'Inputs &amp; Assumptions'!$C$11,'Inputs &amp; Assumptions'!$C$12*(AF82-AF93),0)))</f>
        <v>0</v>
      </c>
      <c r="AG104" s="39" t="n">
        <f aca="false">IF(29&gt;'Inputs &amp; Assumptions'!$E$145,0,IF(29='Inputs &amp; Assumptions'!$E$145,AG82-AG93,IF(('Inputs &amp; Assumptions'!$C$145+29)&gt;'Inputs &amp; Assumptions'!$C$11,'Inputs &amp; Assumptions'!$C$12*(AG82-AG93),0)))</f>
        <v>0</v>
      </c>
      <c r="AH104" s="39" t="n">
        <f aca="false">IF(30&gt;'Inputs &amp; Assumptions'!$E$145,0,IF(30='Inputs &amp; Assumptions'!$E$145,AH82-AH93,IF(('Inputs &amp; Assumptions'!$C$145+30)&gt;'Inputs &amp; Assumptions'!$C$11,'Inputs &amp; Assumptions'!$C$12*(AH82-AH93),0)))</f>
        <v>0</v>
      </c>
      <c r="AI104" s="39" t="n">
        <f aca="false">IF(31&gt;'Inputs &amp; Assumptions'!$E$145,0,IF(31='Inputs &amp; Assumptions'!$E$145,AI82-AI93,IF(('Inputs &amp; Assumptions'!$C$145+31)&gt;'Inputs &amp; Assumptions'!$C$11,'Inputs &amp; Assumptions'!$C$12*(AI82-AI93),0)))</f>
        <v>0</v>
      </c>
      <c r="AJ104" s="39" t="n">
        <f aca="false">IF(32&gt;'Inputs &amp; Assumptions'!$E$145,0,IF(32='Inputs &amp; Assumptions'!$E$145,AJ82-AJ93,IF(('Inputs &amp; Assumptions'!$C$145+32)&gt;'Inputs &amp; Assumptions'!$C$11,'Inputs &amp; Assumptions'!$C$12*(AJ82-AJ93),0)))</f>
        <v>0</v>
      </c>
      <c r="AK104" s="39" t="n">
        <f aca="false">IF(33&gt;'Inputs &amp; Assumptions'!$E$145,0,IF(33='Inputs &amp; Assumptions'!$E$145,AK82-AK93,IF(('Inputs &amp; Assumptions'!$C$145+33)&gt;'Inputs &amp; Assumptions'!$C$11,'Inputs &amp; Assumptions'!$C$12*(AK82-AK93),0)))</f>
        <v>0</v>
      </c>
      <c r="AL104" s="39" t="n">
        <f aca="false">IF(34&gt;'Inputs &amp; Assumptions'!$E$145,0,IF(34='Inputs &amp; Assumptions'!$E$145,AL82-AL93,IF(('Inputs &amp; Assumptions'!$C$145+34)&gt;'Inputs &amp; Assumptions'!$C$11,'Inputs &amp; Assumptions'!$C$12*(AL82-AL93),0)))</f>
        <v>0</v>
      </c>
      <c r="AM104" s="39" t="n">
        <f aca="false">IF(35&gt;'Inputs &amp; Assumptions'!$E$145,0,IF(35='Inputs &amp; Assumptions'!$E$145,AM82-AM93,IF(('Inputs &amp; Assumptions'!$C$145+35)&gt;'Inputs &amp; Assumptions'!$C$11,'Inputs &amp; Assumptions'!$C$12*(AM82-AM93),0)))</f>
        <v>0</v>
      </c>
      <c r="AN104" s="39" t="n">
        <f aca="false">IF(36&gt;'Inputs &amp; Assumptions'!$E$145,0,IF(36='Inputs &amp; Assumptions'!$E$145,AN82-AN93,IF(('Inputs &amp; Assumptions'!$C$145+36)&gt;'Inputs &amp; Assumptions'!$C$11,'Inputs &amp; Assumptions'!$C$12*(AN82-AN93),0)))</f>
        <v>0</v>
      </c>
    </row>
    <row r="105" customFormat="false" ht="15" hidden="false" customHeight="false" outlineLevel="0" collapsed="false">
      <c r="B105" s="37" t="n">
        <v>7</v>
      </c>
      <c r="C105" s="38" t="n">
        <f aca="false">'Inputs &amp; Assumptions'!$C$146</f>
        <v>6</v>
      </c>
      <c r="D105" s="38" t="n">
        <f aca="false">'Inputs &amp; Assumptions'!$D$146</f>
        <v>3</v>
      </c>
      <c r="E105" s="39" t="n">
        <f aca="false">IF(1&gt;'Inputs &amp; Assumptions'!$E$146,0,IF(1='Inputs &amp; Assumptions'!$E$146,E83-E94,IF(('Inputs &amp; Assumptions'!$C$146+1)&gt;'Inputs &amp; Assumptions'!$C$11,'Inputs &amp; Assumptions'!$C$12*(E83-E94),0)))</f>
        <v>1675498.266</v>
      </c>
      <c r="F105" s="39" t="n">
        <f aca="false">IF(2&gt;'Inputs &amp; Assumptions'!$E$146,0,IF(2='Inputs &amp; Assumptions'!$E$146,F83-F94,IF(('Inputs &amp; Assumptions'!$C$146+2)&gt;'Inputs &amp; Assumptions'!$C$11,'Inputs &amp; Assumptions'!$C$12*(F83-F94),0)))</f>
        <v>1566045.41882263</v>
      </c>
      <c r="G105" s="39" t="n">
        <f aca="false">IF(3&gt;'Inputs &amp; Assumptions'!$E$146,0,IF(3='Inputs &amp; Assumptions'!$E$146,G83-G94,IF(('Inputs &amp; Assumptions'!$C$146+3)&gt;'Inputs &amp; Assumptions'!$C$11,'Inputs &amp; Assumptions'!$C$12*(G83-G94),0)))</f>
        <v>1465518.12807763</v>
      </c>
      <c r="H105" s="39" t="n">
        <f aca="false">IF(4&gt;'Inputs &amp; Assumptions'!$E$146,0,IF(4='Inputs &amp; Assumptions'!$E$146,H83-H94,IF(('Inputs &amp; Assumptions'!$C$146+4)&gt;'Inputs &amp; Assumptions'!$C$11,'Inputs &amp; Assumptions'!$C$12*(H83-H94),0)))</f>
        <v>1371443.86612928</v>
      </c>
      <c r="I105" s="39" t="n">
        <f aca="false">IF(5&gt;'Inputs &amp; Assumptions'!$E$146,0,IF(5='Inputs &amp; Assumptions'!$E$146,I83-I94,IF(('Inputs &amp; Assumptions'!$C$146+5)&gt;'Inputs &amp; Assumptions'!$C$11,'Inputs &amp; Assumptions'!$C$12*(I83-I94),0)))</f>
        <v>1283408.40137598</v>
      </c>
      <c r="J105" s="39" t="n">
        <f aca="false">IF(6&gt;'Inputs &amp; Assumptions'!$E$146,0,IF(6='Inputs &amp; Assumptions'!$E$146,J83-J94,IF(('Inputs &amp; Assumptions'!$C$146+6)&gt;'Inputs &amp; Assumptions'!$C$11,'Inputs &amp; Assumptions'!$C$12*(J83-J94),0)))</f>
        <v>1201024.09249259</v>
      </c>
      <c r="K105" s="39" t="n">
        <f aca="false">IF(7&gt;'Inputs &amp; Assumptions'!$E$146,0,IF(7='Inputs &amp; Assumptions'!$E$146,K83-K94,IF(('Inputs &amp; Assumptions'!$C$146+7)&gt;'Inputs &amp; Assumptions'!$C$11,'Inputs &amp; Assumptions'!$C$12*(K83-K94),0)))</f>
        <v>1126084.12657512</v>
      </c>
      <c r="L105" s="39" t="n">
        <f aca="false">IF(8&gt;'Inputs &amp; Assumptions'!$E$146,0,IF(8='Inputs &amp; Assumptions'!$E$146,L83-L94,IF(('Inputs &amp; Assumptions'!$C$146+8)&gt;'Inputs &amp; Assumptions'!$C$11,'Inputs &amp; Assumptions'!$C$12*(L83-L94),0)))</f>
        <v>1055820.16884667</v>
      </c>
      <c r="M105" s="39" t="n">
        <f aca="false">IF(9&gt;'Inputs &amp; Assumptions'!$E$146,0,IF(9='Inputs &amp; Assumptions'!$E$146,M83-M94,IF(('Inputs &amp; Assumptions'!$C$146+9)&gt;'Inputs &amp; Assumptions'!$C$11,'Inputs &amp; Assumptions'!$C$12*(M83-M94),0)))</f>
        <v>989940.451726148</v>
      </c>
      <c r="N105" s="39" t="n">
        <f aca="false">IF(10&gt;'Inputs &amp; Assumptions'!$E$146,0,IF(10='Inputs &amp; Assumptions'!$E$146,N83-N94,IF(('Inputs &amp; Assumptions'!$C$146+10)&gt;'Inputs &amp; Assumptions'!$C$11,'Inputs &amp; Assumptions'!$C$12*(N83-N94),0)))</f>
        <v>928171.412972965</v>
      </c>
      <c r="O105" s="39" t="n">
        <f aca="false">IF(11&gt;'Inputs &amp; Assumptions'!$E$146,0,IF(11='Inputs &amp; Assumptions'!$E$146,O83-O94,IF(('Inputs &amp; Assumptions'!$C$146+11)&gt;'Inputs &amp; Assumptions'!$C$11,'Inputs &amp; Assumptions'!$C$12*(O83-O94),0)))</f>
        <v>871725.402677432</v>
      </c>
      <c r="P105" s="39" t="n">
        <f aca="false">IF(12&gt;'Inputs &amp; Assumptions'!$E$146,0,IF(12='Inputs &amp; Assumptions'!$E$146,P83-P94,IF(('Inputs &amp; Assumptions'!$C$146+12)&gt;'Inputs &amp; Assumptions'!$C$11,'Inputs &amp; Assumptions'!$C$12*(P83-P94),0)))</f>
        <v>818712.111849178</v>
      </c>
      <c r="Q105" s="39" t="n">
        <f aca="false">IF(13&gt;'Inputs &amp; Assumptions'!$E$146,0,IF(13='Inputs &amp; Assumptions'!$E$146,Q83-Q94,IF(('Inputs &amp; Assumptions'!$C$146+13)&gt;'Inputs &amp; Assumptions'!$C$11,'Inputs &amp; Assumptions'!$C$12*(Q83-Q94),0)))</f>
        <v>768922.782369083</v>
      </c>
      <c r="R105" s="39" t="n">
        <f aca="false">IF(14&gt;'Inputs &amp; Assumptions'!$E$146,0,IF(14='Inputs &amp; Assumptions'!$E$146,R83-R94,IF(('Inputs &amp; Assumptions'!$C$146+14)&gt;'Inputs &amp; Assumptions'!$C$11,'Inputs &amp; Assumptions'!$C$12*(R83-R94),0)))</f>
        <v>722161.351577916</v>
      </c>
      <c r="S105" s="39" t="n">
        <f aca="false">IF(15&gt;'Inputs &amp; Assumptions'!$E$146,0,IF(15='Inputs &amp; Assumptions'!$E$146,S83-S94,IF(('Inputs &amp; Assumptions'!$C$146+15)&gt;'Inputs &amp; Assumptions'!$C$11,'Inputs &amp; Assumptions'!$C$12*(S83-S94),0)))</f>
        <v>679011.252216345</v>
      </c>
      <c r="T105" s="39" t="n">
        <f aca="false">IF(16&gt;'Inputs &amp; Assumptions'!$E$146,0,IF(16='Inputs &amp; Assumptions'!$E$146,T83-T94,IF(('Inputs &amp; Assumptions'!$C$146+16)&gt;'Inputs &amp; Assumptions'!$C$11,'Inputs &amp; Assumptions'!$C$12*(T83-T94),0)))</f>
        <v>638439.428569537</v>
      </c>
      <c r="U105" s="39" t="n">
        <f aca="false">IF(17&gt;'Inputs &amp; Assumptions'!$E$146,0,IF(17='Inputs &amp; Assumptions'!$E$146,U83-U94,IF(('Inputs &amp; Assumptions'!$C$146+17)&gt;'Inputs &amp; Assumptions'!$C$11,'Inputs &amp; Assumptions'!$C$12*(U83-U94),0)))</f>
        <v>600291.825241102</v>
      </c>
      <c r="V105" s="39" t="n">
        <f aca="false">IF(18&gt;'Inputs &amp; Assumptions'!$E$146,0,IF(18='Inputs &amp; Assumptions'!$E$146,V83-V94,IF(('Inputs &amp; Assumptions'!$C$146+18)&gt;'Inputs &amp; Assumptions'!$C$11,'Inputs &amp; Assumptions'!$C$12*(V83-V94),0)))</f>
        <v>564423.591849084</v>
      </c>
      <c r="W105" s="39" t="n">
        <f aca="false">IF(19&gt;'Inputs &amp; Assumptions'!$E$146,0,IF(19='Inputs &amp; Assumptions'!$E$146,W83-W94,IF(('Inputs &amp; Assumptions'!$C$146+19)&gt;'Inputs &amp; Assumptions'!$C$11,'Inputs &amp; Assumptions'!$C$12*(W83-W94),0)))</f>
        <v>531245.122640666</v>
      </c>
      <c r="X105" s="39" t="n">
        <f aca="false">IF(20&gt;'Inputs &amp; Assumptions'!$E$146,0,IF(20='Inputs &amp; Assumptions'!$E$146,X83-X94,IF(('Inputs &amp; Assumptions'!$C$146+20)&gt;'Inputs &amp; Assumptions'!$C$11,'Inputs &amp; Assumptions'!$C$12*(X83-X94),0)))</f>
        <v>500016.980872332</v>
      </c>
      <c r="Y105" s="39" t="n">
        <f aca="false">IF(21&gt;'Inputs &amp; Assumptions'!$E$146,0,IF(21='Inputs &amp; Assumptions'!$E$146,Y83-Y94,IF(('Inputs &amp; Assumptions'!$C$146+21)&gt;'Inputs &amp; Assumptions'!$C$11,'Inputs &amp; Assumptions'!$C$12*(Y83-Y94),0)))</f>
        <v>470624.520594033</v>
      </c>
      <c r="Z105" s="39" t="n">
        <f aca="false">IF(22&gt;'Inputs &amp; Assumptions'!$E$146,0,IF(22='Inputs &amp; Assumptions'!$E$146,Z83-Z94,IF(('Inputs &amp; Assumptions'!$C$146+22)&gt;'Inputs &amp; Assumptions'!$C$11,'Inputs &amp; Assumptions'!$C$12*(Z83-Z94),0)))</f>
        <v>14765327.8359971</v>
      </c>
      <c r="AA105" s="39" t="n">
        <f aca="false">IF(23&gt;'Inputs &amp; Assumptions'!$E$146,0,IF(23='Inputs &amp; Assumptions'!$E$146,AA83-AA94,IF(('Inputs &amp; Assumptions'!$C$146+23)&gt;'Inputs &amp; Assumptions'!$C$11,'Inputs &amp; Assumptions'!$C$12*(AA83-AA94),0)))</f>
        <v>0</v>
      </c>
      <c r="AB105" s="39" t="n">
        <f aca="false">IF(24&gt;'Inputs &amp; Assumptions'!$E$146,0,IF(24='Inputs &amp; Assumptions'!$E$146,AB83-AB94,IF(('Inputs &amp; Assumptions'!$C$146+24)&gt;'Inputs &amp; Assumptions'!$C$11,'Inputs &amp; Assumptions'!$C$12*(AB83-AB94),0)))</f>
        <v>0</v>
      </c>
      <c r="AC105" s="39" t="n">
        <f aca="false">IF(25&gt;'Inputs &amp; Assumptions'!$E$146,0,IF(25='Inputs &amp; Assumptions'!$E$146,AC83-AC94,IF(('Inputs &amp; Assumptions'!$C$146+25)&gt;'Inputs &amp; Assumptions'!$C$11,'Inputs &amp; Assumptions'!$C$12*(AC83-AC94),0)))</f>
        <v>0</v>
      </c>
      <c r="AD105" s="39" t="n">
        <f aca="false">IF(26&gt;'Inputs &amp; Assumptions'!$E$146,0,IF(26='Inputs &amp; Assumptions'!$E$146,AD83-AD94,IF(('Inputs &amp; Assumptions'!$C$146+26)&gt;'Inputs &amp; Assumptions'!$C$11,'Inputs &amp; Assumptions'!$C$12*(AD83-AD94),0)))</f>
        <v>0</v>
      </c>
      <c r="AE105" s="39" t="n">
        <f aca="false">IF(27&gt;'Inputs &amp; Assumptions'!$E$146,0,IF(27='Inputs &amp; Assumptions'!$E$146,AE83-AE94,IF(('Inputs &amp; Assumptions'!$C$146+27)&gt;'Inputs &amp; Assumptions'!$C$11,'Inputs &amp; Assumptions'!$C$12*(AE83-AE94),0)))</f>
        <v>0</v>
      </c>
      <c r="AF105" s="39" t="n">
        <f aca="false">IF(28&gt;'Inputs &amp; Assumptions'!$E$146,0,IF(28='Inputs &amp; Assumptions'!$E$146,AF83-AF94,IF(('Inputs &amp; Assumptions'!$C$146+28)&gt;'Inputs &amp; Assumptions'!$C$11,'Inputs &amp; Assumptions'!$C$12*(AF83-AF94),0)))</f>
        <v>0</v>
      </c>
      <c r="AG105" s="39" t="n">
        <f aca="false">IF(29&gt;'Inputs &amp; Assumptions'!$E$146,0,IF(29='Inputs &amp; Assumptions'!$E$146,AG83-AG94,IF(('Inputs &amp; Assumptions'!$C$146+29)&gt;'Inputs &amp; Assumptions'!$C$11,'Inputs &amp; Assumptions'!$C$12*(AG83-AG94),0)))</f>
        <v>0</v>
      </c>
      <c r="AH105" s="39" t="n">
        <f aca="false">IF(30&gt;'Inputs &amp; Assumptions'!$E$146,0,IF(30='Inputs &amp; Assumptions'!$E$146,AH83-AH94,IF(('Inputs &amp; Assumptions'!$C$146+30)&gt;'Inputs &amp; Assumptions'!$C$11,'Inputs &amp; Assumptions'!$C$12*(AH83-AH94),0)))</f>
        <v>0</v>
      </c>
      <c r="AI105" s="39" t="n">
        <f aca="false">IF(31&gt;'Inputs &amp; Assumptions'!$E$146,0,IF(31='Inputs &amp; Assumptions'!$E$146,AI83-AI94,IF(('Inputs &amp; Assumptions'!$C$146+31)&gt;'Inputs &amp; Assumptions'!$C$11,'Inputs &amp; Assumptions'!$C$12*(AI83-AI94),0)))</f>
        <v>0</v>
      </c>
      <c r="AJ105" s="39" t="n">
        <f aca="false">IF(32&gt;'Inputs &amp; Assumptions'!$E$146,0,IF(32='Inputs &amp; Assumptions'!$E$146,AJ83-AJ94,IF(('Inputs &amp; Assumptions'!$C$146+32)&gt;'Inputs &amp; Assumptions'!$C$11,'Inputs &amp; Assumptions'!$C$12*(AJ83-AJ94),0)))</f>
        <v>0</v>
      </c>
      <c r="AK105" s="39" t="n">
        <f aca="false">IF(33&gt;'Inputs &amp; Assumptions'!$E$146,0,IF(33='Inputs &amp; Assumptions'!$E$146,AK83-AK94,IF(('Inputs &amp; Assumptions'!$C$146+33)&gt;'Inputs &amp; Assumptions'!$C$11,'Inputs &amp; Assumptions'!$C$12*(AK83-AK94),0)))</f>
        <v>0</v>
      </c>
      <c r="AL105" s="39" t="n">
        <f aca="false">IF(34&gt;'Inputs &amp; Assumptions'!$E$146,0,IF(34='Inputs &amp; Assumptions'!$E$146,AL83-AL94,IF(('Inputs &amp; Assumptions'!$C$146+34)&gt;'Inputs &amp; Assumptions'!$C$11,'Inputs &amp; Assumptions'!$C$12*(AL83-AL94),0)))</f>
        <v>0</v>
      </c>
      <c r="AM105" s="39" t="n">
        <f aca="false">IF(35&gt;'Inputs &amp; Assumptions'!$E$146,0,IF(35='Inputs &amp; Assumptions'!$E$146,AM83-AM94,IF(('Inputs &amp; Assumptions'!$C$146+35)&gt;'Inputs &amp; Assumptions'!$C$11,'Inputs &amp; Assumptions'!$C$12*(AM83-AM94),0)))</f>
        <v>0</v>
      </c>
      <c r="AN105" s="39" t="n">
        <f aca="false">IF(36&gt;'Inputs &amp; Assumptions'!$E$146,0,IF(36='Inputs &amp; Assumptions'!$E$146,AN83-AN94,IF(('Inputs &amp; Assumptions'!$C$146+36)&gt;'Inputs &amp; Assumptions'!$C$11,'Inputs &amp; Assumptions'!$C$12*(AN83-AN94),0)))</f>
        <v>0</v>
      </c>
    </row>
    <row r="106" customFormat="false" ht="15" hidden="false" customHeight="false" outlineLevel="0" collapsed="false">
      <c r="B106" s="37" t="n">
        <v>8</v>
      </c>
      <c r="C106" s="38" t="n">
        <f aca="false">'Inputs &amp; Assumptions'!$C$147</f>
        <v>7</v>
      </c>
      <c r="D106" s="38" t="n">
        <f aca="false">'Inputs &amp; Assumptions'!$D$147</f>
        <v>3</v>
      </c>
      <c r="E106" s="39" t="n">
        <f aca="false">IF(1&gt;'Inputs &amp; Assumptions'!$E$147,0,IF(1='Inputs &amp; Assumptions'!$E$147,E84-E95,IF(('Inputs &amp; Assumptions'!$C$147+1)&gt;'Inputs &amp; Assumptions'!$C$11,'Inputs &amp; Assumptions'!$C$12*(E84-E95),0)))</f>
        <v>1625233.31802</v>
      </c>
      <c r="F106" s="39" t="n">
        <f aca="false">IF(2&gt;'Inputs &amp; Assumptions'!$E$147,0,IF(2='Inputs &amp; Assumptions'!$E$147,F84-F95,IF(('Inputs &amp; Assumptions'!$C$147+2)&gt;'Inputs &amp; Assumptions'!$C$11,'Inputs &amp; Assumptions'!$C$12*(F84-F95),0)))</f>
        <v>1520906.64886637</v>
      </c>
      <c r="G106" s="39" t="n">
        <f aca="false">IF(3&gt;'Inputs &amp; Assumptions'!$E$147,0,IF(3='Inputs &amp; Assumptions'!$E$147,G84-G95,IF(('Inputs &amp; Assumptions'!$C$147+3)&gt;'Inputs &amp; Assumptions'!$C$11,'Inputs &amp; Assumptions'!$C$12*(G84-G95),0)))</f>
        <v>1423276.89748819</v>
      </c>
      <c r="H106" s="39" t="n">
        <f aca="false">IF(4&gt;'Inputs &amp; Assumptions'!$E$147,0,IF(4='Inputs &amp; Assumptions'!$E$147,H84-H95,IF(('Inputs &amp; Assumptions'!$C$147+4)&gt;'Inputs &amp; Assumptions'!$C$11,'Inputs &amp; Assumptions'!$C$12*(H84-H95),0)))</f>
        <v>1331914.17660873</v>
      </c>
      <c r="I106" s="39" t="n">
        <f aca="false">IF(5&gt;'Inputs &amp; Assumptions'!$E$147,0,IF(5='Inputs &amp; Assumptions'!$E$147,I84-I95,IF(('Inputs &amp; Assumptions'!$C$147+5)&gt;'Inputs &amp; Assumptions'!$C$11,'Inputs &amp; Assumptions'!$C$12*(I84-I95),0)))</f>
        <v>1246416.19419389</v>
      </c>
      <c r="J106" s="39" t="n">
        <f aca="false">IF(6&gt;'Inputs &amp; Assumptions'!$E$147,0,IF(6='Inputs &amp; Assumptions'!$E$147,J84-J95,IF(('Inputs &amp; Assumptions'!$C$147+6)&gt;'Inputs &amp; Assumptions'!$C$11,'Inputs &amp; Assumptions'!$C$12*(J84-J95),0)))</f>
        <v>1168643.90994436</v>
      </c>
      <c r="K106" s="39" t="n">
        <f aca="false">IF(7&gt;'Inputs &amp; Assumptions'!$E$147,0,IF(7='Inputs &amp; Assumptions'!$E$147,K84-K95,IF(('Inputs &amp; Assumptions'!$C$147+7)&gt;'Inputs &amp; Assumptions'!$C$11,'Inputs &amp; Assumptions'!$C$12*(K84-K95),0)))</f>
        <v>1095724.36126226</v>
      </c>
      <c r="L106" s="39" t="n">
        <f aca="false">IF(8&gt;'Inputs &amp; Assumptions'!$E$147,0,IF(8='Inputs &amp; Assumptions'!$E$147,L84-L95,IF(('Inputs &amp; Assumptions'!$C$147+8)&gt;'Inputs &amp; Assumptions'!$C$11,'Inputs &amp; Assumptions'!$C$12*(L84-L95),0)))</f>
        <v>1027354.75335746</v>
      </c>
      <c r="M106" s="39" t="n">
        <f aca="false">IF(9&gt;'Inputs &amp; Assumptions'!$E$147,0,IF(9='Inputs &amp; Assumptions'!$E$147,M84-M95,IF(('Inputs &amp; Assumptions'!$C$147+9)&gt;'Inputs &amp; Assumptions'!$C$11,'Inputs &amp; Assumptions'!$C$12*(M84-M95),0)))</f>
        <v>963251.184842049</v>
      </c>
      <c r="N106" s="39" t="n">
        <f aca="false">IF(10&gt;'Inputs &amp; Assumptions'!$E$147,0,IF(10='Inputs &amp; Assumptions'!$E$147,N84-N95,IF(('Inputs &amp; Assumptions'!$C$147+10)&gt;'Inputs &amp; Assumptions'!$C$11,'Inputs &amp; Assumptions'!$C$12*(N84-N95),0)))</f>
        <v>904671.825968429</v>
      </c>
      <c r="O106" s="39" t="n">
        <f aca="false">IF(11&gt;'Inputs &amp; Assumptions'!$E$147,0,IF(11='Inputs &amp; Assumptions'!$E$147,O84-O95,IF(('Inputs &amp; Assumptions'!$C$147+11)&gt;'Inputs &amp; Assumptions'!$C$11,'Inputs &amp; Assumptions'!$C$12*(O84-O95),0)))</f>
        <v>849654.924468383</v>
      </c>
      <c r="P106" s="39" t="n">
        <f aca="false">IF(12&gt;'Inputs &amp; Assumptions'!$E$147,0,IF(12='Inputs &amp; Assumptions'!$E$147,P84-P95,IF(('Inputs &amp; Assumptions'!$C$147+12)&gt;'Inputs &amp; Assumptions'!$C$11,'Inputs &amp; Assumptions'!$C$12*(P84-P95),0)))</f>
        <v>797983.832314644</v>
      </c>
      <c r="Q106" s="39" t="n">
        <f aca="false">IF(13&gt;'Inputs &amp; Assumptions'!$E$147,0,IF(13='Inputs &amp; Assumptions'!$E$147,Q84-Q95,IF(('Inputs &amp; Assumptions'!$C$147+13)&gt;'Inputs &amp; Assumptions'!$C$11,'Inputs &amp; Assumptions'!$C$12*(Q84-Q95),0)))</f>
        <v>749455.076758354</v>
      </c>
      <c r="R106" s="39" t="n">
        <f aca="false">IF(14&gt;'Inputs &amp; Assumptions'!$E$147,0,IF(14='Inputs &amp; Assumptions'!$E$147,R84-R95,IF(('Inputs &amp; Assumptions'!$C$147+14)&gt;'Inputs &amp; Assumptions'!$C$11,'Inputs &amp; Assumptions'!$C$12*(R84-R95),0)))</f>
        <v>704674.141087266</v>
      </c>
      <c r="S106" s="39" t="n">
        <f aca="false">IF(15&gt;'Inputs &amp; Assumptions'!$E$147,0,IF(15='Inputs &amp; Assumptions'!$E$147,S84-S95,IF(('Inputs &amp; Assumptions'!$C$147+15)&gt;'Inputs &amp; Assumptions'!$C$11,'Inputs &amp; Assumptions'!$C$12*(S84-S95),0)))</f>
        <v>662568.925765224</v>
      </c>
      <c r="T106" s="39" t="n">
        <f aca="false">IF(16&gt;'Inputs &amp; Assumptions'!$E$147,0,IF(16='Inputs &amp; Assumptions'!$E$147,T84-T95,IF(('Inputs &amp; Assumptions'!$C$147+16)&gt;'Inputs &amp; Assumptions'!$C$11,'Inputs &amp; Assumptions'!$C$12*(T84-T95),0)))</f>
        <v>622979.552949591</v>
      </c>
      <c r="U106" s="39" t="n">
        <f aca="false">IF(17&gt;'Inputs &amp; Assumptions'!$E$147,0,IF(17='Inputs &amp; Assumptions'!$E$147,U84-U95,IF(('Inputs &amp; Assumptions'!$C$147+17)&gt;'Inputs &amp; Assumptions'!$C$11,'Inputs &amp; Assumptions'!$C$12*(U84-U95),0)))</f>
        <v>585755.697711055</v>
      </c>
      <c r="V106" s="39" t="n">
        <f aca="false">IF(18&gt;'Inputs &amp; Assumptions'!$E$147,0,IF(18='Inputs &amp; Assumptions'!$E$147,V84-V95,IF(('Inputs &amp; Assumptions'!$C$147+18)&gt;'Inputs &amp; Assumptions'!$C$11,'Inputs &amp; Assumptions'!$C$12*(V84-V95),0)))</f>
        <v>551323.264941027</v>
      </c>
      <c r="W106" s="39" t="n">
        <f aca="false">IF(19&gt;'Inputs &amp; Assumptions'!$E$147,0,IF(19='Inputs &amp; Assumptions'!$E$147,W84-W95,IF(('Inputs &amp; Assumptions'!$C$147+19)&gt;'Inputs &amp; Assumptions'!$C$11,'Inputs &amp; Assumptions'!$C$12*(W84-W95),0)))</f>
        <v>518914.871256056</v>
      </c>
      <c r="X106" s="39" t="n">
        <f aca="false">IF(20&gt;'Inputs &amp; Assumptions'!$E$147,0,IF(20='Inputs &amp; Assumptions'!$E$147,X84-X95,IF(('Inputs &amp; Assumptions'!$C$147+20)&gt;'Inputs &amp; Assumptions'!$C$11,'Inputs &amp; Assumptions'!$C$12*(X84-X95),0)))</f>
        <v>488411.537720057</v>
      </c>
      <c r="Y106" s="39" t="n">
        <f aca="false">IF(21&gt;'Inputs &amp; Assumptions'!$E$147,0,IF(21='Inputs &amp; Assumptions'!$E$147,Y84-Y95,IF(('Inputs &amp; Assumptions'!$C$147+21)&gt;'Inputs &amp; Assumptions'!$C$11,'Inputs &amp; Assumptions'!$C$12*(Y84-Y95),0)))</f>
        <v>15323375.9775574</v>
      </c>
      <c r="Z106" s="39" t="n">
        <f aca="false">IF(22&gt;'Inputs &amp; Assumptions'!$E$147,0,IF(22='Inputs &amp; Assumptions'!$E$147,Z84-Z95,IF(('Inputs &amp; Assumptions'!$C$147+22)&gt;'Inputs &amp; Assumptions'!$C$11,'Inputs &amp; Assumptions'!$C$12*(Z84-Z95),0)))</f>
        <v>0</v>
      </c>
      <c r="AA106" s="39" t="n">
        <f aca="false">IF(23&gt;'Inputs &amp; Assumptions'!$E$147,0,IF(23='Inputs &amp; Assumptions'!$E$147,AA84-AA95,IF(('Inputs &amp; Assumptions'!$C$147+23)&gt;'Inputs &amp; Assumptions'!$C$11,'Inputs &amp; Assumptions'!$C$12*(AA84-AA95),0)))</f>
        <v>0</v>
      </c>
      <c r="AB106" s="39" t="n">
        <f aca="false">IF(24&gt;'Inputs &amp; Assumptions'!$E$147,0,IF(24='Inputs &amp; Assumptions'!$E$147,AB84-AB95,IF(('Inputs &amp; Assumptions'!$C$147+24)&gt;'Inputs &amp; Assumptions'!$C$11,'Inputs &amp; Assumptions'!$C$12*(AB84-AB95),0)))</f>
        <v>0</v>
      </c>
      <c r="AC106" s="39" t="n">
        <f aca="false">IF(25&gt;'Inputs &amp; Assumptions'!$E$147,0,IF(25='Inputs &amp; Assumptions'!$E$147,AC84-AC95,IF(('Inputs &amp; Assumptions'!$C$147+25)&gt;'Inputs &amp; Assumptions'!$C$11,'Inputs &amp; Assumptions'!$C$12*(AC84-AC95),0)))</f>
        <v>0</v>
      </c>
      <c r="AD106" s="39" t="n">
        <f aca="false">IF(26&gt;'Inputs &amp; Assumptions'!$E$147,0,IF(26='Inputs &amp; Assumptions'!$E$147,AD84-AD95,IF(('Inputs &amp; Assumptions'!$C$147+26)&gt;'Inputs &amp; Assumptions'!$C$11,'Inputs &amp; Assumptions'!$C$12*(AD84-AD95),0)))</f>
        <v>0</v>
      </c>
      <c r="AE106" s="39" t="n">
        <f aca="false">IF(27&gt;'Inputs &amp; Assumptions'!$E$147,0,IF(27='Inputs &amp; Assumptions'!$E$147,AE84-AE95,IF(('Inputs &amp; Assumptions'!$C$147+27)&gt;'Inputs &amp; Assumptions'!$C$11,'Inputs &amp; Assumptions'!$C$12*(AE84-AE95),0)))</f>
        <v>0</v>
      </c>
      <c r="AF106" s="39" t="n">
        <f aca="false">IF(28&gt;'Inputs &amp; Assumptions'!$E$147,0,IF(28='Inputs &amp; Assumptions'!$E$147,AF84-AF95,IF(('Inputs &amp; Assumptions'!$C$147+28)&gt;'Inputs &amp; Assumptions'!$C$11,'Inputs &amp; Assumptions'!$C$12*(AF84-AF95),0)))</f>
        <v>0</v>
      </c>
      <c r="AG106" s="39" t="n">
        <f aca="false">IF(29&gt;'Inputs &amp; Assumptions'!$E$147,0,IF(29='Inputs &amp; Assumptions'!$E$147,AG84-AG95,IF(('Inputs &amp; Assumptions'!$C$147+29)&gt;'Inputs &amp; Assumptions'!$C$11,'Inputs &amp; Assumptions'!$C$12*(AG84-AG95),0)))</f>
        <v>0</v>
      </c>
      <c r="AH106" s="39" t="n">
        <f aca="false">IF(30&gt;'Inputs &amp; Assumptions'!$E$147,0,IF(30='Inputs &amp; Assumptions'!$E$147,AH84-AH95,IF(('Inputs &amp; Assumptions'!$C$147+30)&gt;'Inputs &amp; Assumptions'!$C$11,'Inputs &amp; Assumptions'!$C$12*(AH84-AH95),0)))</f>
        <v>0</v>
      </c>
      <c r="AI106" s="39" t="n">
        <f aca="false">IF(31&gt;'Inputs &amp; Assumptions'!$E$147,0,IF(31='Inputs &amp; Assumptions'!$E$147,AI84-AI95,IF(('Inputs &amp; Assumptions'!$C$147+31)&gt;'Inputs &amp; Assumptions'!$C$11,'Inputs &amp; Assumptions'!$C$12*(AI84-AI95),0)))</f>
        <v>0</v>
      </c>
      <c r="AJ106" s="39" t="n">
        <f aca="false">IF(32&gt;'Inputs &amp; Assumptions'!$E$147,0,IF(32='Inputs &amp; Assumptions'!$E$147,AJ84-AJ95,IF(('Inputs &amp; Assumptions'!$C$147+32)&gt;'Inputs &amp; Assumptions'!$C$11,'Inputs &amp; Assumptions'!$C$12*(AJ84-AJ95),0)))</f>
        <v>0</v>
      </c>
      <c r="AK106" s="39" t="n">
        <f aca="false">IF(33&gt;'Inputs &amp; Assumptions'!$E$147,0,IF(33='Inputs &amp; Assumptions'!$E$147,AK84-AK95,IF(('Inputs &amp; Assumptions'!$C$147+33)&gt;'Inputs &amp; Assumptions'!$C$11,'Inputs &amp; Assumptions'!$C$12*(AK84-AK95),0)))</f>
        <v>0</v>
      </c>
      <c r="AL106" s="39" t="n">
        <f aca="false">IF(34&gt;'Inputs &amp; Assumptions'!$E$147,0,IF(34='Inputs &amp; Assumptions'!$E$147,AL84-AL95,IF(('Inputs &amp; Assumptions'!$C$147+34)&gt;'Inputs &amp; Assumptions'!$C$11,'Inputs &amp; Assumptions'!$C$12*(AL84-AL95),0)))</f>
        <v>0</v>
      </c>
      <c r="AM106" s="39" t="n">
        <f aca="false">IF(35&gt;'Inputs &amp; Assumptions'!$E$147,0,IF(35='Inputs &amp; Assumptions'!$E$147,AM84-AM95,IF(('Inputs &amp; Assumptions'!$C$147+35)&gt;'Inputs &amp; Assumptions'!$C$11,'Inputs &amp; Assumptions'!$C$12*(AM84-AM95),0)))</f>
        <v>0</v>
      </c>
      <c r="AN106" s="39" t="n">
        <f aca="false">IF(36&gt;'Inputs &amp; Assumptions'!$E$147,0,IF(36='Inputs &amp; Assumptions'!$E$147,AN84-AN95,IF(('Inputs &amp; Assumptions'!$C$147+36)&gt;'Inputs &amp; Assumptions'!$C$11,'Inputs &amp; Assumptions'!$C$12*(AN84-AN95),0)))</f>
        <v>0</v>
      </c>
    </row>
    <row r="107" customFormat="false" ht="15" hidden="false" customHeight="false" outlineLevel="0" collapsed="false">
      <c r="B107" s="37" t="n">
        <v>9</v>
      </c>
      <c r="C107" s="38" t="n">
        <f aca="false">'Inputs &amp; Assumptions'!$C$148</f>
        <v>8</v>
      </c>
      <c r="D107" s="38" t="n">
        <f aca="false">'Inputs &amp; Assumptions'!$D$148</f>
        <v>3</v>
      </c>
      <c r="E107" s="39" t="n">
        <f aca="false">IF(1&gt;'Inputs &amp; Assumptions'!$E$148,0,IF(1='Inputs &amp; Assumptions'!$E$148,E85-E96,IF(('Inputs &amp; Assumptions'!$C$148+1)&gt;'Inputs &amp; Assumptions'!$C$11,'Inputs &amp; Assumptions'!$C$12*(E85-E96),0)))</f>
        <v>1578388.550949</v>
      </c>
      <c r="F107" s="39" t="n">
        <f aca="false">IF(2&gt;'Inputs &amp; Assumptions'!$E$148,0,IF(2='Inputs &amp; Assumptions'!$E$148,F85-F96,IF(('Inputs &amp; Assumptions'!$C$148+2)&gt;'Inputs &amp; Assumptions'!$C$11,'Inputs &amp; Assumptions'!$C$12*(F85-F96),0)))</f>
        <v>1477068.93220568</v>
      </c>
      <c r="G107" s="39" t="n">
        <f aca="false">IF(3&gt;'Inputs &amp; Assumptions'!$E$148,0,IF(3='Inputs &amp; Assumptions'!$E$148,G85-G96,IF(('Inputs &amp; Assumptions'!$C$148+3)&gt;'Inputs &amp; Assumptions'!$C$11,'Inputs &amp; Assumptions'!$C$12*(G85-G96),0)))</f>
        <v>1382253.20322773</v>
      </c>
      <c r="H107" s="39" t="n">
        <f aca="false">IF(4&gt;'Inputs &amp; Assumptions'!$E$148,0,IF(4='Inputs &amp; Assumptions'!$E$148,H85-H96,IF(('Inputs &amp; Assumptions'!$C$148+4)&gt;'Inputs &amp; Assumptions'!$C$11,'Inputs &amp; Assumptions'!$C$12*(H85-H96),0)))</f>
        <v>1293523.86755587</v>
      </c>
      <c r="I107" s="39" t="n">
        <f aca="false">IF(5&gt;'Inputs &amp; Assumptions'!$E$148,0,IF(5='Inputs &amp; Assumptions'!$E$148,I85-I96,IF(('Inputs &amp; Assumptions'!$C$148+5)&gt;'Inputs &amp; Assumptions'!$C$11,'Inputs &amp; Assumptions'!$C$12*(I85-I96),0)))</f>
        <v>1212812.218927</v>
      </c>
      <c r="J107" s="39" t="n">
        <f aca="false">IF(6&gt;'Inputs &amp; Assumptions'!$E$148,0,IF(6='Inputs &amp; Assumptions'!$E$148,J85-J96,IF(('Inputs &amp; Assumptions'!$C$148+6)&gt;'Inputs &amp; Assumptions'!$C$11,'Inputs &amp; Assumptions'!$C$12*(J85-J96),0)))</f>
        <v>1137136.71256638</v>
      </c>
      <c r="K107" s="39" t="n">
        <f aca="false">IF(7&gt;'Inputs &amp; Assumptions'!$E$148,0,IF(7='Inputs &amp; Assumptions'!$E$148,K85-K96,IF(('Inputs &amp; Assumptions'!$C$148+7)&gt;'Inputs &amp; Assumptions'!$C$11,'Inputs &amp; Assumptions'!$C$12*(K85-K96),0)))</f>
        <v>1066183.10970703</v>
      </c>
      <c r="L107" s="39" t="n">
        <f aca="false">IF(8&gt;'Inputs &amp; Assumptions'!$E$148,0,IF(8='Inputs &amp; Assumptions'!$E$148,L85-L96,IF(('Inputs &amp; Assumptions'!$C$148+8)&gt;'Inputs &amp; Assumptions'!$C$11,'Inputs &amp; Assumptions'!$C$12*(L85-L96),0)))</f>
        <v>999656.779050829</v>
      </c>
      <c r="M107" s="39" t="n">
        <f aca="false">IF(9&gt;'Inputs &amp; Assumptions'!$E$148,0,IF(9='Inputs &amp; Assumptions'!$E$148,M85-M96,IF(('Inputs &amp; Assumptions'!$C$148+9)&gt;'Inputs &amp; Assumptions'!$C$11,'Inputs &amp; Assumptions'!$C$12*(M85-M96),0)))</f>
        <v>938863.44276226</v>
      </c>
      <c r="N107" s="39" t="n">
        <f aca="false">IF(10&gt;'Inputs &amp; Assumptions'!$E$148,0,IF(10='Inputs &amp; Assumptions'!$E$148,N85-N96,IF(('Inputs &amp; Assumptions'!$C$148+10)&gt;'Inputs &amp; Assumptions'!$C$11,'Inputs &amp; Assumptions'!$C$12*(N85-N96),0)))</f>
        <v>881767.205132497</v>
      </c>
      <c r="O107" s="39" t="n">
        <f aca="false">IF(11&gt;'Inputs &amp; Assumptions'!$E$148,0,IF(11='Inputs &amp; Assumptions'!$E$148,O85-O96,IF(('Inputs &amp; Assumptions'!$C$148+11)&gt;'Inputs &amp; Assumptions'!$C$11,'Inputs &amp; Assumptions'!$C$12*(O85-O96),0)))</f>
        <v>828143.230031013</v>
      </c>
      <c r="P107" s="39" t="n">
        <f aca="false">IF(12&gt;'Inputs &amp; Assumptions'!$E$148,0,IF(12='Inputs &amp; Assumptions'!$E$148,P85-P96,IF(('Inputs &amp; Assumptions'!$C$148+12)&gt;'Inputs &amp; Assumptions'!$C$11,'Inputs &amp; Assumptions'!$C$12*(P85-P96),0)))</f>
        <v>777780.354558713</v>
      </c>
      <c r="Q107" s="39" t="n">
        <f aca="false">IF(13&gt;'Inputs &amp; Assumptions'!$E$148,0,IF(13='Inputs &amp; Assumptions'!$E$148,Q85-Q96,IF(('Inputs &amp; Assumptions'!$C$148+13)&gt;'Inputs &amp; Assumptions'!$C$11,'Inputs &amp; Assumptions'!$C$12*(Q85-Q96),0)))</f>
        <v>731306.945939773</v>
      </c>
      <c r="R107" s="39" t="n">
        <f aca="false">IF(14&gt;'Inputs &amp; Assumptions'!$E$148,0,IF(14='Inputs &amp; Assumptions'!$E$148,R85-R96,IF(('Inputs &amp; Assumptions'!$C$148+14)&gt;'Inputs &amp; Assumptions'!$C$11,'Inputs &amp; Assumptions'!$C$12*(R85-R96),0)))</f>
        <v>687610.38517512</v>
      </c>
      <c r="S107" s="39" t="n">
        <f aca="false">IF(15&gt;'Inputs &amp; Assumptions'!$E$148,0,IF(15='Inputs &amp; Assumptions'!$E$148,S85-S96,IF(('Inputs &amp; Assumptions'!$C$148+15)&gt;'Inputs &amp; Assumptions'!$C$11,'Inputs &amp; Assumptions'!$C$12*(S85-S96),0)))</f>
        <v>646524.751919442</v>
      </c>
      <c r="T107" s="39" t="n">
        <f aca="false">IF(16&gt;'Inputs &amp; Assumptions'!$E$148,0,IF(16='Inputs &amp; Assumptions'!$E$148,T85-T96,IF(('Inputs &amp; Assumptions'!$C$148+16)&gt;'Inputs &amp; Assumptions'!$C$11,'Inputs &amp; Assumptions'!$C$12*(T85-T96),0)))</f>
        <v>607894.039788305</v>
      </c>
      <c r="U107" s="39" t="n">
        <f aca="false">IF(17&gt;'Inputs &amp; Assumptions'!$E$148,0,IF(17='Inputs &amp; Assumptions'!$E$148,U85-U96,IF(('Inputs &amp; Assumptions'!$C$148+17)&gt;'Inputs &amp; Assumptions'!$C$11,'Inputs &amp; Assumptions'!$C$12*(U85-U96),0)))</f>
        <v>572160.250534348</v>
      </c>
      <c r="V107" s="39" t="n">
        <f aca="false">IF(18&gt;'Inputs &amp; Assumptions'!$E$148,0,IF(18='Inputs &amp; Assumptions'!$E$148,V85-V96,IF(('Inputs &amp; Assumptions'!$C$148+18)&gt;'Inputs &amp; Assumptions'!$C$11,'Inputs &amp; Assumptions'!$C$12*(V85-V96),0)))</f>
        <v>538526.997904982</v>
      </c>
      <c r="W107" s="39" t="n">
        <f aca="false">IF(19&gt;'Inputs &amp; Assumptions'!$E$148,0,IF(19='Inputs &amp; Assumptions'!$E$148,W85-W96,IF(('Inputs &amp; Assumptions'!$C$148+19)&gt;'Inputs &amp; Assumptions'!$C$11,'Inputs &amp; Assumptions'!$C$12*(W85-W96),0)))</f>
        <v>506870.806215054</v>
      </c>
      <c r="X107" s="39" t="n">
        <f aca="false">IF(20&gt;'Inputs &amp; Assumptions'!$E$148,0,IF(20='Inputs &amp; Assumptions'!$E$148,X85-X96,IF(('Inputs &amp; Assumptions'!$C$148+20)&gt;'Inputs &amp; Assumptions'!$C$11,'Inputs &amp; Assumptions'!$C$12*(X85-X96),0)))</f>
        <v>15902515.2680417</v>
      </c>
      <c r="Y107" s="39" t="n">
        <f aca="false">IF(21&gt;'Inputs &amp; Assumptions'!$E$148,0,IF(21='Inputs &amp; Assumptions'!$E$148,Y85-Y96,IF(('Inputs &amp; Assumptions'!$C$148+21)&gt;'Inputs &amp; Assumptions'!$C$11,'Inputs &amp; Assumptions'!$C$12*(Y85-Y96),0)))</f>
        <v>0</v>
      </c>
      <c r="Z107" s="39" t="n">
        <f aca="false">IF(22&gt;'Inputs &amp; Assumptions'!$E$148,0,IF(22='Inputs &amp; Assumptions'!$E$148,Z85-Z96,IF(('Inputs &amp; Assumptions'!$C$148+22)&gt;'Inputs &amp; Assumptions'!$C$11,'Inputs &amp; Assumptions'!$C$12*(Z85-Z96),0)))</f>
        <v>0</v>
      </c>
      <c r="AA107" s="39" t="n">
        <f aca="false">IF(23&gt;'Inputs &amp; Assumptions'!$E$148,0,IF(23='Inputs &amp; Assumptions'!$E$148,AA85-AA96,IF(('Inputs &amp; Assumptions'!$C$148+23)&gt;'Inputs &amp; Assumptions'!$C$11,'Inputs &amp; Assumptions'!$C$12*(AA85-AA96),0)))</f>
        <v>0</v>
      </c>
      <c r="AB107" s="39" t="n">
        <f aca="false">IF(24&gt;'Inputs &amp; Assumptions'!$E$148,0,IF(24='Inputs &amp; Assumptions'!$E$148,AB85-AB96,IF(('Inputs &amp; Assumptions'!$C$148+24)&gt;'Inputs &amp; Assumptions'!$C$11,'Inputs &amp; Assumptions'!$C$12*(AB85-AB96),0)))</f>
        <v>0</v>
      </c>
      <c r="AC107" s="39" t="n">
        <f aca="false">IF(25&gt;'Inputs &amp; Assumptions'!$E$148,0,IF(25='Inputs &amp; Assumptions'!$E$148,AC85-AC96,IF(('Inputs &amp; Assumptions'!$C$148+25)&gt;'Inputs &amp; Assumptions'!$C$11,'Inputs &amp; Assumptions'!$C$12*(AC85-AC96),0)))</f>
        <v>0</v>
      </c>
      <c r="AD107" s="39" t="n">
        <f aca="false">IF(26&gt;'Inputs &amp; Assumptions'!$E$148,0,IF(26='Inputs &amp; Assumptions'!$E$148,AD85-AD96,IF(('Inputs &amp; Assumptions'!$C$148+26)&gt;'Inputs &amp; Assumptions'!$C$11,'Inputs &amp; Assumptions'!$C$12*(AD85-AD96),0)))</f>
        <v>0</v>
      </c>
      <c r="AE107" s="39" t="n">
        <f aca="false">IF(27&gt;'Inputs &amp; Assumptions'!$E$148,0,IF(27='Inputs &amp; Assumptions'!$E$148,AE85-AE96,IF(('Inputs &amp; Assumptions'!$C$148+27)&gt;'Inputs &amp; Assumptions'!$C$11,'Inputs &amp; Assumptions'!$C$12*(AE85-AE96),0)))</f>
        <v>0</v>
      </c>
      <c r="AF107" s="39" t="n">
        <f aca="false">IF(28&gt;'Inputs &amp; Assumptions'!$E$148,0,IF(28='Inputs &amp; Assumptions'!$E$148,AF85-AF96,IF(('Inputs &amp; Assumptions'!$C$148+28)&gt;'Inputs &amp; Assumptions'!$C$11,'Inputs &amp; Assumptions'!$C$12*(AF85-AF96),0)))</f>
        <v>0</v>
      </c>
      <c r="AG107" s="39" t="n">
        <f aca="false">IF(29&gt;'Inputs &amp; Assumptions'!$E$148,0,IF(29='Inputs &amp; Assumptions'!$E$148,AG85-AG96,IF(('Inputs &amp; Assumptions'!$C$148+29)&gt;'Inputs &amp; Assumptions'!$C$11,'Inputs &amp; Assumptions'!$C$12*(AG85-AG96),0)))</f>
        <v>0</v>
      </c>
      <c r="AH107" s="39" t="n">
        <f aca="false">IF(30&gt;'Inputs &amp; Assumptions'!$E$148,0,IF(30='Inputs &amp; Assumptions'!$E$148,AH85-AH96,IF(('Inputs &amp; Assumptions'!$C$148+30)&gt;'Inputs &amp; Assumptions'!$C$11,'Inputs &amp; Assumptions'!$C$12*(AH85-AH96),0)))</f>
        <v>0</v>
      </c>
      <c r="AI107" s="39" t="n">
        <f aca="false">IF(31&gt;'Inputs &amp; Assumptions'!$E$148,0,IF(31='Inputs &amp; Assumptions'!$E$148,AI85-AI96,IF(('Inputs &amp; Assumptions'!$C$148+31)&gt;'Inputs &amp; Assumptions'!$C$11,'Inputs &amp; Assumptions'!$C$12*(AI85-AI96),0)))</f>
        <v>0</v>
      </c>
      <c r="AJ107" s="39" t="n">
        <f aca="false">IF(32&gt;'Inputs &amp; Assumptions'!$E$148,0,IF(32='Inputs &amp; Assumptions'!$E$148,AJ85-AJ96,IF(('Inputs &amp; Assumptions'!$C$148+32)&gt;'Inputs &amp; Assumptions'!$C$11,'Inputs &amp; Assumptions'!$C$12*(AJ85-AJ96),0)))</f>
        <v>0</v>
      </c>
      <c r="AK107" s="39" t="n">
        <f aca="false">IF(33&gt;'Inputs &amp; Assumptions'!$E$148,0,IF(33='Inputs &amp; Assumptions'!$E$148,AK85-AK96,IF(('Inputs &amp; Assumptions'!$C$148+33)&gt;'Inputs &amp; Assumptions'!$C$11,'Inputs &amp; Assumptions'!$C$12*(AK85-AK96),0)))</f>
        <v>0</v>
      </c>
      <c r="AL107" s="39" t="n">
        <f aca="false">IF(34&gt;'Inputs &amp; Assumptions'!$E$148,0,IF(34='Inputs &amp; Assumptions'!$E$148,AL85-AL96,IF(('Inputs &amp; Assumptions'!$C$148+34)&gt;'Inputs &amp; Assumptions'!$C$11,'Inputs &amp; Assumptions'!$C$12*(AL85-AL96),0)))</f>
        <v>0</v>
      </c>
      <c r="AM107" s="39" t="n">
        <f aca="false">IF(35&gt;'Inputs &amp; Assumptions'!$E$148,0,IF(35='Inputs &amp; Assumptions'!$E$148,AM85-AM96,IF(('Inputs &amp; Assumptions'!$C$148+35)&gt;'Inputs &amp; Assumptions'!$C$11,'Inputs &amp; Assumptions'!$C$12*(AM85-AM96),0)))</f>
        <v>0</v>
      </c>
      <c r="AN107" s="39" t="n">
        <f aca="false">IF(36&gt;'Inputs &amp; Assumptions'!$E$148,0,IF(36='Inputs &amp; Assumptions'!$E$148,AN85-AN96,IF(('Inputs &amp; Assumptions'!$C$148+36)&gt;'Inputs &amp; Assumptions'!$C$11,'Inputs &amp; Assumptions'!$C$12*(AN85-AN96),0)))</f>
        <v>0</v>
      </c>
    </row>
    <row r="108" customFormat="false" ht="15" hidden="false" customHeight="false" outlineLevel="0" collapsed="false">
      <c r="B108" s="37" t="n">
        <v>10</v>
      </c>
      <c r="C108" s="38" t="n">
        <f aca="false">'Inputs &amp; Assumptions'!$C$149</f>
        <v>9</v>
      </c>
      <c r="D108" s="38" t="n">
        <f aca="false">'Inputs &amp; Assumptions'!$D$149</f>
        <v>3</v>
      </c>
      <c r="E108" s="39" t="n">
        <f aca="false">IF(1&gt;'Inputs &amp; Assumptions'!$E$149,0,IF(1='Inputs &amp; Assumptions'!$E$149,E86-E97,IF(('Inputs &amp; Assumptions'!$C$149+1)&gt;'Inputs &amp; Assumptions'!$C$11,'Inputs &amp; Assumptions'!$C$12*(E86-E97),0)))</f>
        <v>1531036.89442053</v>
      </c>
      <c r="F108" s="39" t="n">
        <f aca="false">IF(2&gt;'Inputs &amp; Assumptions'!$E$149,0,IF(2='Inputs &amp; Assumptions'!$E$149,F86-F97,IF(('Inputs &amp; Assumptions'!$C$149+2)&gt;'Inputs &amp; Assumptions'!$C$11,'Inputs &amp; Assumptions'!$C$12*(F86-F97),0)))</f>
        <v>1432756.86423951</v>
      </c>
      <c r="G108" s="39" t="n">
        <f aca="false">IF(3&gt;'Inputs &amp; Assumptions'!$E$149,0,IF(3='Inputs &amp; Assumptions'!$E$149,G86-G97,IF(('Inputs &amp; Assumptions'!$C$149+3)&gt;'Inputs &amp; Assumptions'!$C$11,'Inputs &amp; Assumptions'!$C$12*(G86-G97),0)))</f>
        <v>1340785.60713089</v>
      </c>
      <c r="H108" s="39" t="n">
        <f aca="false">IF(4&gt;'Inputs &amp; Assumptions'!$E$149,0,IF(4='Inputs &amp; Assumptions'!$E$149,H86-H97,IF(('Inputs &amp; Assumptions'!$C$149+4)&gt;'Inputs &amp; Assumptions'!$C$11,'Inputs &amp; Assumptions'!$C$12*(H86-H97),0)))</f>
        <v>1257124.98089609</v>
      </c>
      <c r="I108" s="39" t="n">
        <f aca="false">IF(5&gt;'Inputs &amp; Assumptions'!$E$149,0,IF(5='Inputs &amp; Assumptions'!$E$149,I86-I97,IF(('Inputs &amp; Assumptions'!$C$149+5)&gt;'Inputs &amp; Assumptions'!$C$11,'Inputs &amp; Assumptions'!$C$12*(I86-I97),0)))</f>
        <v>1178684.50346417</v>
      </c>
      <c r="J108" s="39" t="n">
        <f aca="false">IF(6&gt;'Inputs &amp; Assumptions'!$E$149,0,IF(6='Inputs &amp; Assumptions'!$E$149,J86-J97,IF(('Inputs &amp; Assumptions'!$C$149+6)&gt;'Inputs &amp; Assumptions'!$C$11,'Inputs &amp; Assumptions'!$C$12*(J86-J97),0)))</f>
        <v>1105138.45466365</v>
      </c>
      <c r="K108" s="39" t="n">
        <f aca="false">IF(7&gt;'Inputs &amp; Assumptions'!$E$149,0,IF(7='Inputs &amp; Assumptions'!$E$149,K86-K97,IF(('Inputs &amp; Assumptions'!$C$149+7)&gt;'Inputs &amp; Assumptions'!$C$11,'Inputs &amp; Assumptions'!$C$12*(K86-K97),0)))</f>
        <v>1036181.4381939</v>
      </c>
      <c r="L108" s="39" t="n">
        <f aca="false">IF(8&gt;'Inputs &amp; Assumptions'!$E$149,0,IF(8='Inputs &amp; Assumptions'!$E$149,L86-L97,IF(('Inputs &amp; Assumptions'!$C$149+8)&gt;'Inputs &amp; Assumptions'!$C$11,'Inputs &amp; Assumptions'!$C$12*(L86-L97),0)))</f>
        <v>973166.883650585</v>
      </c>
      <c r="M108" s="39" t="n">
        <f aca="false">IF(9&gt;'Inputs &amp; Assumptions'!$E$149,0,IF(9='Inputs &amp; Assumptions'!$E$149,M86-M97,IF(('Inputs &amp; Assumptions'!$C$149+9)&gt;'Inputs &amp; Assumptions'!$C$11,'Inputs &amp; Assumptions'!$C$12*(M86-M97),0)))</f>
        <v>913984.509397251</v>
      </c>
      <c r="N108" s="39" t="n">
        <f aca="false">IF(10&gt;'Inputs &amp; Assumptions'!$E$149,0,IF(10='Inputs &amp; Assumptions'!$E$149,N86-N97,IF(('Inputs &amp; Assumptions'!$C$149+10)&gt;'Inputs &amp; Assumptions'!$C$11,'Inputs &amp; Assumptions'!$C$12*(N86-N97),0)))</f>
        <v>858401.264420822</v>
      </c>
      <c r="O108" s="39" t="n">
        <f aca="false">IF(11&gt;'Inputs &amp; Assumptions'!$E$149,0,IF(11='Inputs &amp; Assumptions'!$E$149,O86-O97,IF(('Inputs &amp; Assumptions'!$C$149+11)&gt;'Inputs &amp; Assumptions'!$C$11,'Inputs &amp; Assumptions'!$C$12*(O86-O97),0)))</f>
        <v>806198.270521238</v>
      </c>
      <c r="P108" s="39" t="n">
        <f aca="false">IF(12&gt;'Inputs &amp; Assumptions'!$E$149,0,IF(12='Inputs &amp; Assumptions'!$E$149,P86-P97,IF(('Inputs &amp; Assumptions'!$C$149+12)&gt;'Inputs &amp; Assumptions'!$C$11,'Inputs &amp; Assumptions'!$C$12*(P86-P97),0)))</f>
        <v>758026.853701288</v>
      </c>
      <c r="Q108" s="39" t="n">
        <f aca="false">IF(13&gt;'Inputs &amp; Assumptions'!$E$149,0,IF(13='Inputs &amp; Assumptions'!$E$149,Q86-Q97,IF(('Inputs &amp; Assumptions'!$C$149+13)&gt;'Inputs &amp; Assumptions'!$C$11,'Inputs &amp; Assumptions'!$C$12*(Q86-Q97),0)))</f>
        <v>712733.74297959</v>
      </c>
      <c r="R108" s="39" t="n">
        <f aca="false">IF(14&gt;'Inputs &amp; Assumptions'!$E$149,0,IF(14='Inputs &amp; Assumptions'!$E$149,R86-R97,IF(('Inputs &amp; Assumptions'!$C$149+14)&gt;'Inputs &amp; Assumptions'!$C$11,'Inputs &amp; Assumptions'!$C$12*(R86-R97),0)))</f>
        <v>670146.955746078</v>
      </c>
      <c r="S108" s="39" t="n">
        <f aca="false">IF(15&gt;'Inputs &amp; Assumptions'!$E$149,0,IF(15='Inputs &amp; Assumptions'!$E$149,S86-S97,IF(('Inputs &amp; Assumptions'!$C$149+15)&gt;'Inputs &amp; Assumptions'!$C$11,'Inputs &amp; Assumptions'!$C$12*(S86-S97),0)))</f>
        <v>630104.785579931</v>
      </c>
      <c r="T108" s="39" t="n">
        <f aca="false">IF(16&gt;'Inputs &amp; Assumptions'!$E$149,0,IF(16='Inputs &amp; Assumptions'!$E$149,T86-T97,IF(('Inputs &amp; Assumptions'!$C$149+16)&gt;'Inputs &amp; Assumptions'!$C$11,'Inputs &amp; Assumptions'!$C$12*(T86-T97),0)))</f>
        <v>593065.383739991</v>
      </c>
      <c r="U108" s="39" t="n">
        <f aca="false">IF(17&gt;'Inputs &amp; Assumptions'!$E$149,0,IF(17='Inputs &amp; Assumptions'!$E$149,U86-U97,IF(('Inputs &amp; Assumptions'!$C$149+17)&gt;'Inputs &amp; Assumptions'!$C$11,'Inputs &amp; Assumptions'!$C$12*(U86-U97),0)))</f>
        <v>558203.266250301</v>
      </c>
      <c r="V108" s="39" t="n">
        <f aca="false">IF(18&gt;'Inputs &amp; Assumptions'!$E$149,0,IF(18='Inputs &amp; Assumptions'!$E$149,V86-V97,IF(('Inputs &amp; Assumptions'!$C$149+18)&gt;'Inputs &amp; Assumptions'!$C$11,'Inputs &amp; Assumptions'!$C$12*(V86-V97),0)))</f>
        <v>525390.445969968</v>
      </c>
      <c r="W108" s="39" t="n">
        <f aca="false">IF(19&gt;'Inputs &amp; Assumptions'!$E$149,0,IF(19='Inputs &amp; Assumptions'!$E$149,W86-W97,IF(('Inputs &amp; Assumptions'!$C$149+19)&gt;'Inputs &amp; Assumptions'!$C$11,'Inputs &amp; Assumptions'!$C$12*(W86-W97),0)))</f>
        <v>16483548.64055</v>
      </c>
      <c r="X108" s="39" t="n">
        <f aca="false">IF(20&gt;'Inputs &amp; Assumptions'!$E$149,0,IF(20='Inputs &amp; Assumptions'!$E$149,X86-X97,IF(('Inputs &amp; Assumptions'!$C$149+20)&gt;'Inputs &amp; Assumptions'!$C$11,'Inputs &amp; Assumptions'!$C$12*(X86-X97),0)))</f>
        <v>0</v>
      </c>
      <c r="Y108" s="39" t="n">
        <f aca="false">IF(21&gt;'Inputs &amp; Assumptions'!$E$149,0,IF(21='Inputs &amp; Assumptions'!$E$149,Y86-Y97,IF(('Inputs &amp; Assumptions'!$C$149+21)&gt;'Inputs &amp; Assumptions'!$C$11,'Inputs &amp; Assumptions'!$C$12*(Y86-Y97),0)))</f>
        <v>0</v>
      </c>
      <c r="Z108" s="39" t="n">
        <f aca="false">IF(22&gt;'Inputs &amp; Assumptions'!$E$149,0,IF(22='Inputs &amp; Assumptions'!$E$149,Z86-Z97,IF(('Inputs &amp; Assumptions'!$C$149+22)&gt;'Inputs &amp; Assumptions'!$C$11,'Inputs &amp; Assumptions'!$C$12*(Z86-Z97),0)))</f>
        <v>0</v>
      </c>
      <c r="AA108" s="39" t="n">
        <f aca="false">IF(23&gt;'Inputs &amp; Assumptions'!$E$149,0,IF(23='Inputs &amp; Assumptions'!$E$149,AA86-AA97,IF(('Inputs &amp; Assumptions'!$C$149+23)&gt;'Inputs &amp; Assumptions'!$C$11,'Inputs &amp; Assumptions'!$C$12*(AA86-AA97),0)))</f>
        <v>0</v>
      </c>
      <c r="AB108" s="39" t="n">
        <f aca="false">IF(24&gt;'Inputs &amp; Assumptions'!$E$149,0,IF(24='Inputs &amp; Assumptions'!$E$149,AB86-AB97,IF(('Inputs &amp; Assumptions'!$C$149+24)&gt;'Inputs &amp; Assumptions'!$C$11,'Inputs &amp; Assumptions'!$C$12*(AB86-AB97),0)))</f>
        <v>0</v>
      </c>
      <c r="AC108" s="39" t="n">
        <f aca="false">IF(25&gt;'Inputs &amp; Assumptions'!$E$149,0,IF(25='Inputs &amp; Assumptions'!$E$149,AC86-AC97,IF(('Inputs &amp; Assumptions'!$C$149+25)&gt;'Inputs &amp; Assumptions'!$C$11,'Inputs &amp; Assumptions'!$C$12*(AC86-AC97),0)))</f>
        <v>0</v>
      </c>
      <c r="AD108" s="39" t="n">
        <f aca="false">IF(26&gt;'Inputs &amp; Assumptions'!$E$149,0,IF(26='Inputs &amp; Assumptions'!$E$149,AD86-AD97,IF(('Inputs &amp; Assumptions'!$C$149+26)&gt;'Inputs &amp; Assumptions'!$C$11,'Inputs &amp; Assumptions'!$C$12*(AD86-AD97),0)))</f>
        <v>0</v>
      </c>
      <c r="AE108" s="39" t="n">
        <f aca="false">IF(27&gt;'Inputs &amp; Assumptions'!$E$149,0,IF(27='Inputs &amp; Assumptions'!$E$149,AE86-AE97,IF(('Inputs &amp; Assumptions'!$C$149+27)&gt;'Inputs &amp; Assumptions'!$C$11,'Inputs &amp; Assumptions'!$C$12*(AE86-AE97),0)))</f>
        <v>0</v>
      </c>
      <c r="AF108" s="39" t="n">
        <f aca="false">IF(28&gt;'Inputs &amp; Assumptions'!$E$149,0,IF(28='Inputs &amp; Assumptions'!$E$149,AF86-AF97,IF(('Inputs &amp; Assumptions'!$C$149+28)&gt;'Inputs &amp; Assumptions'!$C$11,'Inputs &amp; Assumptions'!$C$12*(AF86-AF97),0)))</f>
        <v>0</v>
      </c>
      <c r="AG108" s="39" t="n">
        <f aca="false">IF(29&gt;'Inputs &amp; Assumptions'!$E$149,0,IF(29='Inputs &amp; Assumptions'!$E$149,AG86-AG97,IF(('Inputs &amp; Assumptions'!$C$149+29)&gt;'Inputs &amp; Assumptions'!$C$11,'Inputs &amp; Assumptions'!$C$12*(AG86-AG97),0)))</f>
        <v>0</v>
      </c>
      <c r="AH108" s="39" t="n">
        <f aca="false">IF(30&gt;'Inputs &amp; Assumptions'!$E$149,0,IF(30='Inputs &amp; Assumptions'!$E$149,AH86-AH97,IF(('Inputs &amp; Assumptions'!$C$149+30)&gt;'Inputs &amp; Assumptions'!$C$11,'Inputs &amp; Assumptions'!$C$12*(AH86-AH97),0)))</f>
        <v>0</v>
      </c>
      <c r="AI108" s="39" t="n">
        <f aca="false">IF(31&gt;'Inputs &amp; Assumptions'!$E$149,0,IF(31='Inputs &amp; Assumptions'!$E$149,AI86-AI97,IF(('Inputs &amp; Assumptions'!$C$149+31)&gt;'Inputs &amp; Assumptions'!$C$11,'Inputs &amp; Assumptions'!$C$12*(AI86-AI97),0)))</f>
        <v>0</v>
      </c>
      <c r="AJ108" s="39" t="n">
        <f aca="false">IF(32&gt;'Inputs &amp; Assumptions'!$E$149,0,IF(32='Inputs &amp; Assumptions'!$E$149,AJ86-AJ97,IF(('Inputs &amp; Assumptions'!$C$149+32)&gt;'Inputs &amp; Assumptions'!$C$11,'Inputs &amp; Assumptions'!$C$12*(AJ86-AJ97),0)))</f>
        <v>0</v>
      </c>
      <c r="AK108" s="39" t="n">
        <f aca="false">IF(33&gt;'Inputs &amp; Assumptions'!$E$149,0,IF(33='Inputs &amp; Assumptions'!$E$149,AK86-AK97,IF(('Inputs &amp; Assumptions'!$C$149+33)&gt;'Inputs &amp; Assumptions'!$C$11,'Inputs &amp; Assumptions'!$C$12*(AK86-AK97),0)))</f>
        <v>0</v>
      </c>
      <c r="AL108" s="39" t="n">
        <f aca="false">IF(34&gt;'Inputs &amp; Assumptions'!$E$149,0,IF(34='Inputs &amp; Assumptions'!$E$149,AL86-AL97,IF(('Inputs &amp; Assumptions'!$C$149+34)&gt;'Inputs &amp; Assumptions'!$C$11,'Inputs &amp; Assumptions'!$C$12*(AL86-AL97),0)))</f>
        <v>0</v>
      </c>
      <c r="AM108" s="39" t="n">
        <f aca="false">IF(35&gt;'Inputs &amp; Assumptions'!$E$149,0,IF(35='Inputs &amp; Assumptions'!$E$149,AM86-AM97,IF(('Inputs &amp; Assumptions'!$C$149+35)&gt;'Inputs &amp; Assumptions'!$C$11,'Inputs &amp; Assumptions'!$C$12*(AM86-AM97),0)))</f>
        <v>0</v>
      </c>
      <c r="AN108" s="39" t="n">
        <f aca="false">IF(36&gt;'Inputs &amp; Assumptions'!$E$149,0,IF(36='Inputs &amp; Assumptions'!$E$149,AN86-AN97,IF(('Inputs &amp; Assumptions'!$C$149+36)&gt;'Inputs &amp; Assumptions'!$C$11,'Inputs &amp; Assumptions'!$C$12*(AN86-AN97),0)))</f>
        <v>0</v>
      </c>
    </row>
    <row r="109" customFormat="false" ht="15" hidden="false" customHeight="false" outlineLevel="0" collapsed="false">
      <c r="B109" s="37" t="n">
        <v>11</v>
      </c>
      <c r="C109" s="38" t="n">
        <f aca="false">'Inputs &amp; Assumptions'!$C$150</f>
        <v>10</v>
      </c>
      <c r="D109" s="38" t="n">
        <f aca="false">'Inputs &amp; Assumptions'!$D$150</f>
        <v>2</v>
      </c>
      <c r="E109" s="39" t="n">
        <f aca="false">IF(1&gt;'Inputs &amp; Assumptions'!$E$150,0,IF(1='Inputs &amp; Assumptions'!$E$150,E87-E98,IF(('Inputs &amp; Assumptions'!$C$150+1)&gt;'Inputs &amp; Assumptions'!$C$11,'Inputs &amp; Assumptions'!$C$12*(E87-E98),0)))</f>
        <v>990070.525058609</v>
      </c>
      <c r="F109" s="39" t="n">
        <f aca="false">IF(2&gt;'Inputs &amp; Assumptions'!$E$150,0,IF(2='Inputs &amp; Assumptions'!$E$150,F87-F98,IF(('Inputs &amp; Assumptions'!$C$150+2)&gt;'Inputs &amp; Assumptions'!$C$11,'Inputs &amp; Assumptions'!$C$12*(F87-F98),0)))</f>
        <v>926516.105541549</v>
      </c>
      <c r="G109" s="39" t="n">
        <f aca="false">IF(3&gt;'Inputs &amp; Assumptions'!$E$150,0,IF(3='Inputs &amp; Assumptions'!$E$150,G87-G98,IF(('Inputs &amp; Assumptions'!$C$150+3)&gt;'Inputs &amp; Assumptions'!$C$11,'Inputs &amp; Assumptions'!$C$12*(G87-G98),0)))</f>
        <v>868704.538059026</v>
      </c>
      <c r="H109" s="39" t="n">
        <f aca="false">IF(4&gt;'Inputs &amp; Assumptions'!$E$150,0,IF(4='Inputs &amp; Assumptions'!$E$150,H87-H98,IF(('Inputs &amp; Assumptions'!$C$150+4)&gt;'Inputs &amp; Assumptions'!$C$11,'Inputs &amp; Assumptions'!$C$12*(H87-H98),0)))</f>
        <v>814500.222857168</v>
      </c>
      <c r="I109" s="39" t="n">
        <f aca="false">IF(5&gt;'Inputs &amp; Assumptions'!$E$150,0,IF(5='Inputs &amp; Assumptions'!$E$150,I87-I98,IF(('Inputs &amp; Assumptions'!$C$150+5)&gt;'Inputs &amp; Assumptions'!$C$11,'Inputs &amp; Assumptions'!$C$12*(I87-I98),0)))</f>
        <v>763678.079219725</v>
      </c>
      <c r="J109" s="39" t="n">
        <f aca="false">IF(6&gt;'Inputs &amp; Assumptions'!$E$150,0,IF(6='Inputs &amp; Assumptions'!$E$150,J87-J98,IF(('Inputs &amp; Assumptions'!$C$150+6)&gt;'Inputs &amp; Assumptions'!$C$11,'Inputs &amp; Assumptions'!$C$12*(J87-J98),0)))</f>
        <v>716027.070729237</v>
      </c>
      <c r="K109" s="39" t="n">
        <f aca="false">IF(7&gt;'Inputs &amp; Assumptions'!$E$150,0,IF(7='Inputs &amp; Assumptions'!$E$150,K87-K98,IF(('Inputs &amp; Assumptions'!$C$150+7)&gt;'Inputs &amp; Assumptions'!$C$11,'Inputs &amp; Assumptions'!$C$12*(K87-K98),0)))</f>
        <v>672482.450800892</v>
      </c>
      <c r="L109" s="39" t="n">
        <f aca="false">IF(8&gt;'Inputs &amp; Assumptions'!$E$150,0,IF(8='Inputs &amp; Assumptions'!$E$150,L87-L98,IF(('Inputs &amp; Assumptions'!$C$150+8)&gt;'Inputs &amp; Assumptions'!$C$11,'Inputs &amp; Assumptions'!$C$12*(L87-L98),0)))</f>
        <v>631585.962489656</v>
      </c>
      <c r="M109" s="39" t="n">
        <f aca="false">IF(9&gt;'Inputs &amp; Assumptions'!$E$150,0,IF(9='Inputs &amp; Assumptions'!$E$150,M87-M98,IF(('Inputs &amp; Assumptions'!$C$150+9)&gt;'Inputs &amp; Assumptions'!$C$11,'Inputs &amp; Assumptions'!$C$12*(M87-M98),0)))</f>
        <v>593176.56176591</v>
      </c>
      <c r="N109" s="39" t="n">
        <f aca="false">IF(10&gt;'Inputs &amp; Assumptions'!$E$150,0,IF(10='Inputs &amp; Assumptions'!$E$150,N87-N98,IF(('Inputs &amp; Assumptions'!$C$150+10)&gt;'Inputs &amp; Assumptions'!$C$11,'Inputs &amp; Assumptions'!$C$12*(N87-N98),0)))</f>
        <v>557102.998365307</v>
      </c>
      <c r="O109" s="39" t="n">
        <f aca="false">IF(11&gt;'Inputs &amp; Assumptions'!$E$150,0,IF(11='Inputs &amp; Assumptions'!$E$150,O87-O98,IF(('Inputs &amp; Assumptions'!$C$150+11)&gt;'Inputs &amp; Assumptions'!$C$11,'Inputs &amp; Assumptions'!$C$12*(O87-O98),0)))</f>
        <v>523815.354708433</v>
      </c>
      <c r="P109" s="39" t="n">
        <f aca="false">IF(12&gt;'Inputs &amp; Assumptions'!$E$150,0,IF(12='Inputs &amp; Assumptions'!$E$150,P87-P98,IF(('Inputs &amp; Assumptions'!$C$150+12)&gt;'Inputs &amp; Assumptions'!$C$11,'Inputs &amp; Assumptions'!$C$12*(P87-P98),0)))</f>
        <v>492516.691946436</v>
      </c>
      <c r="Q109" s="39" t="n">
        <f aca="false">IF(13&gt;'Inputs &amp; Assumptions'!$E$150,0,IF(13='Inputs &amp; Assumptions'!$E$150,Q87-Q98,IF(('Inputs &amp; Assumptions'!$C$150+13)&gt;'Inputs &amp; Assumptions'!$C$11,'Inputs &amp; Assumptions'!$C$12*(Q87-Q98),0)))</f>
        <v>463088.165830651</v>
      </c>
      <c r="R109" s="39" t="n">
        <f aca="false">IF(14&gt;'Inputs &amp; Assumptions'!$E$150,0,IF(14='Inputs &amp; Assumptions'!$E$150,R87-R98,IF(('Inputs &amp; Assumptions'!$C$150+14)&gt;'Inputs &amp; Assumptions'!$C$11,'Inputs &amp; Assumptions'!$C$12*(R87-R98),0)))</f>
        <v>435418.033214028</v>
      </c>
      <c r="S109" s="39" t="n">
        <f aca="false">IF(15&gt;'Inputs &amp; Assumptions'!$E$150,0,IF(15='Inputs &amp; Assumptions'!$E$150,S87-S98,IF(('Inputs &amp; Assumptions'!$C$150+15)&gt;'Inputs &amp; Assumptions'!$C$11,'Inputs &amp; Assumptions'!$C$12*(S87-S98),0)))</f>
        <v>409822.887978419</v>
      </c>
      <c r="T109" s="39" t="n">
        <f aca="false">IF(16&gt;'Inputs &amp; Assumptions'!$E$150,0,IF(16='Inputs &amp; Assumptions'!$E$150,T87-T98,IF(('Inputs &amp; Assumptions'!$C$150+16)&gt;'Inputs &amp; Assumptions'!$C$11,'Inputs &amp; Assumptions'!$C$12*(T87-T98),0)))</f>
        <v>385732.300224723</v>
      </c>
      <c r="U109" s="39" t="n">
        <f aca="false">IF(17&gt;'Inputs &amp; Assumptions'!$E$150,0,IF(17='Inputs &amp; Assumptions'!$E$150,U87-U98,IF(('Inputs &amp; Assumptions'!$C$150+17)&gt;'Inputs &amp; Assumptions'!$C$11,'Inputs &amp; Assumptions'!$C$12*(U87-U98),0)))</f>
        <v>363057.827664547</v>
      </c>
      <c r="V109" s="39" t="n">
        <f aca="false">IF(18&gt;'Inputs &amp; Assumptions'!$E$150,0,IF(18='Inputs &amp; Assumptions'!$E$150,V87-V98,IF(('Inputs &amp; Assumptions'!$C$150+18)&gt;'Inputs &amp; Assumptions'!$C$11,'Inputs &amp; Assumptions'!$C$12*(V87-V98),0)))</f>
        <v>11390540.896861</v>
      </c>
      <c r="W109" s="39" t="n">
        <f aca="false">IF(19&gt;'Inputs &amp; Assumptions'!$E$150,0,IF(19='Inputs &amp; Assumptions'!$E$150,W87-W98,IF(('Inputs &amp; Assumptions'!$C$150+19)&gt;'Inputs &amp; Assumptions'!$C$11,'Inputs &amp; Assumptions'!$C$12*(W87-W98),0)))</f>
        <v>0</v>
      </c>
      <c r="X109" s="39" t="n">
        <f aca="false">IF(20&gt;'Inputs &amp; Assumptions'!$E$150,0,IF(20='Inputs &amp; Assumptions'!$E$150,X87-X98,IF(('Inputs &amp; Assumptions'!$C$150+20)&gt;'Inputs &amp; Assumptions'!$C$11,'Inputs &amp; Assumptions'!$C$12*(X87-X98),0)))</f>
        <v>0</v>
      </c>
      <c r="Y109" s="39" t="n">
        <f aca="false">IF(21&gt;'Inputs &amp; Assumptions'!$E$150,0,IF(21='Inputs &amp; Assumptions'!$E$150,Y87-Y98,IF(('Inputs &amp; Assumptions'!$C$150+21)&gt;'Inputs &amp; Assumptions'!$C$11,'Inputs &amp; Assumptions'!$C$12*(Y87-Y98),0)))</f>
        <v>0</v>
      </c>
      <c r="Z109" s="39" t="n">
        <f aca="false">IF(22&gt;'Inputs &amp; Assumptions'!$E$150,0,IF(22='Inputs &amp; Assumptions'!$E$150,Z87-Z98,IF(('Inputs &amp; Assumptions'!$C$150+22)&gt;'Inputs &amp; Assumptions'!$C$11,'Inputs &amp; Assumptions'!$C$12*(Z87-Z98),0)))</f>
        <v>0</v>
      </c>
      <c r="AA109" s="39" t="n">
        <f aca="false">IF(23&gt;'Inputs &amp; Assumptions'!$E$150,0,IF(23='Inputs &amp; Assumptions'!$E$150,AA87-AA98,IF(('Inputs &amp; Assumptions'!$C$150+23)&gt;'Inputs &amp; Assumptions'!$C$11,'Inputs &amp; Assumptions'!$C$12*(AA87-AA98),0)))</f>
        <v>0</v>
      </c>
      <c r="AB109" s="39" t="n">
        <f aca="false">IF(24&gt;'Inputs &amp; Assumptions'!$E$150,0,IF(24='Inputs &amp; Assumptions'!$E$150,AB87-AB98,IF(('Inputs &amp; Assumptions'!$C$150+24)&gt;'Inputs &amp; Assumptions'!$C$11,'Inputs &amp; Assumptions'!$C$12*(AB87-AB98),0)))</f>
        <v>0</v>
      </c>
      <c r="AC109" s="39" t="n">
        <f aca="false">IF(25&gt;'Inputs &amp; Assumptions'!$E$150,0,IF(25='Inputs &amp; Assumptions'!$E$150,AC87-AC98,IF(('Inputs &amp; Assumptions'!$C$150+25)&gt;'Inputs &amp; Assumptions'!$C$11,'Inputs &amp; Assumptions'!$C$12*(AC87-AC98),0)))</f>
        <v>0</v>
      </c>
      <c r="AD109" s="39" t="n">
        <f aca="false">IF(26&gt;'Inputs &amp; Assumptions'!$E$150,0,IF(26='Inputs &amp; Assumptions'!$E$150,AD87-AD98,IF(('Inputs &amp; Assumptions'!$C$150+26)&gt;'Inputs &amp; Assumptions'!$C$11,'Inputs &amp; Assumptions'!$C$12*(AD87-AD98),0)))</f>
        <v>0</v>
      </c>
      <c r="AE109" s="39" t="n">
        <f aca="false">IF(27&gt;'Inputs &amp; Assumptions'!$E$150,0,IF(27='Inputs &amp; Assumptions'!$E$150,AE87-AE98,IF(('Inputs &amp; Assumptions'!$C$150+27)&gt;'Inputs &amp; Assumptions'!$C$11,'Inputs &amp; Assumptions'!$C$12*(AE87-AE98),0)))</f>
        <v>0</v>
      </c>
      <c r="AF109" s="39" t="n">
        <f aca="false">IF(28&gt;'Inputs &amp; Assumptions'!$E$150,0,IF(28='Inputs &amp; Assumptions'!$E$150,AF87-AF98,IF(('Inputs &amp; Assumptions'!$C$150+28)&gt;'Inputs &amp; Assumptions'!$C$11,'Inputs &amp; Assumptions'!$C$12*(AF87-AF98),0)))</f>
        <v>0</v>
      </c>
      <c r="AG109" s="39" t="n">
        <f aca="false">IF(29&gt;'Inputs &amp; Assumptions'!$E$150,0,IF(29='Inputs &amp; Assumptions'!$E$150,AG87-AG98,IF(('Inputs &amp; Assumptions'!$C$150+29)&gt;'Inputs &amp; Assumptions'!$C$11,'Inputs &amp; Assumptions'!$C$12*(AG87-AG98),0)))</f>
        <v>0</v>
      </c>
      <c r="AH109" s="39" t="n">
        <f aca="false">IF(30&gt;'Inputs &amp; Assumptions'!$E$150,0,IF(30='Inputs &amp; Assumptions'!$E$150,AH87-AH98,IF(('Inputs &amp; Assumptions'!$C$150+30)&gt;'Inputs &amp; Assumptions'!$C$11,'Inputs &amp; Assumptions'!$C$12*(AH87-AH98),0)))</f>
        <v>0</v>
      </c>
      <c r="AI109" s="39" t="n">
        <f aca="false">IF(31&gt;'Inputs &amp; Assumptions'!$E$150,0,IF(31='Inputs &amp; Assumptions'!$E$150,AI87-AI98,IF(('Inputs &amp; Assumptions'!$C$150+31)&gt;'Inputs &amp; Assumptions'!$C$11,'Inputs &amp; Assumptions'!$C$12*(AI87-AI98),0)))</f>
        <v>0</v>
      </c>
      <c r="AJ109" s="39" t="n">
        <f aca="false">IF(32&gt;'Inputs &amp; Assumptions'!$E$150,0,IF(32='Inputs &amp; Assumptions'!$E$150,AJ87-AJ98,IF(('Inputs &amp; Assumptions'!$C$150+32)&gt;'Inputs &amp; Assumptions'!$C$11,'Inputs &amp; Assumptions'!$C$12*(AJ87-AJ98),0)))</f>
        <v>0</v>
      </c>
      <c r="AK109" s="39" t="n">
        <f aca="false">IF(33&gt;'Inputs &amp; Assumptions'!$E$150,0,IF(33='Inputs &amp; Assumptions'!$E$150,AK87-AK98,IF(('Inputs &amp; Assumptions'!$C$150+33)&gt;'Inputs &amp; Assumptions'!$C$11,'Inputs &amp; Assumptions'!$C$12*(AK87-AK98),0)))</f>
        <v>0</v>
      </c>
      <c r="AL109" s="39" t="n">
        <f aca="false">IF(34&gt;'Inputs &amp; Assumptions'!$E$150,0,IF(34='Inputs &amp; Assumptions'!$E$150,AL87-AL98,IF(('Inputs &amp; Assumptions'!$C$150+34)&gt;'Inputs &amp; Assumptions'!$C$11,'Inputs &amp; Assumptions'!$C$12*(AL87-AL98),0)))</f>
        <v>0</v>
      </c>
      <c r="AM109" s="39" t="n">
        <f aca="false">IF(35&gt;'Inputs &amp; Assumptions'!$E$150,0,IF(35='Inputs &amp; Assumptions'!$E$150,AM87-AM98,IF(('Inputs &amp; Assumptions'!$C$150+35)&gt;'Inputs &amp; Assumptions'!$C$11,'Inputs &amp; Assumptions'!$C$12*(AM87-AM98),0)))</f>
        <v>0</v>
      </c>
      <c r="AN109" s="39" t="n">
        <f aca="false">IF(36&gt;'Inputs &amp; Assumptions'!$E$150,0,IF(36='Inputs &amp; Assumptions'!$E$150,AN87-AN98,IF(('Inputs &amp; Assumptions'!$C$150+36)&gt;'Inputs &amp; Assumptions'!$C$11,'Inputs &amp; Assumptions'!$C$12*(AN87-AN98),0)))</f>
        <v>0</v>
      </c>
    </row>
    <row r="110" customFormat="false" ht="15" hidden="false" customHeight="false" outlineLevel="0" collapsed="false">
      <c r="A110" s="14" t="s">
        <v>129</v>
      </c>
      <c r="B110" s="37" t="n">
        <v>1</v>
      </c>
      <c r="C110" s="38" t="n">
        <f aca="false">'Inputs &amp; Assumptions'!$C$140</f>
        <v>0</v>
      </c>
      <c r="D110" s="38" t="n">
        <f aca="false">'Inputs &amp; Assumptions'!$D$140</f>
        <v>1</v>
      </c>
      <c r="E110" s="39" t="n">
        <f aca="false">IF(1&gt;='Inputs &amp; Assumptions'!$E$140,0,'Inputs &amp; Assumptions'!$C$66*MAX(E77-E88-E99,0))</f>
        <v>515791.667175687</v>
      </c>
      <c r="F110" s="39" t="n">
        <f aca="false">IF(2&gt;='Inputs &amp; Assumptions'!$E$140,0,'Inputs &amp; Assumptions'!$C$66*MAX(F77-F88-F99,0))</f>
        <v>498389.071225247</v>
      </c>
      <c r="G110" s="39" t="n">
        <f aca="false">IF(3&gt;='Inputs &amp; Assumptions'!$E$140,0,'Inputs &amp; Assumptions'!$C$66*MAX(G77-G88-G99,0))</f>
        <v>481573.631611535</v>
      </c>
      <c r="H110" s="39" t="n">
        <f aca="false">IF(4&gt;='Inputs &amp; Assumptions'!$E$140,0,'Inputs &amp; Assumptions'!$C$66*MAX(H77-H88-H99,0))</f>
        <v>465325.537924385</v>
      </c>
      <c r="I110" s="39" t="n">
        <f aca="false">IF(5&gt;='Inputs &amp; Assumptions'!$E$140,0,'Inputs &amp; Assumptions'!$C$66*MAX(I77-I88-I99,0))</f>
        <v>434927.890834153</v>
      </c>
      <c r="J110" s="39" t="n">
        <f aca="false">IF(6&gt;='Inputs &amp; Assumptions'!$E$140,0,'Inputs &amp; Assumptions'!$C$66*MAX(J77-J88-J99,0))</f>
        <v>406515.986784683</v>
      </c>
      <c r="K110" s="39" t="n">
        <f aca="false">IF(7&gt;='Inputs &amp; Assumptions'!$E$140,0,'Inputs &amp; Assumptions'!$C$66*MAX(K77-K88-K99,0))</f>
        <v>379960.106017988</v>
      </c>
      <c r="L110" s="39" t="n">
        <f aca="false">IF(8&gt;='Inputs &amp; Assumptions'!$E$140,0,'Inputs &amp; Assumptions'!$C$66*MAX(L77-L88-L99,0))</f>
        <v>355139.002790726</v>
      </c>
      <c r="M110" s="39" t="n">
        <f aca="false">IF(9&gt;='Inputs &amp; Assumptions'!$E$140,0,'Inputs &amp; Assumptions'!$C$66*MAX(M77-M88-M99,0))</f>
        <v>332341.987225703</v>
      </c>
      <c r="N110" s="39" t="n">
        <f aca="false">IF(10&gt;='Inputs &amp; Assumptions'!$E$140,0,'Inputs &amp; Assumptions'!$C$66*MAX(N77-N88-N99,0))</f>
        <v>311008.353363584</v>
      </c>
      <c r="O110" s="39" t="n">
        <f aca="false">IF(11&gt;='Inputs &amp; Assumptions'!$E$140,0,'Inputs &amp; Assumptions'!$C$66*MAX(O77-O88-O99,0))</f>
        <v>291044.164083422</v>
      </c>
      <c r="P110" s="39" t="n">
        <f aca="false">IF(12&gt;='Inputs &amp; Assumptions'!$E$140,0,'Inputs &amp; Assumptions'!$C$66*MAX(P77-P88-P99,0))</f>
        <v>272361.512258134</v>
      </c>
      <c r="Q110" s="39" t="n">
        <f aca="false">IF(13&gt;='Inputs &amp; Assumptions'!$E$140,0,'Inputs &amp; Assumptions'!$C$66*MAX(Q77-Q88-Q99,0))</f>
        <v>255367.046806992</v>
      </c>
      <c r="R110" s="39" t="n">
        <f aca="false">IF(14&gt;='Inputs &amp; Assumptions'!$E$140,0,'Inputs &amp; Assumptions'!$C$66*MAX(R77-R88-R99,0))</f>
        <v>239432.980285109</v>
      </c>
      <c r="S110" s="39" t="n">
        <f aca="false">IF(15&gt;='Inputs &amp; Assumptions'!$E$140,0,'Inputs &amp; Assumptions'!$C$66*MAX(S77-S88-S99,0))</f>
        <v>224493.147275726</v>
      </c>
      <c r="T110" s="39" t="n">
        <f aca="false">IF(16&gt;='Inputs &amp; Assumptions'!$E$140,0,'Inputs &amp; Assumptions'!$C$66*MAX(T77-T88-T99,0))</f>
        <v>210485.510867173</v>
      </c>
      <c r="U110" s="39" t="n">
        <f aca="false">IF(17&gt;='Inputs &amp; Assumptions'!$E$140,0,'Inputs &amp; Assumptions'!$C$66*MAX(U77-U88-U99,0))</f>
        <v>197685.001018014</v>
      </c>
      <c r="V110" s="39" t="n">
        <f aca="false">IF(18&gt;='Inputs &amp; Assumptions'!$E$140,0,'Inputs &amp; Assumptions'!$C$66*MAX(V77-V88-V99,0))</f>
        <v>185662.944050116</v>
      </c>
      <c r="W110" s="39" t="n">
        <f aca="false">IF(19&gt;='Inputs &amp; Assumptions'!$E$140,0,'Inputs &amp; Assumptions'!$C$66*MAX(W77-W88-W99,0))</f>
        <v>174371.998967263</v>
      </c>
      <c r="X110" s="39" t="n">
        <f aca="false">IF(20&gt;='Inputs &amp; Assumptions'!$E$140,0,'Inputs &amp; Assumptions'!$C$66*MAX(X77-X88-X99,0))</f>
        <v>163767.703778476</v>
      </c>
      <c r="Y110" s="39" t="n">
        <f aca="false">IF(21&gt;='Inputs &amp; Assumptions'!$E$140,0,'Inputs &amp; Assumptions'!$C$66*MAX(Y77-Y88-Y99,0))</f>
        <v>153982.366090691</v>
      </c>
      <c r="Z110" s="39" t="n">
        <f aca="false">IF(22&gt;='Inputs &amp; Assumptions'!$E$140,0,'Inputs &amp; Assumptions'!$C$66*MAX(Z77-Z88-Z99,0))</f>
        <v>144781.715318913</v>
      </c>
      <c r="AA110" s="39" t="n">
        <f aca="false">IF(23&gt;='Inputs &amp; Assumptions'!$E$140,0,'Inputs &amp; Assumptions'!$C$66*MAX(AA77-AA88-AA99,0))</f>
        <v>136130.815643793</v>
      </c>
      <c r="AB110" s="39" t="n">
        <f aca="false">IF(24&gt;='Inputs &amp; Assumptions'!$E$140,0,'Inputs &amp; Assumptions'!$C$66*MAX(AB77-AB88-AB99,0))</f>
        <v>127996.818707559</v>
      </c>
      <c r="AC110" s="39" t="n">
        <f aca="false">IF(25&gt;='Inputs &amp; Assumptions'!$E$140,0,'Inputs &amp; Assumptions'!$C$66*MAX(AC77-AC88-AC99,0))</f>
        <v>120472.791417432</v>
      </c>
      <c r="AD110" s="39" t="n">
        <f aca="false">IF(26&gt;='Inputs &amp; Assumptions'!$E$140,0,'Inputs &amp; Assumptions'!$C$66*MAX(AD77-AD88-AD99,0))</f>
        <v>113391.048453073</v>
      </c>
      <c r="AE110" s="39" t="n">
        <f aca="false">IF(27&gt;='Inputs &amp; Assumptions'!$E$140,0,'Inputs &amp; Assumptions'!$C$66*MAX(AE77-AE88-AE99,0))</f>
        <v>106725.591048492</v>
      </c>
      <c r="AF110" s="39" t="n">
        <f aca="false">IF(28&gt;='Inputs &amp; Assumptions'!$E$140,0,'Inputs &amp; Assumptions'!$C$66*MAX(AF77-AF88-AF99,0))</f>
        <v>0</v>
      </c>
      <c r="AG110" s="39" t="n">
        <f aca="false">IF(29&gt;='Inputs &amp; Assumptions'!$E$140,0,'Inputs &amp; Assumptions'!$C$66*MAX(AG77-AG88-AG99,0))</f>
        <v>0</v>
      </c>
      <c r="AH110" s="39" t="n">
        <f aca="false">IF(30&gt;='Inputs &amp; Assumptions'!$E$140,0,'Inputs &amp; Assumptions'!$C$66*MAX(AH77-AH88-AH99,0))</f>
        <v>0</v>
      </c>
      <c r="AI110" s="39" t="n">
        <f aca="false">IF(31&gt;='Inputs &amp; Assumptions'!$E$140,0,'Inputs &amp; Assumptions'!$C$66*MAX(AI77-AI88-AI99,0))</f>
        <v>0</v>
      </c>
      <c r="AJ110" s="39" t="n">
        <f aca="false">IF(32&gt;='Inputs &amp; Assumptions'!$E$140,0,'Inputs &amp; Assumptions'!$C$66*MAX(AJ77-AJ88-AJ99,0))</f>
        <v>0</v>
      </c>
      <c r="AK110" s="39" t="n">
        <f aca="false">IF(33&gt;='Inputs &amp; Assumptions'!$E$140,0,'Inputs &amp; Assumptions'!$C$66*MAX(AK77-AK88-AK99,0))</f>
        <v>0</v>
      </c>
      <c r="AL110" s="39" t="n">
        <f aca="false">IF(34&gt;='Inputs &amp; Assumptions'!$E$140,0,'Inputs &amp; Assumptions'!$C$66*MAX(AL77-AL88-AL99,0))</f>
        <v>0</v>
      </c>
      <c r="AM110" s="39" t="n">
        <f aca="false">IF(35&gt;='Inputs &amp; Assumptions'!$E$140,0,'Inputs &amp; Assumptions'!$C$66*MAX(AM77-AM88-AM99,0))</f>
        <v>0</v>
      </c>
      <c r="AN110" s="39" t="n">
        <f aca="false">IF(36&gt;='Inputs &amp; Assumptions'!$E$140,0,'Inputs &amp; Assumptions'!$C$66*MAX(AN77-AN88-AN99,0))</f>
        <v>0</v>
      </c>
    </row>
    <row r="111" customFormat="false" ht="15" hidden="false" customHeight="false" outlineLevel="0" collapsed="false">
      <c r="B111" s="37" t="n">
        <v>2</v>
      </c>
      <c r="C111" s="38" t="n">
        <f aca="false">'Inputs &amp; Assumptions'!$C$141</f>
        <v>1</v>
      </c>
      <c r="D111" s="38" t="n">
        <f aca="false">'Inputs &amp; Assumptions'!$D$141</f>
        <v>3</v>
      </c>
      <c r="E111" s="39" t="n">
        <f aca="false">IF(1&gt;='Inputs &amp; Assumptions'!$E$141,0,'Inputs &amp; Assumptions'!$C$66*MAX(E78-E89-E100,0))</f>
        <v>1547375.00152706</v>
      </c>
      <c r="F111" s="39" t="n">
        <f aca="false">IF(2&gt;='Inputs &amp; Assumptions'!$E$141,0,'Inputs &amp; Assumptions'!$C$66*MAX(F78-F89-F100,0))</f>
        <v>1495167.21367574</v>
      </c>
      <c r="G111" s="39" t="n">
        <f aca="false">IF(3&gt;='Inputs &amp; Assumptions'!$E$141,0,'Inputs &amp; Assumptions'!$C$66*MAX(G78-G89-G100,0))</f>
        <v>1444720.89483461</v>
      </c>
      <c r="H111" s="39" t="n">
        <f aca="false">IF(4&gt;='Inputs &amp; Assumptions'!$E$141,0,'Inputs &amp; Assumptions'!$C$66*MAX(H78-H89-H100,0))</f>
        <v>1350343.7065527</v>
      </c>
      <c r="I111" s="39" t="n">
        <f aca="false">IF(5&gt;='Inputs &amp; Assumptions'!$E$141,0,'Inputs &amp; Assumptions'!$C$66*MAX(I78-I89-I100,0))</f>
        <v>1262131.76008314</v>
      </c>
      <c r="J111" s="39" t="n">
        <f aca="false">IF(6&gt;='Inputs &amp; Assumptions'!$E$141,0,'Inputs &amp; Assumptions'!$C$66*MAX(J78-J89-J100,0))</f>
        <v>1179682.3076084</v>
      </c>
      <c r="K111" s="39" t="n">
        <f aca="false">IF(7&gt;='Inputs &amp; Assumptions'!$E$141,0,'Inputs &amp; Assumptions'!$C$66*MAX(K78-K89-K100,0))</f>
        <v>1102618.91103398</v>
      </c>
      <c r="L111" s="39" t="n">
        <f aca="false">IF(8&gt;='Inputs &amp; Assumptions'!$E$141,0,'Inputs &amp; Assumptions'!$C$66*MAX(L78-L89-L100,0))</f>
        <v>1031839.80685335</v>
      </c>
      <c r="M111" s="39" t="n">
        <f aca="false">IF(9&gt;='Inputs &amp; Assumptions'!$E$141,0,'Inputs &amp; Assumptions'!$C$66*MAX(M78-M89-M100,0))</f>
        <v>965604.141514984</v>
      </c>
      <c r="N111" s="39" t="n">
        <f aca="false">IF(10&gt;='Inputs &amp; Assumptions'!$E$141,0,'Inputs &amp; Assumptions'!$C$66*MAX(N78-N89-N100,0))</f>
        <v>903620.26345375</v>
      </c>
      <c r="O111" s="39" t="n">
        <f aca="false">IF(11&gt;='Inputs &amp; Assumptions'!$E$141,0,'Inputs &amp; Assumptions'!$C$66*MAX(O78-O89-O100,0))</f>
        <v>845615.242746506</v>
      </c>
      <c r="P111" s="39" t="n">
        <f aca="false">IF(12&gt;='Inputs &amp; Assumptions'!$E$141,0,'Inputs &amp; Assumptions'!$C$66*MAX(P78-P89-P100,0))</f>
        <v>792851.623875882</v>
      </c>
      <c r="Q111" s="39" t="n">
        <f aca="false">IF(13&gt;='Inputs &amp; Assumptions'!$E$141,0,'Inputs &amp; Assumptions'!$C$66*MAX(Q78-Q89-Q100,0))</f>
        <v>743380.281841804</v>
      </c>
      <c r="R111" s="39" t="n">
        <f aca="false">IF(14&gt;='Inputs &amp; Assumptions'!$E$141,0,'Inputs &amp; Assumptions'!$C$66*MAX(R78-R89-R100,0))</f>
        <v>696995.789363117</v>
      </c>
      <c r="S111" s="39" t="n">
        <f aca="false">IF(15&gt;='Inputs &amp; Assumptions'!$E$141,0,'Inputs &amp; Assumptions'!$C$66*MAX(S78-S89-S100,0))</f>
        <v>653505.537147536</v>
      </c>
      <c r="T111" s="39" t="n">
        <f aca="false">IF(16&gt;='Inputs &amp; Assumptions'!$E$141,0,'Inputs &amp; Assumptions'!$C$66*MAX(T78-T89-T100,0))</f>
        <v>613763.114829374</v>
      </c>
      <c r="U111" s="39" t="n">
        <f aca="false">IF(17&gt;='Inputs &amp; Assumptions'!$E$141,0,'Inputs &amp; Assumptions'!$C$66*MAX(U78-U89-U100,0))</f>
        <v>576437.596488199</v>
      </c>
      <c r="V111" s="39" t="n">
        <f aca="false">IF(18&gt;='Inputs &amp; Assumptions'!$E$141,0,'Inputs &amp; Assumptions'!$C$66*MAX(V78-V89-V100,0))</f>
        <v>541382.000020424</v>
      </c>
      <c r="W111" s="39" t="n">
        <f aca="false">IF(19&gt;='Inputs &amp; Assumptions'!$E$141,0,'Inputs &amp; Assumptions'!$C$66*MAX(W78-W89-W100,0))</f>
        <v>508458.281922828</v>
      </c>
      <c r="X111" s="39" t="n">
        <f aca="false">IF(20&gt;='Inputs &amp; Assumptions'!$E$141,0,'Inputs &amp; Assumptions'!$C$66*MAX(X78-X89-X100,0))</f>
        <v>478077.224644915</v>
      </c>
      <c r="Y111" s="39" t="n">
        <f aca="false">IF(21&gt;='Inputs &amp; Assumptions'!$E$141,0,'Inputs &amp; Assumptions'!$C$66*MAX(Y78-Y89-Y100,0))</f>
        <v>449511.475867502</v>
      </c>
      <c r="Z111" s="39" t="n">
        <f aca="false">IF(22&gt;='Inputs &amp; Assumptions'!$E$141,0,'Inputs &amp; Assumptions'!$C$66*MAX(Z78-Z89-Z100,0))</f>
        <v>422652.568498022</v>
      </c>
      <c r="AA111" s="39" t="n">
        <f aca="false">IF(23&gt;='Inputs &amp; Assumptions'!$E$141,0,'Inputs &amp; Assumptions'!$C$66*MAX(AA78-AA89-AA100,0))</f>
        <v>397398.516496674</v>
      </c>
      <c r="AB111" s="39" t="n">
        <f aca="false">IF(24&gt;='Inputs &amp; Assumptions'!$E$141,0,'Inputs &amp; Assumptions'!$C$66*MAX(AB78-AB89-AB100,0))</f>
        <v>374038.269629847</v>
      </c>
      <c r="AC111" s="39" t="n">
        <f aca="false">IF(25&gt;='Inputs &amp; Assumptions'!$E$141,0,'Inputs &amp; Assumptions'!$C$66*MAX(AC78-AC89-AC100,0))</f>
        <v>352051.206383557</v>
      </c>
      <c r="AD111" s="39" t="n">
        <f aca="false">IF(26&gt;='Inputs &amp; Assumptions'!$E$141,0,'Inputs &amp; Assumptions'!$C$66*MAX(AD78-AD89-AD100,0))</f>
        <v>331356.607009146</v>
      </c>
      <c r="AE111" s="39" t="n">
        <f aca="false">IF(27&gt;='Inputs &amp; Assumptions'!$E$141,0,'Inputs &amp; Assumptions'!$C$66*MAX(AE78-AE89-AE100,0))</f>
        <v>0</v>
      </c>
      <c r="AF111" s="39" t="n">
        <f aca="false">IF(28&gt;='Inputs &amp; Assumptions'!$E$141,0,'Inputs &amp; Assumptions'!$C$66*MAX(AF78-AF89-AF100,0))</f>
        <v>0</v>
      </c>
      <c r="AG111" s="39" t="n">
        <f aca="false">IF(29&gt;='Inputs &amp; Assumptions'!$E$141,0,'Inputs &amp; Assumptions'!$C$66*MAX(AG78-AG89-AG100,0))</f>
        <v>0</v>
      </c>
      <c r="AH111" s="39" t="n">
        <f aca="false">IF(30&gt;='Inputs &amp; Assumptions'!$E$141,0,'Inputs &amp; Assumptions'!$C$66*MAX(AH78-AH89-AH100,0))</f>
        <v>0</v>
      </c>
      <c r="AI111" s="39" t="n">
        <f aca="false">IF(31&gt;='Inputs &amp; Assumptions'!$E$141,0,'Inputs &amp; Assumptions'!$C$66*MAX(AI78-AI89-AI100,0))</f>
        <v>0</v>
      </c>
      <c r="AJ111" s="39" t="n">
        <f aca="false">IF(32&gt;='Inputs &amp; Assumptions'!$E$141,0,'Inputs &amp; Assumptions'!$C$66*MAX(AJ78-AJ89-AJ100,0))</f>
        <v>0</v>
      </c>
      <c r="AK111" s="39" t="n">
        <f aca="false">IF(33&gt;='Inputs &amp; Assumptions'!$E$141,0,'Inputs &amp; Assumptions'!$C$66*MAX(AK78-AK89-AK100,0))</f>
        <v>0</v>
      </c>
      <c r="AL111" s="39" t="n">
        <f aca="false">IF(34&gt;='Inputs &amp; Assumptions'!$E$141,0,'Inputs &amp; Assumptions'!$C$66*MAX(AL78-AL89-AL100,0))</f>
        <v>0</v>
      </c>
      <c r="AM111" s="39" t="n">
        <f aca="false">IF(35&gt;='Inputs &amp; Assumptions'!$E$141,0,'Inputs &amp; Assumptions'!$C$66*MAX(AM78-AM89-AM100,0))</f>
        <v>0</v>
      </c>
      <c r="AN111" s="39" t="n">
        <f aca="false">IF(36&gt;='Inputs &amp; Assumptions'!$E$141,0,'Inputs &amp; Assumptions'!$C$66*MAX(AN78-AN89-AN100,0))</f>
        <v>0</v>
      </c>
    </row>
    <row r="112" customFormat="false" ht="15" hidden="false" customHeight="false" outlineLevel="0" collapsed="false">
      <c r="B112" s="37" t="n">
        <v>3</v>
      </c>
      <c r="C112" s="38" t="n">
        <f aca="false">'Inputs &amp; Assumptions'!$C$142</f>
        <v>2</v>
      </c>
      <c r="D112" s="38" t="n">
        <f aca="false">'Inputs &amp; Assumptions'!$D$142</f>
        <v>3</v>
      </c>
      <c r="E112" s="39" t="n">
        <f aca="false">IF(1&gt;='Inputs &amp; Assumptions'!$E$142,0,'Inputs &amp; Assumptions'!$C$66*MAX(E79-E90-E101,0))</f>
        <v>1547375.00152706</v>
      </c>
      <c r="F112" s="39" t="n">
        <f aca="false">IF(2&gt;='Inputs &amp; Assumptions'!$E$142,0,'Inputs &amp; Assumptions'!$C$66*MAX(F79-F90-F101,0))</f>
        <v>1495167.21367574</v>
      </c>
      <c r="G112" s="39" t="n">
        <f aca="false">IF(3&gt;='Inputs &amp; Assumptions'!$E$142,0,'Inputs &amp; Assumptions'!$C$66*MAX(G79-G90-G101,0))</f>
        <v>1397494.59182711</v>
      </c>
      <c r="H112" s="39" t="n">
        <f aca="false">IF(4&gt;='Inputs &amp; Assumptions'!$E$142,0,'Inputs &amp; Assumptions'!$C$66*MAX(H79-H90-H101,0))</f>
        <v>1306202.48780385</v>
      </c>
      <c r="I112" s="39" t="n">
        <f aca="false">IF(5&gt;='Inputs &amp; Assumptions'!$E$142,0,'Inputs &amp; Assumptions'!$C$66*MAX(I79-I90-I101,0))</f>
        <v>1220874.09076432</v>
      </c>
      <c r="J112" s="39" t="n">
        <f aca="false">IF(6&gt;='Inputs &amp; Assumptions'!$E$142,0,'Inputs &amp; Assumptions'!$C$66*MAX(J79-J90-J101,0))</f>
        <v>1141119.81826468</v>
      </c>
      <c r="K112" s="39" t="n">
        <f aca="false">IF(7&gt;='Inputs &amp; Assumptions'!$E$142,0,'Inputs &amp; Assumptions'!$C$66*MAX(K79-K90-K101,0))</f>
        <v>1067869.27114337</v>
      </c>
      <c r="L112" s="39" t="n">
        <f aca="false">IF(8&gt;='Inputs &amp; Assumptions'!$E$142,0,'Inputs &amp; Assumptions'!$C$66*MAX(L79-L90-L101,0))</f>
        <v>999320.809261221</v>
      </c>
      <c r="M112" s="39" t="n">
        <f aca="false">IF(9&gt;='Inputs &amp; Assumptions'!$E$142,0,'Inputs &amp; Assumptions'!$C$66*MAX(M79-M90-M101,0))</f>
        <v>935172.597253641</v>
      </c>
      <c r="N112" s="39" t="n">
        <f aca="false">IF(10&gt;='Inputs &amp; Assumptions'!$E$142,0,'Inputs &amp; Assumptions'!$C$66*MAX(N79-N90-N101,0))</f>
        <v>875142.175114573</v>
      </c>
      <c r="O112" s="39" t="n">
        <f aca="false">IF(11&gt;='Inputs &amp; Assumptions'!$E$142,0,'Inputs &amp; Assumptions'!$C$66*MAX(O79-O90-O101,0))</f>
        <v>820536.172465686</v>
      </c>
      <c r="P112" s="39" t="n">
        <f aca="false">IF(12&gt;='Inputs &amp; Assumptions'!$E$142,0,'Inputs &amp; Assumptions'!$C$66*MAX(P79-P90-P101,0))</f>
        <v>769337.405361013</v>
      </c>
      <c r="Q112" s="39" t="n">
        <f aca="false">IF(13&gt;='Inputs &amp; Assumptions'!$E$142,0,'Inputs &amp; Assumptions'!$C$66*MAX(Q79-Q90-Q101,0))</f>
        <v>721333.273472922</v>
      </c>
      <c r="R112" s="39" t="n">
        <f aca="false">IF(14&gt;='Inputs &amp; Assumptions'!$E$142,0,'Inputs &amp; Assumptions'!$C$66*MAX(R79-R90-R101,0))</f>
        <v>676324.442037235</v>
      </c>
      <c r="S112" s="39" t="n">
        <f aca="false">IF(15&gt;='Inputs &amp; Assumptions'!$E$142,0,'Inputs &amp; Assumptions'!$C$66*MAX(S79-S90-S101,0))</f>
        <v>635194.30606798</v>
      </c>
      <c r="T112" s="39" t="n">
        <f aca="false">IF(16&gt;='Inputs &amp; Assumptions'!$E$142,0,'Inputs &amp; Assumptions'!$C$66*MAX(T79-T90-T101,0))</f>
        <v>596565.46678372</v>
      </c>
      <c r="U112" s="39" t="n">
        <f aca="false">IF(17&gt;='Inputs &amp; Assumptions'!$E$142,0,'Inputs &amp; Assumptions'!$C$66*MAX(U79-U90-U101,0))</f>
        <v>560285.809805086</v>
      </c>
      <c r="V112" s="39" t="n">
        <f aca="false">IF(18&gt;='Inputs &amp; Assumptions'!$E$142,0,'Inputs &amp; Assumptions'!$C$66*MAX(V79-V90-V101,0))</f>
        <v>526212.471468367</v>
      </c>
      <c r="W112" s="39" t="n">
        <f aca="false">IF(19&gt;='Inputs &amp; Assumptions'!$E$142,0,'Inputs &amp; Assumptions'!$C$66*MAX(W79-W90-W101,0))</f>
        <v>494770.577798005</v>
      </c>
      <c r="X112" s="39" t="n">
        <f aca="false">IF(20&gt;='Inputs &amp; Assumptions'!$E$142,0,'Inputs &amp; Assumptions'!$C$66*MAX(X79-X90-X101,0))</f>
        <v>465207.379010756</v>
      </c>
      <c r="Y112" s="39" t="n">
        <f aca="false">IF(21&gt;='Inputs &amp; Assumptions'!$E$142,0,'Inputs &amp; Assumptions'!$C$66*MAX(Y79-Y90-Y101,0))</f>
        <v>437410.620593556</v>
      </c>
      <c r="Z112" s="39" t="n">
        <f aca="false">IF(22&gt;='Inputs &amp; Assumptions'!$E$142,0,'Inputs &amp; Assumptions'!$C$66*MAX(Z79-Z90-Z101,0))</f>
        <v>411274.755389501</v>
      </c>
      <c r="AA112" s="39" t="n">
        <f aca="false">IF(23&gt;='Inputs &amp; Assumptions'!$E$142,0,'Inputs &amp; Assumptions'!$C$66*MAX(AA79-AA90-AA101,0))</f>
        <v>387098.822623851</v>
      </c>
      <c r="AB112" s="39" t="n">
        <f aca="false">IF(24&gt;='Inputs &amp; Assumptions'!$E$142,0,'Inputs &amp; Assumptions'!$C$66*MAX(AB79-AB90-AB101,0))</f>
        <v>364344.021881089</v>
      </c>
      <c r="AC112" s="39" t="n">
        <f aca="false">IF(25&gt;='Inputs &amp; Assumptions'!$E$142,0,'Inputs &amp; Assumptions'!$C$66*MAX(AC79-AC90-AC101,0))</f>
        <v>342926.814865254</v>
      </c>
      <c r="AD112" s="39" t="n">
        <f aca="false">IF(26&gt;='Inputs &amp; Assumptions'!$E$142,0,'Inputs &amp; Assumptions'!$C$66*MAX(AD79-AD90-AD101,0))</f>
        <v>0</v>
      </c>
      <c r="AE112" s="39" t="n">
        <f aca="false">IF(27&gt;='Inputs &amp; Assumptions'!$E$142,0,'Inputs &amp; Assumptions'!$C$66*MAX(AE79-AE90-AE101,0))</f>
        <v>0</v>
      </c>
      <c r="AF112" s="39" t="n">
        <f aca="false">IF(28&gt;='Inputs &amp; Assumptions'!$E$142,0,'Inputs &amp; Assumptions'!$C$66*MAX(AF79-AF90-AF101,0))</f>
        <v>0</v>
      </c>
      <c r="AG112" s="39" t="n">
        <f aca="false">IF(29&gt;='Inputs &amp; Assumptions'!$E$142,0,'Inputs &amp; Assumptions'!$C$66*MAX(AG79-AG90-AG101,0))</f>
        <v>0</v>
      </c>
      <c r="AH112" s="39" t="n">
        <f aca="false">IF(30&gt;='Inputs &amp; Assumptions'!$E$142,0,'Inputs &amp; Assumptions'!$C$66*MAX(AH79-AH90-AH101,0))</f>
        <v>0</v>
      </c>
      <c r="AI112" s="39" t="n">
        <f aca="false">IF(31&gt;='Inputs &amp; Assumptions'!$E$142,0,'Inputs &amp; Assumptions'!$C$66*MAX(AI79-AI90-AI101,0))</f>
        <v>0</v>
      </c>
      <c r="AJ112" s="39" t="n">
        <f aca="false">IF(32&gt;='Inputs &amp; Assumptions'!$E$142,0,'Inputs &amp; Assumptions'!$C$66*MAX(AJ79-AJ90-AJ101,0))</f>
        <v>0</v>
      </c>
      <c r="AK112" s="39" t="n">
        <f aca="false">IF(33&gt;='Inputs &amp; Assumptions'!$E$142,0,'Inputs &amp; Assumptions'!$C$66*MAX(AK79-AK90-AK101,0))</f>
        <v>0</v>
      </c>
      <c r="AL112" s="39" t="n">
        <f aca="false">IF(34&gt;='Inputs &amp; Assumptions'!$E$142,0,'Inputs &amp; Assumptions'!$C$66*MAX(AL79-AL90-AL101,0))</f>
        <v>0</v>
      </c>
      <c r="AM112" s="39" t="n">
        <f aca="false">IF(35&gt;='Inputs &amp; Assumptions'!$E$142,0,'Inputs &amp; Assumptions'!$C$66*MAX(AM79-AM90-AM101,0))</f>
        <v>0</v>
      </c>
      <c r="AN112" s="39" t="n">
        <f aca="false">IF(36&gt;='Inputs &amp; Assumptions'!$E$142,0,'Inputs &amp; Assumptions'!$C$66*MAX(AN79-AN90-AN101,0))</f>
        <v>0</v>
      </c>
    </row>
    <row r="113" customFormat="false" ht="15" hidden="false" customHeight="false" outlineLevel="0" collapsed="false">
      <c r="B113" s="37" t="n">
        <v>4</v>
      </c>
      <c r="C113" s="38" t="n">
        <f aca="false">'Inputs &amp; Assumptions'!$C$143</f>
        <v>3</v>
      </c>
      <c r="D113" s="38" t="n">
        <f aca="false">'Inputs &amp; Assumptions'!$D$143</f>
        <v>3</v>
      </c>
      <c r="E113" s="39" t="n">
        <f aca="false">IF(1&gt;='Inputs &amp; Assumptions'!$E$143,0,'Inputs &amp; Assumptions'!$C$66*MAX(E80-E91-E102,0))</f>
        <v>1547375.00152706</v>
      </c>
      <c r="F113" s="39" t="n">
        <f aca="false">IF(2&gt;='Inputs &amp; Assumptions'!$E$143,0,'Inputs &amp; Assumptions'!$C$66*MAX(F80-F91-F102,0))</f>
        <v>1446291.8771783</v>
      </c>
      <c r="G113" s="39" t="n">
        <f aca="false">IF(3&gt;='Inputs &amp; Assumptions'!$E$143,0,'Inputs &amp; Assumptions'!$C$66*MAX(G80-G91-G102,0))</f>
        <v>1351812.06360941</v>
      </c>
      <c r="H113" s="39" t="n">
        <f aca="false">IF(4&gt;='Inputs &amp; Assumptions'!$E$143,0,'Inputs &amp; Assumptions'!$C$66*MAX(H80-H91-H102,0))</f>
        <v>1263504.19590628</v>
      </c>
      <c r="I113" s="39" t="n">
        <f aca="false">IF(5&gt;='Inputs &amp; Assumptions'!$E$143,0,'Inputs &amp; Assumptions'!$C$66*MAX(I80-I91-I102,0))</f>
        <v>1180965.08830538</v>
      </c>
      <c r="J113" s="39" t="n">
        <f aca="false">IF(6&gt;='Inputs &amp; Assumptions'!$E$143,0,'Inputs &amp; Assumptions'!$C$66*MAX(J80-J91-J102,0))</f>
        <v>1105156.80116066</v>
      </c>
      <c r="K113" s="39" t="n">
        <f aca="false">IF(7&gt;='Inputs &amp; Assumptions'!$E$143,0,'Inputs &amp; Assumptions'!$C$66*MAX(K80-K91-K102,0))</f>
        <v>1034214.78521797</v>
      </c>
      <c r="L113" s="39" t="n">
        <f aca="false">IF(8&gt;='Inputs &amp; Assumptions'!$E$143,0,'Inputs &amp; Assumptions'!$C$66*MAX(L80-L91-L102,0))</f>
        <v>967826.665718504</v>
      </c>
      <c r="M113" s="39" t="n">
        <f aca="false">IF(9&gt;='Inputs &amp; Assumptions'!$E$143,0,'Inputs &amp; Assumptions'!$C$66*MAX(M80-M91-M102,0))</f>
        <v>905700.119804787</v>
      </c>
      <c r="N113" s="39" t="n">
        <f aca="false">IF(10&gt;='Inputs &amp; Assumptions'!$E$143,0,'Inputs &amp; Assumptions'!$C$66*MAX(N80-N91-N102,0))</f>
        <v>849187.401588822</v>
      </c>
      <c r="O113" s="39" t="n">
        <f aca="false">IF(11&gt;='Inputs &amp; Assumptions'!$E$143,0,'Inputs &amp; Assumptions'!$C$66*MAX(O80-O91-O102,0))</f>
        <v>796200.891717452</v>
      </c>
      <c r="P113" s="39" t="n">
        <f aca="false">IF(12&gt;='Inputs &amp; Assumptions'!$E$143,0,'Inputs &amp; Assumptions'!$C$66*MAX(P80-P91-P102,0))</f>
        <v>746520.566350346</v>
      </c>
      <c r="Q113" s="39" t="n">
        <f aca="false">IF(13&gt;='Inputs &amp; Assumptions'!$E$143,0,'Inputs &amp; Assumptions'!$C$66*MAX(Q80-Q91-Q102,0))</f>
        <v>699940.130413479</v>
      </c>
      <c r="R113" s="39" t="n">
        <f aca="false">IF(14&gt;='Inputs &amp; Assumptions'!$E$143,0,'Inputs &amp; Assumptions'!$C$66*MAX(R80-R91-R102,0))</f>
        <v>657373.825035653</v>
      </c>
      <c r="S113" s="39" t="n">
        <f aca="false">IF(15&gt;='Inputs &amp; Assumptions'!$E$143,0,'Inputs &amp; Assumptions'!$C$66*MAX(S80-S91-S102,0))</f>
        <v>617396.155849394</v>
      </c>
      <c r="T113" s="39" t="n">
        <f aca="false">IF(16&gt;='Inputs &amp; Assumptions'!$E$143,0,'Inputs &amp; Assumptions'!$C$66*MAX(T80-T91-T102,0))</f>
        <v>579849.696992325</v>
      </c>
      <c r="U113" s="39" t="n">
        <f aca="false">IF(17&gt;='Inputs &amp; Assumptions'!$E$143,0,'Inputs &amp; Assumptions'!$C$66*MAX(U80-U91-U102,0))</f>
        <v>544586.596331366</v>
      </c>
      <c r="V113" s="39" t="n">
        <f aca="false">IF(18&gt;='Inputs &amp; Assumptions'!$E$143,0,'Inputs &amp; Assumptions'!$C$66*MAX(V80-V91-V102,0))</f>
        <v>512046.824310427</v>
      </c>
      <c r="W113" s="39" t="n">
        <f aca="false">IF(19&gt;='Inputs &amp; Assumptions'!$E$143,0,'Inputs &amp; Assumptions'!$C$66*MAX(W80-W91-W102,0))</f>
        <v>481451.346861385</v>
      </c>
      <c r="X113" s="39" t="n">
        <f aca="false">IF(20&gt;='Inputs &amp; Assumptions'!$E$143,0,'Inputs &amp; Assumptions'!$C$66*MAX(X80-X91-X102,0))</f>
        <v>452683.989802691</v>
      </c>
      <c r="Y113" s="39" t="n">
        <f aca="false">IF(21&gt;='Inputs &amp; Assumptions'!$E$143,0,'Inputs &amp; Assumptions'!$C$66*MAX(Y80-Y91-Y102,0))</f>
        <v>425635.520514355</v>
      </c>
      <c r="Z113" s="39" t="n">
        <f aca="false">IF(22&gt;='Inputs &amp; Assumptions'!$E$143,0,'Inputs &amp; Assumptions'!$C$66*MAX(Z80-Z91-Z102,0))</f>
        <v>400615.419981118</v>
      </c>
      <c r="AA113" s="39" t="n">
        <f aca="false">IF(23&gt;='Inputs &amp; Assumptions'!$E$143,0,'Inputs &amp; Assumptions'!$C$66*MAX(AA80-AA91-AA102,0))</f>
        <v>377066.074120652</v>
      </c>
      <c r="AB113" s="39" t="n">
        <f aca="false">IF(24&gt;='Inputs &amp; Assumptions'!$E$143,0,'Inputs &amp; Assumptions'!$C$66*MAX(AB80-AB91-AB102,0))</f>
        <v>354901.02767253</v>
      </c>
      <c r="AC113" s="39" t="n">
        <f aca="false">IF(25&gt;='Inputs &amp; Assumptions'!$E$143,0,'Inputs &amp; Assumptions'!$C$66*MAX(AC80-AC91-AC102,0))</f>
        <v>0</v>
      </c>
      <c r="AD113" s="39" t="n">
        <f aca="false">IF(26&gt;='Inputs &amp; Assumptions'!$E$143,0,'Inputs &amp; Assumptions'!$C$66*MAX(AD80-AD91-AD102,0))</f>
        <v>0</v>
      </c>
      <c r="AE113" s="39" t="n">
        <f aca="false">IF(27&gt;='Inputs &amp; Assumptions'!$E$143,0,'Inputs &amp; Assumptions'!$C$66*MAX(AE80-AE91-AE102,0))</f>
        <v>0</v>
      </c>
      <c r="AF113" s="39" t="n">
        <f aca="false">IF(28&gt;='Inputs &amp; Assumptions'!$E$143,0,'Inputs &amp; Assumptions'!$C$66*MAX(AF80-AF91-AF102,0))</f>
        <v>0</v>
      </c>
      <c r="AG113" s="39" t="n">
        <f aca="false">IF(29&gt;='Inputs &amp; Assumptions'!$E$143,0,'Inputs &amp; Assumptions'!$C$66*MAX(AG80-AG91-AG102,0))</f>
        <v>0</v>
      </c>
      <c r="AH113" s="39" t="n">
        <f aca="false">IF(30&gt;='Inputs &amp; Assumptions'!$E$143,0,'Inputs &amp; Assumptions'!$C$66*MAX(AH80-AH91-AH102,0))</f>
        <v>0</v>
      </c>
      <c r="AI113" s="39" t="n">
        <f aca="false">IF(31&gt;='Inputs &amp; Assumptions'!$E$143,0,'Inputs &amp; Assumptions'!$C$66*MAX(AI80-AI91-AI102,0))</f>
        <v>0</v>
      </c>
      <c r="AJ113" s="39" t="n">
        <f aca="false">IF(32&gt;='Inputs &amp; Assumptions'!$E$143,0,'Inputs &amp; Assumptions'!$C$66*MAX(AJ80-AJ91-AJ102,0))</f>
        <v>0</v>
      </c>
      <c r="AK113" s="39" t="n">
        <f aca="false">IF(33&gt;='Inputs &amp; Assumptions'!$E$143,0,'Inputs &amp; Assumptions'!$C$66*MAX(AK80-AK91-AK102,0))</f>
        <v>0</v>
      </c>
      <c r="AL113" s="39" t="n">
        <f aca="false">IF(34&gt;='Inputs &amp; Assumptions'!$E$143,0,'Inputs &amp; Assumptions'!$C$66*MAX(AL80-AL91-AL102,0))</f>
        <v>0</v>
      </c>
      <c r="AM113" s="39" t="n">
        <f aca="false">IF(35&gt;='Inputs &amp; Assumptions'!$E$143,0,'Inputs &amp; Assumptions'!$C$66*MAX(AM80-AM91-AM102,0))</f>
        <v>0</v>
      </c>
      <c r="AN113" s="39" t="n">
        <f aca="false">IF(36&gt;='Inputs &amp; Assumptions'!$E$143,0,'Inputs &amp; Assumptions'!$C$66*MAX(AN80-AN91-AN102,0))</f>
        <v>0</v>
      </c>
    </row>
    <row r="114" customFormat="false" ht="15" hidden="false" customHeight="false" outlineLevel="0" collapsed="false">
      <c r="B114" s="37" t="n">
        <v>5</v>
      </c>
      <c r="C114" s="38" t="n">
        <f aca="false">'Inputs &amp; Assumptions'!$C$144</f>
        <v>4</v>
      </c>
      <c r="D114" s="38" t="n">
        <f aca="false">'Inputs &amp; Assumptions'!$D$144</f>
        <v>3</v>
      </c>
      <c r="E114" s="39" t="n">
        <f aca="false">IF(1&gt;='Inputs &amp; Assumptions'!$E$144,0,'Inputs &amp; Assumptions'!$C$66*MAX(E81-E92-E103,0))</f>
        <v>1496793.05109662</v>
      </c>
      <c r="F114" s="39" t="n">
        <f aca="false">IF(2&gt;='Inputs &amp; Assumptions'!$E$144,0,'Inputs &amp; Assumptions'!$C$66*MAX(F81-F92-F103,0))</f>
        <v>1399014.22052287</v>
      </c>
      <c r="G114" s="39" t="n">
        <f aca="false">IF(3&gt;='Inputs &amp; Assumptions'!$E$144,0,'Inputs &amp; Assumptions'!$C$66*MAX(G81-G92-G103,0))</f>
        <v>1307622.84591798</v>
      </c>
      <c r="H114" s="39" t="n">
        <f aca="false">IF(4&gt;='Inputs &amp; Assumptions'!$E$144,0,'Inputs &amp; Assumptions'!$C$66*MAX(H81-H92-H103,0))</f>
        <v>1222201.66320223</v>
      </c>
      <c r="I114" s="39" t="n">
        <f aca="false">IF(5&gt;='Inputs &amp; Assumptions'!$E$144,0,'Inputs &amp; Assumptions'!$C$66*MAX(I81-I92-I103,0))</f>
        <v>1143746.32565645</v>
      </c>
      <c r="J114" s="39" t="n">
        <f aca="false">IF(6&gt;='Inputs &amp; Assumptions'!$E$144,0,'Inputs &amp; Assumptions'!$C$66*MAX(J81-J92-J103,0))</f>
        <v>1070327.1782704</v>
      </c>
      <c r="K114" s="39" t="n">
        <f aca="false">IF(7&gt;='Inputs &amp; Assumptions'!$E$144,0,'Inputs &amp; Assumptions'!$C$66*MAX(K81-K92-K103,0))</f>
        <v>1001620.93887974</v>
      </c>
      <c r="L114" s="39" t="n">
        <f aca="false">IF(8&gt;='Inputs &amp; Assumptions'!$E$144,0,'Inputs &amp; Assumptions'!$C$66*MAX(L81-L92-L103,0))</f>
        <v>937325.077387584</v>
      </c>
      <c r="M114" s="39" t="n">
        <f aca="false">IF(9&gt;='Inputs &amp; Assumptions'!$E$144,0,'Inputs &amp; Assumptions'!$C$66*MAX(M81-M92-M103,0))</f>
        <v>878839.065498153</v>
      </c>
      <c r="N114" s="39" t="n">
        <f aca="false">IF(10&gt;='Inputs &amp; Assumptions'!$E$144,0,'Inputs &amp; Assumptions'!$C$66*MAX(N81-N92-N103,0))</f>
        <v>824002.389009268</v>
      </c>
      <c r="O114" s="39" t="n">
        <f aca="false">IF(11&gt;='Inputs &amp; Assumptions'!$E$144,0,'Inputs &amp; Assumptions'!$C$66*MAX(O81-O92-O103,0))</f>
        <v>772587.341355968</v>
      </c>
      <c r="P114" s="39" t="n">
        <f aca="false">IF(12&gt;='Inputs &amp; Assumptions'!$E$144,0,'Inputs &amp; Assumptions'!$C$66*MAX(P81-P92-P103,0))</f>
        <v>724380.424116427</v>
      </c>
      <c r="Q114" s="39" t="n">
        <f aca="false">IF(13&gt;='Inputs &amp; Assumptions'!$E$144,0,'Inputs &amp; Assumptions'!$C$66*MAX(Q81-Q92-Q103,0))</f>
        <v>680327.80160935</v>
      </c>
      <c r="R114" s="39" t="n">
        <f aca="false">IF(14&gt;='Inputs &amp; Assumptions'!$E$144,0,'Inputs &amp; Assumptions'!$C$66*MAX(R81-R92-R103,0))</f>
        <v>638954.204494377</v>
      </c>
      <c r="S114" s="39" t="n">
        <f aca="false">IF(15&gt;='Inputs &amp; Assumptions'!$E$144,0,'Inputs &amp; Assumptions'!$C$66*MAX(S81-S92-S103,0))</f>
        <v>600096.7099614</v>
      </c>
      <c r="T114" s="39" t="n">
        <f aca="false">IF(16&gt;='Inputs &amp; Assumptions'!$E$144,0,'Inputs &amp; Assumptions'!$C$66*MAX(T81-T92-T103,0))</f>
        <v>563602.303222132</v>
      </c>
      <c r="U114" s="39" t="n">
        <f aca="false">IF(17&gt;='Inputs &amp; Assumptions'!$E$144,0,'Inputs &amp; Assumptions'!$C$66*MAX(U81-U92-U103,0))</f>
        <v>529926.317472815</v>
      </c>
      <c r="V114" s="39" t="n">
        <f aca="false">IF(18&gt;='Inputs &amp; Assumptions'!$E$144,0,'Inputs &amp; Assumptions'!$C$66*MAX(V81-V92-V103,0))</f>
        <v>498262.516573887</v>
      </c>
      <c r="W114" s="39" t="n">
        <f aca="false">IF(19&gt;='Inputs &amp; Assumptions'!$E$144,0,'Inputs &amp; Assumptions'!$C$66*MAX(W81-W92-W103,0))</f>
        <v>468490.669809543</v>
      </c>
      <c r="X114" s="39" t="n">
        <f aca="false">IF(20&gt;='Inputs &amp; Assumptions'!$E$144,0,'Inputs &amp; Assumptions'!$C$66*MAX(X81-X92-X103,0))</f>
        <v>440497.730408839</v>
      </c>
      <c r="Y114" s="39" t="n">
        <f aca="false">IF(21&gt;='Inputs &amp; Assumptions'!$E$144,0,'Inputs &amp; Assumptions'!$C$66*MAX(Y81-Y92-Y103,0))</f>
        <v>414603.98571814</v>
      </c>
      <c r="Z114" s="39" t="n">
        <f aca="false">IF(22&gt;='Inputs &amp; Assumptions'!$E$144,0,'Inputs &amp; Assumptions'!$C$66*MAX(Z81-Z92-Z103,0))</f>
        <v>390232.351058484</v>
      </c>
      <c r="AA114" s="39" t="n">
        <f aca="false">IF(23&gt;='Inputs &amp; Assumptions'!$E$144,0,'Inputs &amp; Assumptions'!$C$66*MAX(AA81-AA92-AA103,0))</f>
        <v>367293.352351314</v>
      </c>
      <c r="AB114" s="39" t="n">
        <f aca="false">IF(24&gt;='Inputs &amp; Assumptions'!$E$144,0,'Inputs &amp; Assumptions'!$C$66*MAX(AB81-AB92-AB103,0))</f>
        <v>0</v>
      </c>
      <c r="AC114" s="39" t="n">
        <f aca="false">IF(25&gt;='Inputs &amp; Assumptions'!$E$144,0,'Inputs &amp; Assumptions'!$C$66*MAX(AC81-AC92-AC103,0))</f>
        <v>0</v>
      </c>
      <c r="AD114" s="39" t="n">
        <f aca="false">IF(26&gt;='Inputs &amp; Assumptions'!$E$144,0,'Inputs &amp; Assumptions'!$C$66*MAX(AD81-AD92-AD103,0))</f>
        <v>0</v>
      </c>
      <c r="AE114" s="39" t="n">
        <f aca="false">IF(27&gt;='Inputs &amp; Assumptions'!$E$144,0,'Inputs &amp; Assumptions'!$C$66*MAX(AE81-AE92-AE103,0))</f>
        <v>0</v>
      </c>
      <c r="AF114" s="39" t="n">
        <f aca="false">IF(28&gt;='Inputs &amp; Assumptions'!$E$144,0,'Inputs &amp; Assumptions'!$C$66*MAX(AF81-AF92-AF103,0))</f>
        <v>0</v>
      </c>
      <c r="AG114" s="39" t="n">
        <f aca="false">IF(29&gt;='Inputs &amp; Assumptions'!$E$144,0,'Inputs &amp; Assumptions'!$C$66*MAX(AG81-AG92-AG103,0))</f>
        <v>0</v>
      </c>
      <c r="AH114" s="39" t="n">
        <f aca="false">IF(30&gt;='Inputs &amp; Assumptions'!$E$144,0,'Inputs &amp; Assumptions'!$C$66*MAX(AH81-AH92-AH103,0))</f>
        <v>0</v>
      </c>
      <c r="AI114" s="39" t="n">
        <f aca="false">IF(31&gt;='Inputs &amp; Assumptions'!$E$144,0,'Inputs &amp; Assumptions'!$C$66*MAX(AI81-AI92-AI103,0))</f>
        <v>0</v>
      </c>
      <c r="AJ114" s="39" t="n">
        <f aca="false">IF(32&gt;='Inputs &amp; Assumptions'!$E$144,0,'Inputs &amp; Assumptions'!$C$66*MAX(AJ81-AJ92-AJ103,0))</f>
        <v>0</v>
      </c>
      <c r="AK114" s="39" t="n">
        <f aca="false">IF(33&gt;='Inputs &amp; Assumptions'!$E$144,0,'Inputs &amp; Assumptions'!$C$66*MAX(AK81-AK92-AK103,0))</f>
        <v>0</v>
      </c>
      <c r="AL114" s="39" t="n">
        <f aca="false">IF(34&gt;='Inputs &amp; Assumptions'!$E$144,0,'Inputs &amp; Assumptions'!$C$66*MAX(AL81-AL92-AL103,0))</f>
        <v>0</v>
      </c>
      <c r="AM114" s="39" t="n">
        <f aca="false">IF(35&gt;='Inputs &amp; Assumptions'!$E$144,0,'Inputs &amp; Assumptions'!$C$66*MAX(AM81-AM92-AM103,0))</f>
        <v>0</v>
      </c>
      <c r="AN114" s="39" t="n">
        <f aca="false">IF(36&gt;='Inputs &amp; Assumptions'!$E$144,0,'Inputs &amp; Assumptions'!$C$66*MAX(AN81-AN92-AN103,0))</f>
        <v>0</v>
      </c>
    </row>
    <row r="115" customFormat="false" ht="15" hidden="false" customHeight="false" outlineLevel="0" collapsed="false">
      <c r="B115" s="37" t="n">
        <v>6</v>
      </c>
      <c r="C115" s="38" t="n">
        <f aca="false">'Inputs &amp; Assumptions'!$C$145</f>
        <v>5</v>
      </c>
      <c r="D115" s="38" t="n">
        <f aca="false">'Inputs &amp; Assumptions'!$D$145</f>
        <v>3</v>
      </c>
      <c r="E115" s="39" t="n">
        <f aca="false">IF(1&gt;='Inputs &amp; Assumptions'!$E$145,0,'Inputs &amp; Assumptions'!$C$66*MAX(E82-E93-E104,0))</f>
        <v>1451889.25956372</v>
      </c>
      <c r="F115" s="39" t="n">
        <f aca="false">IF(2&gt;='Inputs &amp; Assumptions'!$E$145,0,'Inputs &amp; Assumptions'!$C$66*MAX(F82-F93-F104,0))</f>
        <v>1357043.79390718</v>
      </c>
      <c r="G115" s="39" t="n">
        <f aca="false">IF(3&gt;='Inputs &amp; Assumptions'!$E$145,0,'Inputs &amp; Assumptions'!$C$66*MAX(G82-G93-G104,0))</f>
        <v>1268394.16054044</v>
      </c>
      <c r="H115" s="39" t="n">
        <f aca="false">IF(4&gt;='Inputs &amp; Assumptions'!$E$145,0,'Inputs &amp; Assumptions'!$C$66*MAX(H82-H93-H104,0))</f>
        <v>1186973.64295943</v>
      </c>
      <c r="I115" s="39" t="n">
        <f aca="false">IF(5&gt;='Inputs &amp; Assumptions'!$E$145,0,'Inputs &amp; Assumptions'!$C$66*MAX(I82-I93-I104,0))</f>
        <v>1110779.65581303</v>
      </c>
      <c r="J115" s="39" t="n">
        <f aca="false">IF(6&gt;='Inputs &amp; Assumptions'!$E$145,0,'Inputs &amp; Assumptions'!$C$66*MAX(J82-J93-J104,0))</f>
        <v>1039476.69865008</v>
      </c>
      <c r="K115" s="39" t="n">
        <f aca="false">IF(7&gt;='Inputs &amp; Assumptions'!$E$145,0,'Inputs &amp; Assumptions'!$C$66*MAX(K82-K93-K104,0))</f>
        <v>972750.807400761</v>
      </c>
      <c r="L115" s="39" t="n">
        <f aca="false">IF(8&gt;='Inputs &amp; Assumptions'!$E$145,0,'Inputs &amp; Assumptions'!$C$66*MAX(L82-L93-L104,0))</f>
        <v>912054.346098712</v>
      </c>
      <c r="M115" s="39" t="n">
        <f aca="false">IF(9&gt;='Inputs &amp; Assumptions'!$E$145,0,'Inputs &amp; Assumptions'!$C$66*MAX(M82-M93-M104,0))</f>
        <v>855145.14499379</v>
      </c>
      <c r="N115" s="39" t="n">
        <f aca="false">IF(10&gt;='Inputs &amp; Assumptions'!$E$145,0,'Inputs &amp; Assumptions'!$C$66*MAX(N82-N93-N104,0))</f>
        <v>801786.891465899</v>
      </c>
      <c r="O115" s="39" t="n">
        <f aca="false">IF(11&gt;='Inputs &amp; Assumptions'!$E$145,0,'Inputs &amp; Assumptions'!$C$66*MAX(O82-O93-O104,0))</f>
        <v>751758.018027709</v>
      </c>
      <c r="P115" s="39" t="n">
        <f aca="false">IF(12&gt;='Inputs &amp; Assumptions'!$E$145,0,'Inputs &amp; Assumptions'!$C$66*MAX(P82-P93-P104,0))</f>
        <v>706040.448802619</v>
      </c>
      <c r="Q115" s="39" t="n">
        <f aca="false">IF(13&gt;='Inputs &amp; Assumptions'!$E$145,0,'Inputs &amp; Assumptions'!$C$66*MAX(Q82-Q93-Q104,0))</f>
        <v>663103.157387315</v>
      </c>
      <c r="R115" s="39" t="n">
        <f aca="false">IF(14&gt;='Inputs &amp; Assumptions'!$E$145,0,'Inputs &amp; Assumptions'!$C$66*MAX(R82-R93-R104,0))</f>
        <v>622777.063385996</v>
      </c>
      <c r="S115" s="39" t="n">
        <f aca="false">IF(15&gt;='Inputs &amp; Assumptions'!$E$145,0,'Inputs &amp; Assumptions'!$C$66*MAX(S82-S93-S104,0))</f>
        <v>584903.368893392</v>
      </c>
      <c r="T115" s="39" t="n">
        <f aca="false">IF(16&gt;='Inputs &amp; Assumptions'!$E$145,0,'Inputs &amp; Assumptions'!$C$66*MAX(T82-T93-T104,0))</f>
        <v>549954.616194952</v>
      </c>
      <c r="U115" s="39" t="n">
        <f aca="false">IF(17&gt;='Inputs &amp; Assumptions'!$E$145,0,'Inputs &amp; Assumptions'!$C$66*MAX(U82-U93-U104,0))</f>
        <v>517094.097861596</v>
      </c>
      <c r="V115" s="39" t="n">
        <f aca="false">IF(18&gt;='Inputs &amp; Assumptions'!$E$145,0,'Inputs &amp; Assumptions'!$C$66*MAX(V82-V93-V104,0))</f>
        <v>486197.039118066</v>
      </c>
      <c r="W115" s="39" t="n">
        <f aca="false">IF(19&gt;='Inputs &amp; Assumptions'!$E$145,0,'Inputs &amp; Assumptions'!$C$66*MAX(W82-W93-W104,0))</f>
        <v>457146.120647552</v>
      </c>
      <c r="X115" s="39" t="n">
        <f aca="false">IF(20&gt;='Inputs &amp; Assumptions'!$E$145,0,'Inputs &amp; Assumptions'!$C$66*MAX(X82-X93-X104,0))</f>
        <v>430273.734895633</v>
      </c>
      <c r="Y115" s="39" t="n">
        <f aca="false">IF(21&gt;='Inputs &amp; Assumptions'!$E$145,0,'Inputs &amp; Assumptions'!$C$66*MAX(Y82-Y93-Y104,0))</f>
        <v>404980.986558064</v>
      </c>
      <c r="Z115" s="39" t="n">
        <f aca="false">IF(22&gt;='Inputs &amp; Assumptions'!$E$145,0,'Inputs &amp; Assumptions'!$C$66*MAX(Z82-Z93-Z104,0))</f>
        <v>381175.019928476</v>
      </c>
      <c r="AA115" s="39" t="n">
        <f aca="false">IF(23&gt;='Inputs &amp; Assumptions'!$E$145,0,'Inputs &amp; Assumptions'!$C$66*MAX(AA82-AA93-AA104,0))</f>
        <v>0</v>
      </c>
      <c r="AB115" s="39" t="n">
        <f aca="false">IF(24&gt;='Inputs &amp; Assumptions'!$E$145,0,'Inputs &amp; Assumptions'!$C$66*MAX(AB82-AB93-AB104,0))</f>
        <v>0</v>
      </c>
      <c r="AC115" s="39" t="n">
        <f aca="false">IF(25&gt;='Inputs &amp; Assumptions'!$E$145,0,'Inputs &amp; Assumptions'!$C$66*MAX(AC82-AC93-AC104,0))</f>
        <v>0</v>
      </c>
      <c r="AD115" s="39" t="n">
        <f aca="false">IF(26&gt;='Inputs &amp; Assumptions'!$E$145,0,'Inputs &amp; Assumptions'!$C$66*MAX(AD82-AD93-AD104,0))</f>
        <v>0</v>
      </c>
      <c r="AE115" s="39" t="n">
        <f aca="false">IF(27&gt;='Inputs &amp; Assumptions'!$E$145,0,'Inputs &amp; Assumptions'!$C$66*MAX(AE82-AE93-AE104,0))</f>
        <v>0</v>
      </c>
      <c r="AF115" s="39" t="n">
        <f aca="false">IF(28&gt;='Inputs &amp; Assumptions'!$E$145,0,'Inputs &amp; Assumptions'!$C$66*MAX(AF82-AF93-AF104,0))</f>
        <v>0</v>
      </c>
      <c r="AG115" s="39" t="n">
        <f aca="false">IF(29&gt;='Inputs &amp; Assumptions'!$E$145,0,'Inputs &amp; Assumptions'!$C$66*MAX(AG82-AG93-AG104,0))</f>
        <v>0</v>
      </c>
      <c r="AH115" s="39" t="n">
        <f aca="false">IF(30&gt;='Inputs &amp; Assumptions'!$E$145,0,'Inputs &amp; Assumptions'!$C$66*MAX(AH82-AH93-AH104,0))</f>
        <v>0</v>
      </c>
      <c r="AI115" s="39" t="n">
        <f aca="false">IF(31&gt;='Inputs &amp; Assumptions'!$E$145,0,'Inputs &amp; Assumptions'!$C$66*MAX(AI82-AI93-AI104,0))</f>
        <v>0</v>
      </c>
      <c r="AJ115" s="39" t="n">
        <f aca="false">IF(32&gt;='Inputs &amp; Assumptions'!$E$145,0,'Inputs &amp; Assumptions'!$C$66*MAX(AJ82-AJ93-AJ104,0))</f>
        <v>0</v>
      </c>
      <c r="AK115" s="39" t="n">
        <f aca="false">IF(33&gt;='Inputs &amp; Assumptions'!$E$145,0,'Inputs &amp; Assumptions'!$C$66*MAX(AK82-AK93-AK104,0))</f>
        <v>0</v>
      </c>
      <c r="AL115" s="39" t="n">
        <f aca="false">IF(34&gt;='Inputs &amp; Assumptions'!$E$145,0,'Inputs &amp; Assumptions'!$C$66*MAX(AL82-AL93-AL104,0))</f>
        <v>0</v>
      </c>
      <c r="AM115" s="39" t="n">
        <f aca="false">IF(35&gt;='Inputs &amp; Assumptions'!$E$145,0,'Inputs &amp; Assumptions'!$C$66*MAX(AM82-AM93-AM104,0))</f>
        <v>0</v>
      </c>
      <c r="AN115" s="39" t="n">
        <f aca="false">IF(36&gt;='Inputs &amp; Assumptions'!$E$145,0,'Inputs &amp; Assumptions'!$C$66*MAX(AN82-AN93-AN104,0))</f>
        <v>0</v>
      </c>
    </row>
    <row r="116" customFormat="false" ht="15" hidden="false" customHeight="false" outlineLevel="0" collapsed="false">
      <c r="B116" s="37" t="n">
        <v>7</v>
      </c>
      <c r="C116" s="38" t="n">
        <f aca="false">'Inputs &amp; Assumptions'!$C$146</f>
        <v>6</v>
      </c>
      <c r="D116" s="38" t="n">
        <f aca="false">'Inputs &amp; Assumptions'!$D$146</f>
        <v>3</v>
      </c>
      <c r="E116" s="39" t="n">
        <f aca="false">IF(1&gt;='Inputs &amp; Assumptions'!$E$146,0,'Inputs &amp; Assumptions'!$C$66*MAX(E83-E94-E105,0))</f>
        <v>1408332.58177681</v>
      </c>
      <c r="F116" s="39" t="n">
        <f aca="false">IF(2&gt;='Inputs &amp; Assumptions'!$E$146,0,'Inputs &amp; Assumptions'!$C$66*MAX(F83-F94-F105,0))</f>
        <v>1316332.48008997</v>
      </c>
      <c r="G116" s="39" t="n">
        <f aca="false">IF(3&gt;='Inputs &amp; Assumptions'!$E$146,0,'Inputs &amp; Assumptions'!$C$66*MAX(G83-G94-G105,0))</f>
        <v>1231834.71498519</v>
      </c>
      <c r="H116" s="39" t="n">
        <f aca="false">IF(4&gt;='Inputs &amp; Assumptions'!$E$146,0,'Inputs &amp; Assumptions'!$C$66*MAX(H83-H94-H105,0))</f>
        <v>1152761.0144049</v>
      </c>
      <c r="I116" s="39" t="n">
        <f aca="false">IF(5&gt;='Inputs &amp; Assumptions'!$E$146,0,'Inputs &amp; Assumptions'!$C$66*MAX(I83-I94-I105,0))</f>
        <v>1078763.19782708</v>
      </c>
      <c r="J116" s="39" t="n">
        <f aca="false">IF(6&gt;='Inputs &amp; Assumptions'!$E$146,0,'Inputs &amp; Assumptions'!$C$66*MAX(J83-J94-J105,0))</f>
        <v>1009515.43506774</v>
      </c>
      <c r="K116" s="39" t="n">
        <f aca="false">IF(7&gt;='Inputs &amp; Assumptions'!$E$146,0,'Inputs &amp; Assumptions'!$C$66*MAX(K83-K94-K105,0))</f>
        <v>946524.981528939</v>
      </c>
      <c r="L116" s="39" t="n">
        <f aca="false">IF(8&gt;='Inputs &amp; Assumptions'!$E$146,0,'Inputs &amp; Assumptions'!$C$66*MAX(L83-L94-L105,0))</f>
        <v>887464.92578218</v>
      </c>
      <c r="M116" s="39" t="n">
        <f aca="false">IF(9&gt;='Inputs &amp; Assumptions'!$E$146,0,'Inputs &amp; Assumptions'!$C$66*MAX(M83-M94-M105,0))</f>
        <v>832090.023890712</v>
      </c>
      <c r="N116" s="39" t="n">
        <f aca="false">IF(10&gt;='Inputs &amp; Assumptions'!$E$146,0,'Inputs &amp; Assumptions'!$C$66*MAX(N83-N94-N105,0))</f>
        <v>780170.334335424</v>
      </c>
      <c r="O116" s="39" t="n">
        <f aca="false">IF(11&gt;='Inputs &amp; Assumptions'!$E$146,0,'Inputs &amp; Assumptions'!$C$66*MAX(O83-O94-O105,0))</f>
        <v>732724.892568248</v>
      </c>
      <c r="P116" s="39" t="n">
        <f aca="false">IF(12&gt;='Inputs &amp; Assumptions'!$E$146,0,'Inputs &amp; Assumptions'!$C$66*MAX(P83-P94-P105,0))</f>
        <v>688164.807812756</v>
      </c>
      <c r="Q116" s="39" t="n">
        <f aca="false">IF(13&gt;='Inputs &amp; Assumptions'!$E$146,0,'Inputs &amp; Assumptions'!$C$66*MAX(Q83-Q94-Q105,0))</f>
        <v>646314.609364602</v>
      </c>
      <c r="R116" s="39" t="n">
        <f aca="false">IF(14&gt;='Inputs &amp; Assumptions'!$E$146,0,'Inputs &amp; Assumptions'!$C$66*MAX(R83-R94-R105,0))</f>
        <v>607009.497631528</v>
      </c>
      <c r="S116" s="39" t="n">
        <f aca="false">IF(15&gt;='Inputs &amp; Assumptions'!$E$146,0,'Inputs &amp; Assumptions'!$C$66*MAX(S83-S94-S105,0))</f>
        <v>570739.87439707</v>
      </c>
      <c r="T116" s="39" t="n">
        <f aca="false">IF(16&gt;='Inputs &amp; Assumptions'!$E$146,0,'Inputs &amp; Assumptions'!$C$66*MAX(T83-T94-T105,0))</f>
        <v>536637.409295562</v>
      </c>
      <c r="U116" s="39" t="n">
        <f aca="false">IF(17&gt;='Inputs &amp; Assumptions'!$E$146,0,'Inputs &amp; Assumptions'!$C$66*MAX(U83-U94-U105,0))</f>
        <v>504572.611751849</v>
      </c>
      <c r="V116" s="39" t="n">
        <f aca="false">IF(18&gt;='Inputs &amp; Assumptions'!$E$146,0,'Inputs &amp; Assumptions'!$C$66*MAX(V83-V94-V105,0))</f>
        <v>474423.728424533</v>
      </c>
      <c r="W116" s="39" t="n">
        <f aca="false">IF(19&gt;='Inputs &amp; Assumptions'!$E$146,0,'Inputs &amp; Assumptions'!$C$66*MAX(W83-W94-W105,0))</f>
        <v>446535.714364545</v>
      </c>
      <c r="X116" s="39" t="n">
        <f aca="false">IF(20&gt;='Inputs &amp; Assumptions'!$E$146,0,'Inputs &amp; Assumptions'!$C$66*MAX(X83-X94-X105,0))</f>
        <v>420287.039320741</v>
      </c>
      <c r="Y116" s="39" t="n">
        <f aca="false">IF(21&gt;='Inputs &amp; Assumptions'!$E$146,0,'Inputs &amp; Assumptions'!$C$66*MAX(Y83-Y94-Y105,0))</f>
        <v>395581.338152019</v>
      </c>
      <c r="Z116" s="39" t="n">
        <f aca="false">IF(22&gt;='Inputs &amp; Assumptions'!$E$146,0,'Inputs &amp; Assumptions'!$C$66*MAX(Z83-Z94-Z105,0))</f>
        <v>0</v>
      </c>
      <c r="AA116" s="39" t="n">
        <f aca="false">IF(23&gt;='Inputs &amp; Assumptions'!$E$146,0,'Inputs &amp; Assumptions'!$C$66*MAX(AA83-AA94-AA105,0))</f>
        <v>0</v>
      </c>
      <c r="AB116" s="39" t="n">
        <f aca="false">IF(24&gt;='Inputs &amp; Assumptions'!$E$146,0,'Inputs &amp; Assumptions'!$C$66*MAX(AB83-AB94-AB105,0))</f>
        <v>0</v>
      </c>
      <c r="AC116" s="39" t="n">
        <f aca="false">IF(25&gt;='Inputs &amp; Assumptions'!$E$146,0,'Inputs &amp; Assumptions'!$C$66*MAX(AC83-AC94-AC105,0))</f>
        <v>0</v>
      </c>
      <c r="AD116" s="39" t="n">
        <f aca="false">IF(26&gt;='Inputs &amp; Assumptions'!$E$146,0,'Inputs &amp; Assumptions'!$C$66*MAX(AD83-AD94-AD105,0))</f>
        <v>0</v>
      </c>
      <c r="AE116" s="39" t="n">
        <f aca="false">IF(27&gt;='Inputs &amp; Assumptions'!$E$146,0,'Inputs &amp; Assumptions'!$C$66*MAX(AE83-AE94-AE105,0))</f>
        <v>0</v>
      </c>
      <c r="AF116" s="39" t="n">
        <f aca="false">IF(28&gt;='Inputs &amp; Assumptions'!$E$146,0,'Inputs &amp; Assumptions'!$C$66*MAX(AF83-AF94-AF105,0))</f>
        <v>0</v>
      </c>
      <c r="AG116" s="39" t="n">
        <f aca="false">IF(29&gt;='Inputs &amp; Assumptions'!$E$146,0,'Inputs &amp; Assumptions'!$C$66*MAX(AG83-AG94-AG105,0))</f>
        <v>0</v>
      </c>
      <c r="AH116" s="39" t="n">
        <f aca="false">IF(30&gt;='Inputs &amp; Assumptions'!$E$146,0,'Inputs &amp; Assumptions'!$C$66*MAX(AH83-AH94-AH105,0))</f>
        <v>0</v>
      </c>
      <c r="AI116" s="39" t="n">
        <f aca="false">IF(31&gt;='Inputs &amp; Assumptions'!$E$146,0,'Inputs &amp; Assumptions'!$C$66*MAX(AI83-AI94-AI105,0))</f>
        <v>0</v>
      </c>
      <c r="AJ116" s="39" t="n">
        <f aca="false">IF(32&gt;='Inputs &amp; Assumptions'!$E$146,0,'Inputs &amp; Assumptions'!$C$66*MAX(AJ83-AJ94-AJ105,0))</f>
        <v>0</v>
      </c>
      <c r="AK116" s="39" t="n">
        <f aca="false">IF(33&gt;='Inputs &amp; Assumptions'!$E$146,0,'Inputs &amp; Assumptions'!$C$66*MAX(AK83-AK94-AK105,0))</f>
        <v>0</v>
      </c>
      <c r="AL116" s="39" t="n">
        <f aca="false">IF(34&gt;='Inputs &amp; Assumptions'!$E$146,0,'Inputs &amp; Assumptions'!$C$66*MAX(AL83-AL94-AL105,0))</f>
        <v>0</v>
      </c>
      <c r="AM116" s="39" t="n">
        <f aca="false">IF(35&gt;='Inputs &amp; Assumptions'!$E$146,0,'Inputs &amp; Assumptions'!$C$66*MAX(AM83-AM94-AM105,0))</f>
        <v>0</v>
      </c>
      <c r="AN116" s="39" t="n">
        <f aca="false">IF(36&gt;='Inputs &amp; Assumptions'!$E$146,0,'Inputs &amp; Assumptions'!$C$66*MAX(AN83-AN94-AN105,0))</f>
        <v>0</v>
      </c>
    </row>
    <row r="117" customFormat="false" ht="15" hidden="false" customHeight="false" outlineLevel="0" collapsed="false">
      <c r="B117" s="37" t="n">
        <v>8</v>
      </c>
      <c r="C117" s="38" t="n">
        <f aca="false">'Inputs &amp; Assumptions'!$C$147</f>
        <v>7</v>
      </c>
      <c r="D117" s="38" t="n">
        <f aca="false">'Inputs &amp; Assumptions'!$D$147</f>
        <v>3</v>
      </c>
      <c r="E117" s="39" t="n">
        <f aca="false">IF(1&gt;='Inputs &amp; Assumptions'!$E$147,0,'Inputs &amp; Assumptions'!$C$66*MAX(E84-E95-E106,0))</f>
        <v>1366082.6043235</v>
      </c>
      <c r="F117" s="39" t="n">
        <f aca="false">IF(2&gt;='Inputs &amp; Assumptions'!$E$147,0,'Inputs &amp; Assumptions'!$C$66*MAX(F84-F95-F106,0))</f>
        <v>1278391.28867203</v>
      </c>
      <c r="G117" s="39" t="n">
        <f aca="false">IF(3&gt;='Inputs &amp; Assumptions'!$E$147,0,'Inputs &amp; Assumptions'!$C$66*MAX(G84-G95-G106,0))</f>
        <v>1196329.03733654</v>
      </c>
      <c r="H117" s="39" t="n">
        <f aca="false">IF(4&gt;='Inputs &amp; Assumptions'!$E$147,0,'Inputs &amp; Assumptions'!$C$66*MAX(H84-H95-H106,0))</f>
        <v>1119534.51048723</v>
      </c>
      <c r="I117" s="39" t="n">
        <f aca="false">IF(5&gt;='Inputs &amp; Assumptions'!$E$147,0,'Inputs &amp; Assumptions'!$C$66*MAX(I84-I95-I106,0))</f>
        <v>1047669.56335215</v>
      </c>
      <c r="J117" s="39" t="n">
        <f aca="false">IF(6&gt;='Inputs &amp; Assumptions'!$E$147,0,'Inputs &amp; Assumptions'!$C$66*MAX(J84-J95-J106,0))</f>
        <v>982298.417293429</v>
      </c>
      <c r="K117" s="39" t="n">
        <f aca="false">IF(7&gt;='Inputs &amp; Assumptions'!$E$147,0,'Inputs &amp; Assumptions'!$C$66*MAX(K84-K95-K106,0))</f>
        <v>921006.216435095</v>
      </c>
      <c r="L117" s="39" t="n">
        <f aca="false">IF(8&gt;='Inputs &amp; Assumptions'!$E$147,0,'Inputs &amp; Assumptions'!$C$66*MAX(L84-L95-L106,0))</f>
        <v>863538.447969118</v>
      </c>
      <c r="M117" s="39" t="n">
        <f aca="false">IF(9&gt;='Inputs &amp; Assumptions'!$E$147,0,'Inputs &amp; Assumptions'!$C$66*MAX(M84-M95-M106,0))</f>
        <v>809656.479852288</v>
      </c>
      <c r="N117" s="39" t="n">
        <f aca="false">IF(10&gt;='Inputs &amp; Assumptions'!$E$147,0,'Inputs &amp; Assumptions'!$C$66*MAX(N84-N95-N106,0))</f>
        <v>760417.861469071</v>
      </c>
      <c r="O117" s="39" t="n">
        <f aca="false">IF(11&gt;='Inputs &amp; Assumptions'!$E$147,0,'Inputs &amp; Assumptions'!$C$66*MAX(O84-O95-O106,0))</f>
        <v>714173.650715039</v>
      </c>
      <c r="P117" s="39" t="n">
        <f aca="false">IF(12&gt;='Inputs &amp; Assumptions'!$E$147,0,'Inputs &amp; Assumptions'!$C$66*MAX(P84-P95-P106,0))</f>
        <v>670741.7450588</v>
      </c>
      <c r="Q117" s="39" t="n">
        <f aca="false">IF(13&gt;='Inputs &amp; Assumptions'!$E$147,0,'Inputs &amp; Assumptions'!$C$66*MAX(Q84-Q95-Q106,0))</f>
        <v>629951.11639037</v>
      </c>
      <c r="R117" s="39" t="n">
        <f aca="false">IF(14&gt;='Inputs &amp; Assumptions'!$E$147,0,'Inputs &amp; Assumptions'!$C$66*MAX(R84-R95-R106,0))</f>
        <v>592310.700982119</v>
      </c>
      <c r="S117" s="39" t="n">
        <f aca="false">IF(15&gt;='Inputs &amp; Assumptions'!$E$147,0,'Inputs &amp; Assumptions'!$C$66*MAX(S84-S95-S106,0))</f>
        <v>556919.350358805</v>
      </c>
      <c r="T117" s="39" t="n">
        <f aca="false">IF(16&gt;='Inputs &amp; Assumptions'!$E$147,0,'Inputs &amp; Assumptions'!$C$66*MAX(T84-T95-T106,0))</f>
        <v>523642.679914096</v>
      </c>
      <c r="U117" s="39" t="n">
        <f aca="false">IF(17&gt;='Inputs &amp; Assumptions'!$E$147,0,'Inputs &amp; Assumptions'!$C$66*MAX(U84-U95-U106,0))</f>
        <v>492354.33470027</v>
      </c>
      <c r="V117" s="39" t="n">
        <f aca="false">IF(18&gt;='Inputs &amp; Assumptions'!$E$147,0,'Inputs &amp; Assumptions'!$C$66*MAX(V84-V95-V106,0))</f>
        <v>463412.307170968</v>
      </c>
      <c r="W117" s="39" t="n">
        <f aca="false">IF(19&gt;='Inputs &amp; Assumptions'!$E$147,0,'Inputs &amp; Assumptions'!$C$66*MAX(W84-W95-W106,0))</f>
        <v>436171.576651707</v>
      </c>
      <c r="X117" s="39" t="n">
        <f aca="false">IF(20&gt;='Inputs &amp; Assumptions'!$E$147,0,'Inputs &amp; Assumptions'!$C$66*MAX(X84-X95-X106,0))</f>
        <v>410532.13592933</v>
      </c>
      <c r="Y117" s="39" t="n">
        <f aca="false">IF(21&gt;='Inputs &amp; Assumptions'!$E$147,0,'Inputs &amp; Assumptions'!$C$66*MAX(Y84-Y95-Y106,0))</f>
        <v>0</v>
      </c>
      <c r="Z117" s="39" t="n">
        <f aca="false">IF(22&gt;='Inputs &amp; Assumptions'!$E$147,0,'Inputs &amp; Assumptions'!$C$66*MAX(Z84-Z95-Z106,0))</f>
        <v>0</v>
      </c>
      <c r="AA117" s="39" t="n">
        <f aca="false">IF(23&gt;='Inputs &amp; Assumptions'!$E$147,0,'Inputs &amp; Assumptions'!$C$66*MAX(AA84-AA95-AA106,0))</f>
        <v>0</v>
      </c>
      <c r="AB117" s="39" t="n">
        <f aca="false">IF(24&gt;='Inputs &amp; Assumptions'!$E$147,0,'Inputs &amp; Assumptions'!$C$66*MAX(AB84-AB95-AB106,0))</f>
        <v>0</v>
      </c>
      <c r="AC117" s="39" t="n">
        <f aca="false">IF(25&gt;='Inputs &amp; Assumptions'!$E$147,0,'Inputs &amp; Assumptions'!$C$66*MAX(AC84-AC95-AC106,0))</f>
        <v>0</v>
      </c>
      <c r="AD117" s="39" t="n">
        <f aca="false">IF(26&gt;='Inputs &amp; Assumptions'!$E$147,0,'Inputs &amp; Assumptions'!$C$66*MAX(AD84-AD95-AD106,0))</f>
        <v>0</v>
      </c>
      <c r="AE117" s="39" t="n">
        <f aca="false">IF(27&gt;='Inputs &amp; Assumptions'!$E$147,0,'Inputs &amp; Assumptions'!$C$66*MAX(AE84-AE95-AE106,0))</f>
        <v>0</v>
      </c>
      <c r="AF117" s="39" t="n">
        <f aca="false">IF(28&gt;='Inputs &amp; Assumptions'!$E$147,0,'Inputs &amp; Assumptions'!$C$66*MAX(AF84-AF95-AF106,0))</f>
        <v>0</v>
      </c>
      <c r="AG117" s="39" t="n">
        <f aca="false">IF(29&gt;='Inputs &amp; Assumptions'!$E$147,0,'Inputs &amp; Assumptions'!$C$66*MAX(AG84-AG95-AG106,0))</f>
        <v>0</v>
      </c>
      <c r="AH117" s="39" t="n">
        <f aca="false">IF(30&gt;='Inputs &amp; Assumptions'!$E$147,0,'Inputs &amp; Assumptions'!$C$66*MAX(AH84-AH95-AH106,0))</f>
        <v>0</v>
      </c>
      <c r="AI117" s="39" t="n">
        <f aca="false">IF(31&gt;='Inputs &amp; Assumptions'!$E$147,0,'Inputs &amp; Assumptions'!$C$66*MAX(AI84-AI95-AI106,0))</f>
        <v>0</v>
      </c>
      <c r="AJ117" s="39" t="n">
        <f aca="false">IF(32&gt;='Inputs &amp; Assumptions'!$E$147,0,'Inputs &amp; Assumptions'!$C$66*MAX(AJ84-AJ95-AJ106,0))</f>
        <v>0</v>
      </c>
      <c r="AK117" s="39" t="n">
        <f aca="false">IF(33&gt;='Inputs &amp; Assumptions'!$E$147,0,'Inputs &amp; Assumptions'!$C$66*MAX(AK84-AK95-AK106,0))</f>
        <v>0</v>
      </c>
      <c r="AL117" s="39" t="n">
        <f aca="false">IF(34&gt;='Inputs &amp; Assumptions'!$E$147,0,'Inputs &amp; Assumptions'!$C$66*MAX(AL84-AL95-AL106,0))</f>
        <v>0</v>
      </c>
      <c r="AM117" s="39" t="n">
        <f aca="false">IF(35&gt;='Inputs &amp; Assumptions'!$E$147,0,'Inputs &amp; Assumptions'!$C$66*MAX(AM84-AM95-AM106,0))</f>
        <v>0</v>
      </c>
      <c r="AN117" s="39" t="n">
        <f aca="false">IF(36&gt;='Inputs &amp; Assumptions'!$E$147,0,'Inputs &amp; Assumptions'!$C$66*MAX(AN84-AN95-AN106,0))</f>
        <v>0</v>
      </c>
    </row>
    <row r="118" customFormat="false" ht="15" hidden="false" customHeight="false" outlineLevel="0" collapsed="false">
      <c r="B118" s="37" t="n">
        <v>9</v>
      </c>
      <c r="C118" s="38" t="n">
        <f aca="false">'Inputs &amp; Assumptions'!$C$148</f>
        <v>8</v>
      </c>
      <c r="D118" s="38" t="n">
        <f aca="false">'Inputs &amp; Assumptions'!$D$148</f>
        <v>3</v>
      </c>
      <c r="E118" s="39" t="n">
        <f aca="false">IF(1&gt;='Inputs &amp; Assumptions'!$E$148,0,'Inputs &amp; Assumptions'!$C$66*MAX(E85-E96-E107,0))</f>
        <v>1326707.44465274</v>
      </c>
      <c r="F118" s="39" t="n">
        <f aca="false">IF(2&gt;='Inputs &amp; Assumptions'!$E$148,0,'Inputs &amp; Assumptions'!$C$66*MAX(F85-F96-F107,0))</f>
        <v>1241543.6917889</v>
      </c>
      <c r="G118" s="39" t="n">
        <f aca="false">IF(3&gt;='Inputs &amp; Assumptions'!$E$148,0,'Inputs &amp; Assumptions'!$C$66*MAX(G85-G96-G107,0))</f>
        <v>1161846.75440957</v>
      </c>
      <c r="H118" s="39" t="n">
        <f aca="false">IF(4&gt;='Inputs &amp; Assumptions'!$E$148,0,'Inputs &amp; Assumptions'!$C$66*MAX(H85-H96-H107,0))</f>
        <v>1087265.7077312</v>
      </c>
      <c r="I118" s="39" t="n">
        <f aca="false">IF(5&gt;='Inputs &amp; Assumptions'!$E$148,0,'Inputs &amp; Assumptions'!$C$66*MAX(I85-I96-I107,0))</f>
        <v>1019423.89207577</v>
      </c>
      <c r="J118" s="39" t="n">
        <f aca="false">IF(6&gt;='Inputs &amp; Assumptions'!$E$148,0,'Inputs &amp; Assumptions'!$C$66*MAX(J85-J96-J107,0))</f>
        <v>955815.183303688</v>
      </c>
      <c r="K118" s="39" t="n">
        <f aca="false">IF(7&gt;='Inputs &amp; Assumptions'!$E$148,0,'Inputs &amp; Assumptions'!$C$66*MAX(K85-K96-K107,0))</f>
        <v>896175.449423312</v>
      </c>
      <c r="L118" s="39" t="n">
        <f aca="false">IF(8&gt;='Inputs &amp; Assumptions'!$E$148,0,'Inputs &amp; Assumptions'!$C$66*MAX(L85-L96-L107,0))</f>
        <v>840257.039413339</v>
      </c>
      <c r="M118" s="39" t="n">
        <f aca="false">IF(9&gt;='Inputs &amp; Assumptions'!$E$148,0,'Inputs &amp; Assumptions'!$C$66*MAX(M85-M96-M107,0))</f>
        <v>789157.472205487</v>
      </c>
      <c r="N118" s="39" t="n">
        <f aca="false">IF(10&gt;='Inputs &amp; Assumptions'!$E$148,0,'Inputs &amp; Assumptions'!$C$66*MAX(N85-N96-N107,0))</f>
        <v>741165.484757577</v>
      </c>
      <c r="O118" s="39" t="n">
        <f aca="false">IF(11&gt;='Inputs &amp; Assumptions'!$E$148,0,'Inputs &amp; Assumptions'!$C$66*MAX(O85-O96-O107,0))</f>
        <v>696092.092064607</v>
      </c>
      <c r="P118" s="39" t="n">
        <f aca="false">IF(12&gt;='Inputs &amp; Assumptions'!$E$148,0,'Inputs &amp; Assumptions'!$C$66*MAX(P85-P96-P107,0))</f>
        <v>653759.802095166</v>
      </c>
      <c r="Q118" s="39" t="n">
        <f aca="false">IF(13&gt;='Inputs &amp; Assumptions'!$E$148,0,'Inputs &amp; Assumptions'!$C$66*MAX(Q85-Q96-Q107,0))</f>
        <v>614696.786112146</v>
      </c>
      <c r="R118" s="39" t="n">
        <f aca="false">IF(14&gt;='Inputs &amp; Assumptions'!$E$148,0,'Inputs &amp; Assumptions'!$C$66*MAX(R85-R96-R107,0))</f>
        <v>577967.837186781</v>
      </c>
      <c r="S118" s="39" t="n">
        <f aca="false">IF(15&gt;='Inputs &amp; Assumptions'!$E$148,0,'Inputs &amp; Assumptions'!$C$66*MAX(S85-S96-S107,0))</f>
        <v>543433.491714111</v>
      </c>
      <c r="T118" s="39" t="n">
        <f aca="false">IF(16&gt;='Inputs &amp; Assumptions'!$E$148,0,'Inputs &amp; Assumptions'!$C$66*MAX(T85-T96-T107,0))</f>
        <v>510962.619224697</v>
      </c>
      <c r="U118" s="39" t="n">
        <f aca="false">IF(17&gt;='Inputs &amp; Assumptions'!$E$148,0,'Inputs &amp; Assumptions'!$C$66*MAX(U85-U96-U107,0))</f>
        <v>480926.742316965</v>
      </c>
      <c r="V118" s="39" t="n">
        <f aca="false">IF(18&gt;='Inputs &amp; Assumptions'!$E$148,0,'Inputs &amp; Assumptions'!$C$66*MAX(V85-V96-V107,0))</f>
        <v>452656.462084358</v>
      </c>
      <c r="W118" s="39" t="n">
        <f aca="false">IF(19&gt;='Inputs &amp; Assumptions'!$E$148,0,'Inputs &amp; Assumptions'!$C$66*MAX(W85-W96-W107,0))</f>
        <v>426047.99159138</v>
      </c>
      <c r="X118" s="39" t="n">
        <f aca="false">IF(20&gt;='Inputs &amp; Assumptions'!$E$148,0,'Inputs &amp; Assumptions'!$C$66*MAX(X85-X96-X107,0))</f>
        <v>0</v>
      </c>
      <c r="Y118" s="39" t="n">
        <f aca="false">IF(21&gt;='Inputs &amp; Assumptions'!$E$148,0,'Inputs &amp; Assumptions'!$C$66*MAX(Y85-Y96-Y107,0))</f>
        <v>0</v>
      </c>
      <c r="Z118" s="39" t="n">
        <f aca="false">IF(22&gt;='Inputs &amp; Assumptions'!$E$148,0,'Inputs &amp; Assumptions'!$C$66*MAX(Z85-Z96-Z107,0))</f>
        <v>0</v>
      </c>
      <c r="AA118" s="39" t="n">
        <f aca="false">IF(23&gt;='Inputs &amp; Assumptions'!$E$148,0,'Inputs &amp; Assumptions'!$C$66*MAX(AA85-AA96-AA107,0))</f>
        <v>0</v>
      </c>
      <c r="AB118" s="39" t="n">
        <f aca="false">IF(24&gt;='Inputs &amp; Assumptions'!$E$148,0,'Inputs &amp; Assumptions'!$C$66*MAX(AB85-AB96-AB107,0))</f>
        <v>0</v>
      </c>
      <c r="AC118" s="39" t="n">
        <f aca="false">IF(25&gt;='Inputs &amp; Assumptions'!$E$148,0,'Inputs &amp; Assumptions'!$C$66*MAX(AC85-AC96-AC107,0))</f>
        <v>0</v>
      </c>
      <c r="AD118" s="39" t="n">
        <f aca="false">IF(26&gt;='Inputs &amp; Assumptions'!$E$148,0,'Inputs &amp; Assumptions'!$C$66*MAX(AD85-AD96-AD107,0))</f>
        <v>0</v>
      </c>
      <c r="AE118" s="39" t="n">
        <f aca="false">IF(27&gt;='Inputs &amp; Assumptions'!$E$148,0,'Inputs &amp; Assumptions'!$C$66*MAX(AE85-AE96-AE107,0))</f>
        <v>0</v>
      </c>
      <c r="AF118" s="39" t="n">
        <f aca="false">IF(28&gt;='Inputs &amp; Assumptions'!$E$148,0,'Inputs &amp; Assumptions'!$C$66*MAX(AF85-AF96-AF107,0))</f>
        <v>0</v>
      </c>
      <c r="AG118" s="39" t="n">
        <f aca="false">IF(29&gt;='Inputs &amp; Assumptions'!$E$148,0,'Inputs &amp; Assumptions'!$C$66*MAX(AG85-AG96-AG107,0))</f>
        <v>0</v>
      </c>
      <c r="AH118" s="39" t="n">
        <f aca="false">IF(30&gt;='Inputs &amp; Assumptions'!$E$148,0,'Inputs &amp; Assumptions'!$C$66*MAX(AH85-AH96-AH107,0))</f>
        <v>0</v>
      </c>
      <c r="AI118" s="39" t="n">
        <f aca="false">IF(31&gt;='Inputs &amp; Assumptions'!$E$148,0,'Inputs &amp; Assumptions'!$C$66*MAX(AI85-AI96-AI107,0))</f>
        <v>0</v>
      </c>
      <c r="AJ118" s="39" t="n">
        <f aca="false">IF(32&gt;='Inputs &amp; Assumptions'!$E$148,0,'Inputs &amp; Assumptions'!$C$66*MAX(AJ85-AJ96-AJ107,0))</f>
        <v>0</v>
      </c>
      <c r="AK118" s="39" t="n">
        <f aca="false">IF(33&gt;='Inputs &amp; Assumptions'!$E$148,0,'Inputs &amp; Assumptions'!$C$66*MAX(AK85-AK96-AK107,0))</f>
        <v>0</v>
      </c>
      <c r="AL118" s="39" t="n">
        <f aca="false">IF(34&gt;='Inputs &amp; Assumptions'!$E$148,0,'Inputs &amp; Assumptions'!$C$66*MAX(AL85-AL96-AL107,0))</f>
        <v>0</v>
      </c>
      <c r="AM118" s="39" t="n">
        <f aca="false">IF(35&gt;='Inputs &amp; Assumptions'!$E$148,0,'Inputs &amp; Assumptions'!$C$66*MAX(AM85-AM96-AM107,0))</f>
        <v>0</v>
      </c>
      <c r="AN118" s="39" t="n">
        <f aca="false">IF(36&gt;='Inputs &amp; Assumptions'!$E$148,0,'Inputs &amp; Assumptions'!$C$66*MAX(AN85-AN96-AN107,0))</f>
        <v>0</v>
      </c>
    </row>
    <row r="119" customFormat="false" ht="15" hidden="false" customHeight="false" outlineLevel="0" collapsed="false">
      <c r="B119" s="37" t="n">
        <v>10</v>
      </c>
      <c r="C119" s="38" t="n">
        <f aca="false">'Inputs &amp; Assumptions'!$C$149</f>
        <v>9</v>
      </c>
      <c r="D119" s="38" t="n">
        <f aca="false">'Inputs &amp; Assumptions'!$D$149</f>
        <v>3</v>
      </c>
      <c r="E119" s="39" t="n">
        <f aca="false">IF(1&gt;='Inputs &amp; Assumptions'!$E$149,0,'Inputs &amp; Assumptions'!$C$66*MAX(E86-E97-E108,0))</f>
        <v>1286906.22131316</v>
      </c>
      <c r="F119" s="39" t="n">
        <f aca="false">IF(2&gt;='Inputs &amp; Assumptions'!$E$149,0,'Inputs &amp; Assumptions'!$C$66*MAX(F86-F97-F108,0))</f>
        <v>1204297.38103523</v>
      </c>
      <c r="G119" s="39" t="n">
        <f aca="false">IF(3&gt;='Inputs &amp; Assumptions'!$E$149,0,'Inputs &amp; Assumptions'!$C$66*MAX(G86-G97-G108,0))</f>
        <v>1126991.35177729</v>
      </c>
      <c r="H119" s="39" t="n">
        <f aca="false">IF(4&gt;='Inputs &amp; Assumptions'!$E$149,0,'Inputs &amp; Assumptions'!$C$66*MAX(H86-H97-H108,0))</f>
        <v>1056670.78617049</v>
      </c>
      <c r="I119" s="39" t="n">
        <f aca="false">IF(5&gt;='Inputs &amp; Assumptions'!$E$149,0,'Inputs &amp; Assumptions'!$C$66*MAX(I86-I97-I108,0))</f>
        <v>990737.99331763</v>
      </c>
      <c r="J119" s="39" t="n">
        <f aca="false">IF(6&gt;='Inputs &amp; Assumptions'!$E$149,0,'Inputs &amp; Assumptions'!$C$66*MAX(J86-J97-J108,0))</f>
        <v>928919.190583809</v>
      </c>
      <c r="K119" s="39" t="n">
        <f aca="false">IF(7&gt;='Inputs &amp; Assumptions'!$E$149,0,'Inputs &amp; Assumptions'!$C$66*MAX(K86-K97-K108,0))</f>
        <v>870957.678472957</v>
      </c>
      <c r="L119" s="39" t="n">
        <f aca="false">IF(8&gt;='Inputs &amp; Assumptions'!$E$149,0,'Inputs &amp; Assumptions'!$C$66*MAX(L86-L97-L108,0))</f>
        <v>817991.076184927</v>
      </c>
      <c r="M119" s="39" t="n">
        <f aca="false">IF(9&gt;='Inputs &amp; Assumptions'!$E$149,0,'Inputs &amp; Assumptions'!$C$66*MAX(M86-M97-M108,0))</f>
        <v>768245.595918414</v>
      </c>
      <c r="N119" s="39" t="n">
        <f aca="false">IF(10&gt;='Inputs &amp; Assumptions'!$E$149,0,'Inputs &amp; Assumptions'!$C$66*MAX(N86-N97-N108,0))</f>
        <v>721525.34768559</v>
      </c>
      <c r="O119" s="39" t="n">
        <f aca="false">IF(11&gt;='Inputs &amp; Assumptions'!$E$149,0,'Inputs &amp; Assumptions'!$C$66*MAX(O86-O97-O108,0))</f>
        <v>677646.354393287</v>
      </c>
      <c r="P119" s="39" t="n">
        <f aca="false">IF(12&gt;='Inputs &amp; Assumptions'!$E$149,0,'Inputs &amp; Assumptions'!$C$66*MAX(P86-P97-P108,0))</f>
        <v>637156.085203186</v>
      </c>
      <c r="Q119" s="39" t="n">
        <f aca="false">IF(13&gt;='Inputs &amp; Assumptions'!$E$149,0,'Inputs &amp; Assumptions'!$C$66*MAX(Q86-Q97-Q108,0))</f>
        <v>599085.163344415</v>
      </c>
      <c r="R119" s="39" t="n">
        <f aca="false">IF(14&gt;='Inputs &amp; Assumptions'!$E$149,0,'Inputs &amp; Assumptions'!$C$66*MAX(R86-R97-R108,0))</f>
        <v>563289.029602459</v>
      </c>
      <c r="S119" s="39" t="n">
        <f aca="false">IF(15&gt;='Inputs &amp; Assumptions'!$E$149,0,'Inputs &amp; Assumptions'!$C$66*MAX(S86-S97-S108,0))</f>
        <v>529631.762367761</v>
      </c>
      <c r="T119" s="39" t="n">
        <f aca="false">IF(16&gt;='Inputs &amp; Assumptions'!$E$149,0,'Inputs &amp; Assumptions'!$C$66*MAX(T86-T97-T108,0))</f>
        <v>498498.458634033</v>
      </c>
      <c r="U119" s="39" t="n">
        <f aca="false">IF(17&gt;='Inputs &amp; Assumptions'!$E$149,0,'Inputs &amp; Assumptions'!$C$66*MAX(U86-U97-U108,0))</f>
        <v>469195.261533343</v>
      </c>
      <c r="V119" s="39" t="n">
        <f aca="false">IF(18&gt;='Inputs &amp; Assumptions'!$E$149,0,'Inputs &amp; Assumptions'!$C$66*MAX(V86-V97-V108,0))</f>
        <v>441614.592046229</v>
      </c>
      <c r="W119" s="39" t="n">
        <f aca="false">IF(19&gt;='Inputs &amp; Assumptions'!$E$149,0,'Inputs &amp; Assumptions'!$C$66*MAX(W86-W97-W108,0))</f>
        <v>0</v>
      </c>
      <c r="X119" s="39" t="n">
        <f aca="false">IF(20&gt;='Inputs &amp; Assumptions'!$E$149,0,'Inputs &amp; Assumptions'!$C$66*MAX(X86-X97-X108,0))</f>
        <v>0</v>
      </c>
      <c r="Y119" s="39" t="n">
        <f aca="false">IF(21&gt;='Inputs &amp; Assumptions'!$E$149,0,'Inputs &amp; Assumptions'!$C$66*MAX(Y86-Y97-Y108,0))</f>
        <v>0</v>
      </c>
      <c r="Z119" s="39" t="n">
        <f aca="false">IF(22&gt;='Inputs &amp; Assumptions'!$E$149,0,'Inputs &amp; Assumptions'!$C$66*MAX(Z86-Z97-Z108,0))</f>
        <v>0</v>
      </c>
      <c r="AA119" s="39" t="n">
        <f aca="false">IF(23&gt;='Inputs &amp; Assumptions'!$E$149,0,'Inputs &amp; Assumptions'!$C$66*MAX(AA86-AA97-AA108,0))</f>
        <v>0</v>
      </c>
      <c r="AB119" s="39" t="n">
        <f aca="false">IF(24&gt;='Inputs &amp; Assumptions'!$E$149,0,'Inputs &amp; Assumptions'!$C$66*MAX(AB86-AB97-AB108,0))</f>
        <v>0</v>
      </c>
      <c r="AC119" s="39" t="n">
        <f aca="false">IF(25&gt;='Inputs &amp; Assumptions'!$E$149,0,'Inputs &amp; Assumptions'!$C$66*MAX(AC86-AC97-AC108,0))</f>
        <v>0</v>
      </c>
      <c r="AD119" s="39" t="n">
        <f aca="false">IF(26&gt;='Inputs &amp; Assumptions'!$E$149,0,'Inputs &amp; Assumptions'!$C$66*MAX(AD86-AD97-AD108,0))</f>
        <v>0</v>
      </c>
      <c r="AE119" s="39" t="n">
        <f aca="false">IF(27&gt;='Inputs &amp; Assumptions'!$E$149,0,'Inputs &amp; Assumptions'!$C$66*MAX(AE86-AE97-AE108,0))</f>
        <v>0</v>
      </c>
      <c r="AF119" s="39" t="n">
        <f aca="false">IF(28&gt;='Inputs &amp; Assumptions'!$E$149,0,'Inputs &amp; Assumptions'!$C$66*MAX(AF86-AF97-AF108,0))</f>
        <v>0</v>
      </c>
      <c r="AG119" s="39" t="n">
        <f aca="false">IF(29&gt;='Inputs &amp; Assumptions'!$E$149,0,'Inputs &amp; Assumptions'!$C$66*MAX(AG86-AG97-AG108,0))</f>
        <v>0</v>
      </c>
      <c r="AH119" s="39" t="n">
        <f aca="false">IF(30&gt;='Inputs &amp; Assumptions'!$E$149,0,'Inputs &amp; Assumptions'!$C$66*MAX(AH86-AH97-AH108,0))</f>
        <v>0</v>
      </c>
      <c r="AI119" s="39" t="n">
        <f aca="false">IF(31&gt;='Inputs &amp; Assumptions'!$E$149,0,'Inputs &amp; Assumptions'!$C$66*MAX(AI86-AI97-AI108,0))</f>
        <v>0</v>
      </c>
      <c r="AJ119" s="39" t="n">
        <f aca="false">IF(32&gt;='Inputs &amp; Assumptions'!$E$149,0,'Inputs &amp; Assumptions'!$C$66*MAX(AJ86-AJ97-AJ108,0))</f>
        <v>0</v>
      </c>
      <c r="AK119" s="39" t="n">
        <f aca="false">IF(33&gt;='Inputs &amp; Assumptions'!$E$149,0,'Inputs &amp; Assumptions'!$C$66*MAX(AK86-AK97-AK108,0))</f>
        <v>0</v>
      </c>
      <c r="AL119" s="39" t="n">
        <f aca="false">IF(34&gt;='Inputs &amp; Assumptions'!$E$149,0,'Inputs &amp; Assumptions'!$C$66*MAX(AL86-AL97-AL108,0))</f>
        <v>0</v>
      </c>
      <c r="AM119" s="39" t="n">
        <f aca="false">IF(35&gt;='Inputs &amp; Assumptions'!$E$149,0,'Inputs &amp; Assumptions'!$C$66*MAX(AM86-AM97-AM108,0))</f>
        <v>0</v>
      </c>
      <c r="AN119" s="39" t="n">
        <f aca="false">IF(36&gt;='Inputs &amp; Assumptions'!$E$149,0,'Inputs &amp; Assumptions'!$C$66*MAX(AN86-AN97-AN108,0))</f>
        <v>0</v>
      </c>
    </row>
    <row r="120" customFormat="false" ht="15" hidden="false" customHeight="false" outlineLevel="0" collapsed="false">
      <c r="B120" s="37" t="n">
        <v>11</v>
      </c>
      <c r="C120" s="38" t="n">
        <f aca="false">'Inputs &amp; Assumptions'!$C$150</f>
        <v>10</v>
      </c>
      <c r="D120" s="38" t="n">
        <f aca="false">'Inputs &amp; Assumptions'!$D$150</f>
        <v>2</v>
      </c>
      <c r="E120" s="39" t="n">
        <f aca="false">IF(1&gt;='Inputs &amp; Assumptions'!$E$150,0,'Inputs &amp; Assumptions'!$C$66*MAX(E87-E98-E109,0))</f>
        <v>832199.356449177</v>
      </c>
      <c r="F120" s="39" t="n">
        <f aca="false">IF(2&gt;='Inputs &amp; Assumptions'!$E$150,0,'Inputs &amp; Assumptions'!$C$66*MAX(F87-F98-F109,0))</f>
        <v>778778.97306945</v>
      </c>
      <c r="G120" s="39" t="n">
        <f aca="false">IF(3&gt;='Inputs &amp; Assumptions'!$E$150,0,'Inputs &amp; Assumptions'!$C$66*MAX(G87-G98-G109,0))</f>
        <v>730185.718309719</v>
      </c>
      <c r="H120" s="39" t="n">
        <f aca="false">IF(4&gt;='Inputs &amp; Assumptions'!$E$150,0,'Inputs &amp; Assumptions'!$C$66*MAX(H87-H98-H109,0))</f>
        <v>684624.523338194</v>
      </c>
      <c r="I120" s="39" t="n">
        <f aca="false">IF(5&gt;='Inputs &amp; Assumptions'!$E$150,0,'Inputs &amp; Assumptions'!$C$66*MAX(I87-I98-I109,0))</f>
        <v>641906.197564438</v>
      </c>
      <c r="J120" s="39" t="n">
        <f aca="false">IF(6&gt;='Inputs &amp; Assumptions'!$E$150,0,'Inputs &amp; Assumptions'!$C$66*MAX(J87-J98-J109,0))</f>
        <v>601853.355270612</v>
      </c>
      <c r="K120" s="39" t="n">
        <f aca="false">IF(7&gt;='Inputs &amp; Assumptions'!$E$150,0,'Inputs &amp; Assumptions'!$C$66*MAX(K87-K98-K109,0))</f>
        <v>565252.119536372</v>
      </c>
      <c r="L120" s="39" t="n">
        <f aca="false">IF(8&gt;='Inputs &amp; Assumptions'!$E$150,0,'Inputs &amp; Assumptions'!$C$66*MAX(L87-L98-L109,0))</f>
        <v>530876.7590017</v>
      </c>
      <c r="M120" s="39" t="n">
        <f aca="false">IF(9&gt;='Inputs &amp; Assumptions'!$E$150,0,'Inputs &amp; Assumptions'!$C$66*MAX(M87-M98-M109,0))</f>
        <v>498591.908827003</v>
      </c>
      <c r="N120" s="39" t="n">
        <f aca="false">IF(10&gt;='Inputs &amp; Assumptions'!$E$150,0,'Inputs &amp; Assumptions'!$C$66*MAX(N87-N98-N109,0))</f>
        <v>468270.436278335</v>
      </c>
      <c r="O120" s="39" t="n">
        <f aca="false">IF(11&gt;='Inputs &amp; Assumptions'!$E$150,0,'Inputs &amp; Assumptions'!$C$66*MAX(O87-O98-O109,0))</f>
        <v>440290.656123462</v>
      </c>
      <c r="P120" s="39" t="n">
        <f aca="false">IF(12&gt;='Inputs &amp; Assumptions'!$E$150,0,'Inputs &amp; Assumptions'!$C$66*MAX(P87-P98-P109,0))</f>
        <v>413982.704973505</v>
      </c>
      <c r="Q120" s="39" t="n">
        <f aca="false">IF(13&gt;='Inputs &amp; Assumptions'!$E$150,0,'Inputs &amp; Assumptions'!$C$66*MAX(Q87-Q98-Q109,0))</f>
        <v>389246.688826217</v>
      </c>
      <c r="R120" s="39" t="n">
        <f aca="false">IF(14&gt;='Inputs &amp; Assumptions'!$E$150,0,'Inputs &amp; Assumptions'!$C$66*MAX(R87-R98-R109,0))</f>
        <v>365988.682478584</v>
      </c>
      <c r="S120" s="39" t="n">
        <f aca="false">IF(15&gt;='Inputs &amp; Assumptions'!$E$150,0,'Inputs &amp; Assumptions'!$C$66*MAX(S87-S98-S109,0))</f>
        <v>344474.797503536</v>
      </c>
      <c r="T120" s="39" t="n">
        <f aca="false">IF(16&gt;='Inputs &amp; Assumptions'!$E$150,0,'Inputs &amp; Assumptions'!$C$66*MAX(T87-T98-T109,0))</f>
        <v>324225.56159792</v>
      </c>
      <c r="U120" s="39" t="n">
        <f aca="false">IF(17&gt;='Inputs &amp; Assumptions'!$E$150,0,'Inputs &amp; Assumptions'!$C$66*MAX(U87-U98-U109,0))</f>
        <v>305166.634991367</v>
      </c>
      <c r="V120" s="39" t="n">
        <f aca="false">IF(18&gt;='Inputs &amp; Assumptions'!$E$150,0,'Inputs &amp; Assumptions'!$C$66*MAX(V87-V98-V109,0))</f>
        <v>0</v>
      </c>
      <c r="W120" s="39" t="n">
        <f aca="false">IF(19&gt;='Inputs &amp; Assumptions'!$E$150,0,'Inputs &amp; Assumptions'!$C$66*MAX(W87-W98-W109,0))</f>
        <v>0</v>
      </c>
      <c r="X120" s="39" t="n">
        <f aca="false">IF(20&gt;='Inputs &amp; Assumptions'!$E$150,0,'Inputs &amp; Assumptions'!$C$66*MAX(X87-X98-X109,0))</f>
        <v>0</v>
      </c>
      <c r="Y120" s="39" t="n">
        <f aca="false">IF(21&gt;='Inputs &amp; Assumptions'!$E$150,0,'Inputs &amp; Assumptions'!$C$66*MAX(Y87-Y98-Y109,0))</f>
        <v>0</v>
      </c>
      <c r="Z120" s="39" t="n">
        <f aca="false">IF(22&gt;='Inputs &amp; Assumptions'!$E$150,0,'Inputs &amp; Assumptions'!$C$66*MAX(Z87-Z98-Z109,0))</f>
        <v>0</v>
      </c>
      <c r="AA120" s="39" t="n">
        <f aca="false">IF(23&gt;='Inputs &amp; Assumptions'!$E$150,0,'Inputs &amp; Assumptions'!$C$66*MAX(AA87-AA98-AA109,0))</f>
        <v>0</v>
      </c>
      <c r="AB120" s="39" t="n">
        <f aca="false">IF(24&gt;='Inputs &amp; Assumptions'!$E$150,0,'Inputs &amp; Assumptions'!$C$66*MAX(AB87-AB98-AB109,0))</f>
        <v>0</v>
      </c>
      <c r="AC120" s="39" t="n">
        <f aca="false">IF(25&gt;='Inputs &amp; Assumptions'!$E$150,0,'Inputs &amp; Assumptions'!$C$66*MAX(AC87-AC98-AC109,0))</f>
        <v>0</v>
      </c>
      <c r="AD120" s="39" t="n">
        <f aca="false">IF(26&gt;='Inputs &amp; Assumptions'!$E$150,0,'Inputs &amp; Assumptions'!$C$66*MAX(AD87-AD98-AD109,0))</f>
        <v>0</v>
      </c>
      <c r="AE120" s="39" t="n">
        <f aca="false">IF(27&gt;='Inputs &amp; Assumptions'!$E$150,0,'Inputs &amp; Assumptions'!$C$66*MAX(AE87-AE98-AE109,0))</f>
        <v>0</v>
      </c>
      <c r="AF120" s="39" t="n">
        <f aca="false">IF(28&gt;='Inputs &amp; Assumptions'!$E$150,0,'Inputs &amp; Assumptions'!$C$66*MAX(AF87-AF98-AF109,0))</f>
        <v>0</v>
      </c>
      <c r="AG120" s="39" t="n">
        <f aca="false">IF(29&gt;='Inputs &amp; Assumptions'!$E$150,0,'Inputs &amp; Assumptions'!$C$66*MAX(AG87-AG98-AG109,0))</f>
        <v>0</v>
      </c>
      <c r="AH120" s="39" t="n">
        <f aca="false">IF(30&gt;='Inputs &amp; Assumptions'!$E$150,0,'Inputs &amp; Assumptions'!$C$66*MAX(AH87-AH98-AH109,0))</f>
        <v>0</v>
      </c>
      <c r="AI120" s="39" t="n">
        <f aca="false">IF(31&gt;='Inputs &amp; Assumptions'!$E$150,0,'Inputs &amp; Assumptions'!$C$66*MAX(AI87-AI98-AI109,0))</f>
        <v>0</v>
      </c>
      <c r="AJ120" s="39" t="n">
        <f aca="false">IF(32&gt;='Inputs &amp; Assumptions'!$E$150,0,'Inputs &amp; Assumptions'!$C$66*MAX(AJ87-AJ98-AJ109,0))</f>
        <v>0</v>
      </c>
      <c r="AK120" s="39" t="n">
        <f aca="false">IF(33&gt;='Inputs &amp; Assumptions'!$E$150,0,'Inputs &amp; Assumptions'!$C$66*MAX(AK87-AK98-AK109,0))</f>
        <v>0</v>
      </c>
      <c r="AL120" s="39" t="n">
        <f aca="false">IF(34&gt;='Inputs &amp; Assumptions'!$E$150,0,'Inputs &amp; Assumptions'!$C$66*MAX(AL87-AL98-AL109,0))</f>
        <v>0</v>
      </c>
      <c r="AM120" s="39" t="n">
        <f aca="false">IF(35&gt;='Inputs &amp; Assumptions'!$E$150,0,'Inputs &amp; Assumptions'!$C$66*MAX(AM87-AM98-AM109,0))</f>
        <v>0</v>
      </c>
      <c r="AN120" s="39" t="n">
        <f aca="false">IF(36&gt;='Inputs &amp; Assumptions'!$E$150,0,'Inputs &amp; Assumptions'!$C$66*MAX(AN87-AN98-AN109,0))</f>
        <v>0</v>
      </c>
    </row>
    <row r="121" customFormat="false" ht="15" hidden="false" customHeight="false" outlineLevel="0" collapsed="false">
      <c r="A121" s="14" t="s">
        <v>130</v>
      </c>
      <c r="B121" s="37" t="n">
        <v>1</v>
      </c>
      <c r="C121" s="38" t="n">
        <f aca="false">'Inputs &amp; Assumptions'!$C$140</f>
        <v>0</v>
      </c>
      <c r="D121" s="38" t="n">
        <f aca="false">'Inputs &amp; Assumptions'!$D$140</f>
        <v>1</v>
      </c>
      <c r="E121" s="39" t="n">
        <f aca="false">'Inputs &amp; Assumptions'!E$51/4*(E77-E88)</f>
        <v>363288.71</v>
      </c>
      <c r="F121" s="39" t="n">
        <f aca="false">'Inputs &amp; Assumptions'!F$51/4*(F77-F88)</f>
        <v>351031.50028565</v>
      </c>
      <c r="G121" s="39" t="n">
        <f aca="false">'Inputs &amp; Assumptions'!G$51/4*(G77-G88)</f>
        <v>339187.843720203</v>
      </c>
      <c r="H121" s="39" t="n">
        <f aca="false">'Inputs &amp; Assumptions'!H$51/4*(H77-H88)</f>
        <v>327743.787192719</v>
      </c>
      <c r="I121" s="39" t="n">
        <f aca="false">'Inputs &amp; Assumptions'!I$51/4*(I77-I88)</f>
        <v>315807.983253775</v>
      </c>
      <c r="J121" s="39" t="n">
        <f aca="false">'Inputs &amp; Assumptions'!J$51/4*(J77-J88)</f>
        <v>295177.652784386</v>
      </c>
      <c r="K121" s="39" t="n">
        <f aca="false">'Inputs &amp; Assumptions'!K$51/4*(K77-K88)</f>
        <v>275895.01001716</v>
      </c>
      <c r="L121" s="39" t="n">
        <f aca="false">'Inputs &amp; Assumptions'!L$51/4*(L77-L88)</f>
        <v>257872.016510579</v>
      </c>
      <c r="M121" s="39" t="n">
        <f aca="false">'Inputs &amp; Assumptions'!M$51/4*(M77-M88)</f>
        <v>241318.744895859</v>
      </c>
      <c r="N121" s="39" t="n">
        <f aca="false">'Inputs &amp; Assumptions'!N$51/4*(N77-N88)</f>
        <v>225828.057755633</v>
      </c>
      <c r="O121" s="39" t="n">
        <f aca="false">'Inputs &amp; Assumptions'!O$51/4*(O77-O88)</f>
        <v>211331.745868685</v>
      </c>
      <c r="P121" s="39" t="n">
        <f aca="false">'Inputs &amp; Assumptions'!P$51/4*(P77-P88)</f>
        <v>197765.978487198</v>
      </c>
      <c r="Q121" s="39" t="n">
        <f aca="false">'Inputs &amp; Assumptions'!Q$51/4*(Q77-Q88)</f>
        <v>185426.029788328</v>
      </c>
      <c r="R121" s="39" t="n">
        <f aca="false">'Inputs &amp; Assumptions'!R$51/4*(R77-R88)</f>
        <v>173856.053432808</v>
      </c>
      <c r="S121" s="39" t="n">
        <f aca="false">'Inputs &amp; Assumptions'!S$51/4*(S77-S88)</f>
        <v>163008.005670701</v>
      </c>
      <c r="T121" s="39" t="n">
        <f aca="false">'Inputs &amp; Assumptions'!T$51/4*(T77-T88)</f>
        <v>152836.84052456</v>
      </c>
      <c r="U121" s="39" t="n">
        <f aca="false">'Inputs &amp; Assumptions'!U$51/4*(U77-U88)</f>
        <v>143542.188962136</v>
      </c>
      <c r="V121" s="39" t="n">
        <f aca="false">'Inputs &amp; Assumptions'!V$51/4*(V77-V88)</f>
        <v>134812.784282404</v>
      </c>
      <c r="W121" s="39" t="n">
        <f aca="false">'Inputs &amp; Assumptions'!W$51/4*(W77-W88)</f>
        <v>126614.251443302</v>
      </c>
      <c r="X121" s="39" t="n">
        <f aca="false">'Inputs &amp; Assumptions'!X$51/4*(X77-X88)</f>
        <v>118914.305893764</v>
      </c>
      <c r="Y121" s="39" t="n">
        <f aca="false">'Inputs &amp; Assumptions'!Y$51/4*(Y77-Y88)</f>
        <v>111809.018268476</v>
      </c>
      <c r="Z121" s="39" t="n">
        <f aca="false">'Inputs &amp; Assumptions'!Z$51/4*(Z77-Z88)</f>
        <v>105128.281010434</v>
      </c>
      <c r="AA121" s="39" t="n">
        <f aca="false">'Inputs &amp; Assumptions'!AA$51/4*(AA77-AA88)</f>
        <v>98846.7266716429</v>
      </c>
      <c r="AB121" s="39" t="n">
        <f aca="false">'Inputs &amp; Assumptions'!AB$51/4*(AB77-AB88)</f>
        <v>92940.5035427979</v>
      </c>
      <c r="AC121" s="39" t="n">
        <f aca="false">'Inputs &amp; Assumptions'!AC$51/4*(AC77-AC88)</f>
        <v>87477.188969239</v>
      </c>
      <c r="AD121" s="39" t="n">
        <f aca="false">'Inputs &amp; Assumptions'!AD$51/4*(AD77-AD88)</f>
        <v>82335.0240020615</v>
      </c>
      <c r="AE121" s="39" t="n">
        <f aca="false">'Inputs &amp; Assumptions'!AE$51/4*(AE77-AE88)</f>
        <v>77495.1305283012</v>
      </c>
      <c r="AF121" s="39" t="n">
        <f aca="false">'Inputs &amp; Assumptions'!AF$51/4*(AF77-AF88)</f>
        <v>72939.7401456769</v>
      </c>
      <c r="AG121" s="39" t="n">
        <f aca="false">'Inputs &amp; Assumptions'!AG$51/4*(AG77-AG88)</f>
        <v>0</v>
      </c>
      <c r="AH121" s="39" t="n">
        <f aca="false">'Inputs &amp; Assumptions'!AH$51/4*(AH77-AH88)</f>
        <v>0</v>
      </c>
      <c r="AI121" s="39" t="n">
        <f aca="false">'Inputs &amp; Assumptions'!AI$51/4*(AI77-AI88)</f>
        <v>0</v>
      </c>
      <c r="AJ121" s="39" t="n">
        <f aca="false">'Inputs &amp; Assumptions'!AJ$51/4*(AJ77-AJ88)</f>
        <v>0</v>
      </c>
      <c r="AK121" s="39" t="n">
        <f aca="false">'Inputs &amp; Assumptions'!AK$51/4*(AK77-AK88)</f>
        <v>0</v>
      </c>
      <c r="AL121" s="39" t="n">
        <f aca="false">'Inputs &amp; Assumptions'!AL$51/4*(AL77-AL88)</f>
        <v>0</v>
      </c>
      <c r="AM121" s="39" t="n">
        <f aca="false">'Inputs &amp; Assumptions'!AM$51/4*(AM77-AM88)</f>
        <v>0</v>
      </c>
      <c r="AN121" s="39" t="n">
        <f aca="false">'Inputs &amp; Assumptions'!AN$51/4*(AN77-AN88)</f>
        <v>0</v>
      </c>
    </row>
    <row r="122" customFormat="false" ht="15" hidden="false" customHeight="false" outlineLevel="0" collapsed="false">
      <c r="B122" s="37" t="n">
        <v>2</v>
      </c>
      <c r="C122" s="38" t="n">
        <f aca="false">'Inputs &amp; Assumptions'!$C$141</f>
        <v>1</v>
      </c>
      <c r="D122" s="38" t="n">
        <f aca="false">'Inputs &amp; Assumptions'!$D$141</f>
        <v>3</v>
      </c>
      <c r="E122" s="39" t="n">
        <f aca="false">'Inputs &amp; Assumptions'!E$51/4*(E78-E89)</f>
        <v>1089866.13</v>
      </c>
      <c r="F122" s="39" t="n">
        <f aca="false">'Inputs &amp; Assumptions'!F$51/4*(F78-F89)</f>
        <v>1053094.50085695</v>
      </c>
      <c r="G122" s="39" t="n">
        <f aca="false">'Inputs &amp; Assumptions'!G$51/4*(G78-G89)</f>
        <v>1017563.53116061</v>
      </c>
      <c r="H122" s="39" t="n">
        <f aca="false">'Inputs &amp; Assumptions'!H$51/4*(H78-H89)</f>
        <v>980505.807176322</v>
      </c>
      <c r="I122" s="39" t="n">
        <f aca="false">'Inputs &amp; Assumptions'!I$51/4*(I78-I89)</f>
        <v>916453.725209326</v>
      </c>
      <c r="J122" s="39" t="n">
        <f aca="false">'Inputs &amp; Assumptions'!J$51/4*(J78-J89)</f>
        <v>856585.880780016</v>
      </c>
      <c r="K122" s="39" t="n">
        <f aca="false">'Inputs &amp; Assumptions'!K$51/4*(K78-K89)</f>
        <v>800628.93626635</v>
      </c>
      <c r="L122" s="39" t="n">
        <f aca="false">'Inputs &amp; Assumptions'!L$51/4*(L78-L89)</f>
        <v>749235.115316112</v>
      </c>
      <c r="M122" s="39" t="n">
        <f aca="false">'Inputs &amp; Assumptions'!M$51/4*(M78-M89)</f>
        <v>701140.356780709</v>
      </c>
      <c r="N122" s="39" t="n">
        <f aca="false">'Inputs &amp; Assumptions'!N$51/4*(N78-N89)</f>
        <v>656132.887870811</v>
      </c>
      <c r="O122" s="39" t="n">
        <f aca="false">'Inputs &amp; Assumptions'!O$51/4*(O78-O89)</f>
        <v>614014.529875845</v>
      </c>
      <c r="P122" s="39" t="n">
        <f aca="false">'Inputs &amp; Assumptions'!P$51/4*(P78-P89)</f>
        <v>575702.036205356</v>
      </c>
      <c r="Q122" s="39" t="n">
        <f aca="false">'Inputs &amp; Assumptions'!Q$51/4*(Q78-Q89)</f>
        <v>539780.116535694</v>
      </c>
      <c r="R122" s="39" t="n">
        <f aca="false">'Inputs &amp; Assumptions'!R$51/4*(R78-R89)</f>
        <v>506099.606886499</v>
      </c>
      <c r="S122" s="39" t="n">
        <f aca="false">'Inputs &amp; Assumptions'!S$51/4*(S78-S89)</f>
        <v>474520.650620762</v>
      </c>
      <c r="T122" s="39" t="n">
        <f aca="false">'Inputs &amp; Assumptions'!T$51/4*(T78-T89)</f>
        <v>445663.05259952</v>
      </c>
      <c r="U122" s="39" t="n">
        <f aca="false">'Inputs &amp; Assumptions'!U$51/4*(U78-U89)</f>
        <v>418560.406575554</v>
      </c>
      <c r="V122" s="39" t="n">
        <f aca="false">'Inputs &amp; Assumptions'!V$51/4*(V78-V89)</f>
        <v>393105.986531318</v>
      </c>
      <c r="W122" s="39" t="n">
        <f aca="false">'Inputs &amp; Assumptions'!W$51/4*(W78-W89)</f>
        <v>369199.556907603</v>
      </c>
      <c r="X122" s="39" t="n">
        <f aca="false">'Inputs &amp; Assumptions'!X$51/4*(X78-X89)</f>
        <v>347139.393302888</v>
      </c>
      <c r="Y122" s="39" t="n">
        <f aca="false">'Inputs &amp; Assumptions'!Y$51/4*(Y78-Y89)</f>
        <v>326397.353756454</v>
      </c>
      <c r="Z122" s="39" t="n">
        <f aca="false">'Inputs &amp; Assumptions'!Z$51/4*(Z78-Z89)</f>
        <v>306894.678606127</v>
      </c>
      <c r="AA122" s="39" t="n">
        <f aca="false">'Inputs &amp; Assumptions'!AA$51/4*(AA78-AA89)</f>
        <v>288557.314184095</v>
      </c>
      <c r="AB122" s="39" t="n">
        <f aca="false">'Inputs &amp; Assumptions'!AB$51/4*(AB78-AB89)</f>
        <v>271595.071461114</v>
      </c>
      <c r="AC122" s="39" t="n">
        <f aca="false">'Inputs &amp; Assumptions'!AC$51/4*(AC78-AC89)</f>
        <v>255629.918966142</v>
      </c>
      <c r="AD122" s="39" t="n">
        <f aca="false">'Inputs &amp; Assumptions'!AD$51/4*(AD78-AD89)</f>
        <v>240603.244819899</v>
      </c>
      <c r="AE122" s="39" t="n">
        <f aca="false">'Inputs &amp; Assumptions'!AE$51/4*(AE78-AE89)</f>
        <v>226459.88252076</v>
      </c>
      <c r="AF122" s="39" t="n">
        <f aca="false">'Inputs &amp; Assumptions'!AF$51/4*(AF78-AF89)</f>
        <v>0</v>
      </c>
      <c r="AG122" s="39" t="n">
        <f aca="false">'Inputs &amp; Assumptions'!AG$51/4*(AG78-AG89)</f>
        <v>0</v>
      </c>
      <c r="AH122" s="39" t="n">
        <f aca="false">'Inputs &amp; Assumptions'!AH$51/4*(AH78-AH89)</f>
        <v>0</v>
      </c>
      <c r="AI122" s="39" t="n">
        <f aca="false">'Inputs &amp; Assumptions'!AI$51/4*(AI78-AI89)</f>
        <v>0</v>
      </c>
      <c r="AJ122" s="39" t="n">
        <f aca="false">'Inputs &amp; Assumptions'!AJ$51/4*(AJ78-AJ89)</f>
        <v>0</v>
      </c>
      <c r="AK122" s="39" t="n">
        <f aca="false">'Inputs &amp; Assumptions'!AK$51/4*(AK78-AK89)</f>
        <v>0</v>
      </c>
      <c r="AL122" s="39" t="n">
        <f aca="false">'Inputs &amp; Assumptions'!AL$51/4*(AL78-AL89)</f>
        <v>0</v>
      </c>
      <c r="AM122" s="39" t="n">
        <f aca="false">'Inputs &amp; Assumptions'!AM$51/4*(AM78-AM89)</f>
        <v>0</v>
      </c>
      <c r="AN122" s="39" t="n">
        <f aca="false">'Inputs &amp; Assumptions'!AN$51/4*(AN78-AN89)</f>
        <v>0</v>
      </c>
    </row>
    <row r="123" customFormat="false" ht="15" hidden="false" customHeight="false" outlineLevel="0" collapsed="false">
      <c r="B123" s="37" t="n">
        <v>3</v>
      </c>
      <c r="C123" s="38" t="n">
        <f aca="false">'Inputs &amp; Assumptions'!$C$142</f>
        <v>2</v>
      </c>
      <c r="D123" s="38" t="n">
        <f aca="false">'Inputs &amp; Assumptions'!$D$142</f>
        <v>3</v>
      </c>
      <c r="E123" s="39" t="n">
        <f aca="false">'Inputs &amp; Assumptions'!E$51/4*(E79-E90)</f>
        <v>1089866.13</v>
      </c>
      <c r="F123" s="39" t="n">
        <f aca="false">'Inputs &amp; Assumptions'!F$51/4*(F79-F90)</f>
        <v>1053094.50085695</v>
      </c>
      <c r="G123" s="39" t="n">
        <f aca="false">'Inputs &amp; Assumptions'!G$51/4*(G79-G90)</f>
        <v>1014742.80669038</v>
      </c>
      <c r="H123" s="39" t="n">
        <f aca="false">'Inputs &amp; Assumptions'!H$51/4*(H79-H90)</f>
        <v>948454.173870621</v>
      </c>
      <c r="I123" s="39" t="n">
        <f aca="false">'Inputs &amp; Assumptions'!I$51/4*(I79-I90)</f>
        <v>886495.882505013</v>
      </c>
      <c r="J123" s="39" t="n">
        <f aca="false">'Inputs &amp; Assumptions'!J$51/4*(J79-J90)</f>
        <v>828585.050652689</v>
      </c>
      <c r="K123" s="39" t="n">
        <f aca="false">'Inputs &amp; Assumptions'!K$51/4*(K79-K90)</f>
        <v>775396.676105706</v>
      </c>
      <c r="L123" s="39" t="n">
        <f aca="false">'Inputs &amp; Assumptions'!L$51/4*(L79-L90)</f>
        <v>725622.559617954</v>
      </c>
      <c r="M123" s="39" t="n">
        <f aca="false">'Inputs &amp; Assumptions'!M$51/4*(M79-M90)</f>
        <v>679043.53378313</v>
      </c>
      <c r="N123" s="39" t="n">
        <f aca="false">'Inputs &amp; Assumptions'!N$51/4*(N79-N90)</f>
        <v>635454.49994754</v>
      </c>
      <c r="O123" s="39" t="n">
        <f aca="false">'Inputs &amp; Assumptions'!O$51/4*(O79-O90)</f>
        <v>595804.222433673</v>
      </c>
      <c r="P123" s="39" t="n">
        <f aca="false">'Inputs &amp; Assumptions'!P$51/4*(P79-P90)</f>
        <v>558627.99224665</v>
      </c>
      <c r="Q123" s="39" t="n">
        <f aca="false">'Inputs &amp; Assumptions'!Q$51/4*(Q79-Q90)</f>
        <v>523771.436944229</v>
      </c>
      <c r="R123" s="39" t="n">
        <f aca="false">'Inputs &amp; Assumptions'!R$51/4*(R79-R90)</f>
        <v>491089.816418463</v>
      </c>
      <c r="S123" s="39" t="n">
        <f aca="false">'Inputs &amp; Assumptions'!S$51/4*(S79-S90)</f>
        <v>461224.577685459</v>
      </c>
      <c r="T123" s="39" t="n">
        <f aca="false">'Inputs &amp; Assumptions'!T$51/4*(T79-T90)</f>
        <v>433175.569822571</v>
      </c>
      <c r="U123" s="39" t="n">
        <f aca="false">'Inputs &amp; Assumptions'!U$51/4*(U79-U90)</f>
        <v>406832.340186075</v>
      </c>
      <c r="V123" s="39" t="n">
        <f aca="false">'Inputs &amp; Assumptions'!V$51/4*(V79-V90)</f>
        <v>382091.153222404</v>
      </c>
      <c r="W123" s="39" t="n">
        <f aca="false">'Inputs &amp; Assumptions'!W$51/4*(W79-W90)</f>
        <v>359260.699625435</v>
      </c>
      <c r="X123" s="39" t="n">
        <f aca="false">'Inputs &amp; Assumptions'!X$51/4*(X79-X90)</f>
        <v>337794.395936276</v>
      </c>
      <c r="Y123" s="39" t="n">
        <f aca="false">'Inputs &amp; Assumptions'!Y$51/4*(Y79-Y90)</f>
        <v>317610.732387148</v>
      </c>
      <c r="Z123" s="39" t="n">
        <f aca="false">'Inputs &amp; Assumptions'!Z$51/4*(Z79-Z90)</f>
        <v>298633.069527094</v>
      </c>
      <c r="AA123" s="39" t="n">
        <f aca="false">'Inputs &amp; Assumptions'!AA$51/4*(AA79-AA90)</f>
        <v>281078.54444167</v>
      </c>
      <c r="AB123" s="39" t="n">
        <f aca="false">'Inputs &amp; Assumptions'!AB$51/4*(AB79-AB90)</f>
        <v>264555.925673462</v>
      </c>
      <c r="AC123" s="39" t="n">
        <f aca="false">'Inputs &amp; Assumptions'!AC$51/4*(AC79-AC90)</f>
        <v>249004.554751659</v>
      </c>
      <c r="AD123" s="39" t="n">
        <f aca="false">'Inputs &amp; Assumptions'!AD$51/4*(AD79-AD90)</f>
        <v>234367.33888774</v>
      </c>
      <c r="AE123" s="39" t="n">
        <f aca="false">'Inputs &amp; Assumptions'!AE$51/4*(AE79-AE90)</f>
        <v>0</v>
      </c>
      <c r="AF123" s="39" t="n">
        <f aca="false">'Inputs &amp; Assumptions'!AF$51/4*(AF79-AF90)</f>
        <v>0</v>
      </c>
      <c r="AG123" s="39" t="n">
        <f aca="false">'Inputs &amp; Assumptions'!AG$51/4*(AG79-AG90)</f>
        <v>0</v>
      </c>
      <c r="AH123" s="39" t="n">
        <f aca="false">'Inputs &amp; Assumptions'!AH$51/4*(AH79-AH90)</f>
        <v>0</v>
      </c>
      <c r="AI123" s="39" t="n">
        <f aca="false">'Inputs &amp; Assumptions'!AI$51/4*(AI79-AI90)</f>
        <v>0</v>
      </c>
      <c r="AJ123" s="39" t="n">
        <f aca="false">'Inputs &amp; Assumptions'!AJ$51/4*(AJ79-AJ90)</f>
        <v>0</v>
      </c>
      <c r="AK123" s="39" t="n">
        <f aca="false">'Inputs &amp; Assumptions'!AK$51/4*(AK79-AK90)</f>
        <v>0</v>
      </c>
      <c r="AL123" s="39" t="n">
        <f aca="false">'Inputs &amp; Assumptions'!AL$51/4*(AL79-AL90)</f>
        <v>0</v>
      </c>
      <c r="AM123" s="39" t="n">
        <f aca="false">'Inputs &amp; Assumptions'!AM$51/4*(AM79-AM90)</f>
        <v>0</v>
      </c>
      <c r="AN123" s="39" t="n">
        <f aca="false">'Inputs &amp; Assumptions'!AN$51/4*(AN79-AN90)</f>
        <v>0</v>
      </c>
    </row>
    <row r="124" customFormat="false" ht="15" hidden="false" customHeight="false" outlineLevel="0" collapsed="false">
      <c r="B124" s="37" t="n">
        <v>4</v>
      </c>
      <c r="C124" s="38" t="n">
        <f aca="false">'Inputs &amp; Assumptions'!$C$143</f>
        <v>3</v>
      </c>
      <c r="D124" s="38" t="n">
        <f aca="false">'Inputs &amp; Assumptions'!$D$143</f>
        <v>3</v>
      </c>
      <c r="E124" s="39" t="n">
        <f aca="false">'Inputs &amp; Assumptions'!E$51/4*(E80-E91)</f>
        <v>1089866.13</v>
      </c>
      <c r="F124" s="39" t="n">
        <f aca="false">'Inputs &amp; Assumptions'!F$51/4*(F80-F91)</f>
        <v>1050175.28319921</v>
      </c>
      <c r="G124" s="39" t="n">
        <f aca="false">'Inputs &amp; Assumptions'!G$51/4*(G80-G91)</f>
        <v>981572.004333479</v>
      </c>
      <c r="H124" s="39" t="n">
        <f aca="false">'Inputs &amp; Assumptions'!H$51/4*(H80-H91)</f>
        <v>917450.272449875</v>
      </c>
      <c r="I124" s="39" t="n">
        <f aca="false">'Inputs &amp; Assumptions'!I$51/4*(I80-I91)</f>
        <v>857517.328023127</v>
      </c>
      <c r="J124" s="39" t="n">
        <f aca="false">'Inputs &amp; Assumptions'!J$51/4*(J80-J91)</f>
        <v>802471.738210114</v>
      </c>
      <c r="K124" s="39" t="n">
        <f aca="false">'Inputs &amp; Assumptions'!K$51/4*(K80-K91)</f>
        <v>750959.624466731</v>
      </c>
      <c r="L124" s="39" t="n">
        <f aca="false">'Inputs &amp; Assumptions'!L$51/4*(L80-L91)</f>
        <v>702754.166566741</v>
      </c>
      <c r="M124" s="39" t="n">
        <f aca="false">'Inputs &amp; Assumptions'!M$51/4*(M80-M91)</f>
        <v>657643.104284889</v>
      </c>
      <c r="N124" s="39" t="n">
        <f aca="false">'Inputs &amp; Assumptions'!N$51/4*(N80-N91)</f>
        <v>616608.330603801</v>
      </c>
      <c r="O124" s="39" t="n">
        <f aca="false">'Inputs &amp; Assumptions'!O$51/4*(O80-O91)</f>
        <v>578133.992271439</v>
      </c>
      <c r="P124" s="39" t="n">
        <f aca="false">'Inputs &amp; Assumptions'!P$51/4*(P80-P91)</f>
        <v>542060.326516212</v>
      </c>
      <c r="Q124" s="39" t="n">
        <f aca="false">'Inputs &amp; Assumptions'!Q$51/4*(Q80-Q91)</f>
        <v>508237.539239705</v>
      </c>
      <c r="R124" s="39" t="n">
        <f aca="false">'Inputs &amp; Assumptions'!R$51/4*(R80-R91)</f>
        <v>477329.475307191</v>
      </c>
      <c r="S124" s="39" t="n">
        <f aca="false">'Inputs &amp; Assumptions'!S$51/4*(S80-S91)</f>
        <v>448301.060834426</v>
      </c>
      <c r="T124" s="39" t="n">
        <f aca="false">'Inputs &amp; Assumptions'!T$51/4*(T80-T91)</f>
        <v>421037.986426321</v>
      </c>
      <c r="U124" s="39" t="n">
        <f aca="false">'Inputs &amp; Assumptions'!U$51/4*(U80-U91)</f>
        <v>395432.894323228</v>
      </c>
      <c r="V124" s="39" t="n">
        <f aca="false">'Inputs &amp; Assumptions'!V$51/4*(V80-V91)</f>
        <v>371805.253985513</v>
      </c>
      <c r="W124" s="39" t="n">
        <f aca="false">'Inputs &amp; Assumptions'!W$51/4*(W80-W91)</f>
        <v>349589.396521562</v>
      </c>
      <c r="X124" s="39" t="n">
        <f aca="false">'Inputs &amp; Assumptions'!X$51/4*(X80-X91)</f>
        <v>328700.966030652</v>
      </c>
      <c r="Y124" s="39" t="n">
        <f aca="false">'Inputs &amp; Assumptions'!Y$51/4*(Y80-Y91)</f>
        <v>309060.646989102</v>
      </c>
      <c r="Z124" s="39" t="n">
        <f aca="false">'Inputs &amp; Assumptions'!Z$51/4*(Z80-Z91)</f>
        <v>290893.158408286</v>
      </c>
      <c r="AA124" s="39" t="n">
        <f aca="false">'Inputs &amp; Assumptions'!AA$51/4*(AA80-AA91)</f>
        <v>273793.607931365</v>
      </c>
      <c r="AB124" s="39" t="n">
        <f aca="false">'Inputs &amp; Assumptions'!AB$51/4*(AB80-AB91)</f>
        <v>257699.219033741</v>
      </c>
      <c r="AC124" s="39" t="n">
        <f aca="false">'Inputs &amp; Assumptions'!AC$51/4*(AC80-AC91)</f>
        <v>242550.905378506</v>
      </c>
      <c r="AD124" s="39" t="n">
        <f aca="false">'Inputs &amp; Assumptions'!AD$51/4*(AD80-AD91)</f>
        <v>0</v>
      </c>
      <c r="AE124" s="39" t="n">
        <f aca="false">'Inputs &amp; Assumptions'!AE$51/4*(AE80-AE91)</f>
        <v>0</v>
      </c>
      <c r="AF124" s="39" t="n">
        <f aca="false">'Inputs &amp; Assumptions'!AF$51/4*(AF80-AF91)</f>
        <v>0</v>
      </c>
      <c r="AG124" s="39" t="n">
        <f aca="false">'Inputs &amp; Assumptions'!AG$51/4*(AG80-AG91)</f>
        <v>0</v>
      </c>
      <c r="AH124" s="39" t="n">
        <f aca="false">'Inputs &amp; Assumptions'!AH$51/4*(AH80-AH91)</f>
        <v>0</v>
      </c>
      <c r="AI124" s="39" t="n">
        <f aca="false">'Inputs &amp; Assumptions'!AI$51/4*(AI80-AI91)</f>
        <v>0</v>
      </c>
      <c r="AJ124" s="39" t="n">
        <f aca="false">'Inputs &amp; Assumptions'!AJ$51/4*(AJ80-AJ91)</f>
        <v>0</v>
      </c>
      <c r="AK124" s="39" t="n">
        <f aca="false">'Inputs &amp; Assumptions'!AK$51/4*(AK80-AK91)</f>
        <v>0</v>
      </c>
      <c r="AL124" s="39" t="n">
        <f aca="false">'Inputs &amp; Assumptions'!AL$51/4*(AL80-AL91)</f>
        <v>0</v>
      </c>
      <c r="AM124" s="39" t="n">
        <f aca="false">'Inputs &amp; Assumptions'!AM$51/4*(AM80-AM91)</f>
        <v>0</v>
      </c>
      <c r="AN124" s="39" t="n">
        <f aca="false">'Inputs &amp; Assumptions'!AN$51/4*(AN80-AN91)</f>
        <v>0</v>
      </c>
    </row>
    <row r="125" customFormat="false" ht="15" hidden="false" customHeight="false" outlineLevel="0" collapsed="false">
      <c r="B125" s="37" t="n">
        <v>5</v>
      </c>
      <c r="C125" s="38" t="n">
        <f aca="false">'Inputs &amp; Assumptions'!$C$144</f>
        <v>4</v>
      </c>
      <c r="D125" s="38" t="n">
        <f aca="false">'Inputs &amp; Assumptions'!$D$144</f>
        <v>3</v>
      </c>
      <c r="E125" s="39" t="n">
        <f aca="false">'Inputs &amp; Assumptions'!E$51/4*(E81-E92)</f>
        <v>1086844.98</v>
      </c>
      <c r="F125" s="39" t="n">
        <f aca="false">'Inputs &amp; Assumptions'!F$51/4*(F81-F92)</f>
        <v>1015846.23299119</v>
      </c>
      <c r="G125" s="39" t="n">
        <f aca="false">'Inputs &amp; Assumptions'!G$51/4*(G81-G92)</f>
        <v>949485.518240509</v>
      </c>
      <c r="H125" s="39" t="n">
        <f aca="false">'Inputs &amp; Assumptions'!H$51/4*(H81-H92)</f>
        <v>887459.853735822</v>
      </c>
      <c r="I125" s="39" t="n">
        <f aca="false">'Inputs &amp; Assumptions'!I$51/4*(I81-I92)</f>
        <v>830492.198986644</v>
      </c>
      <c r="J125" s="39" t="n">
        <f aca="false">'Inputs &amp; Assumptions'!J$51/4*(J81-J92)</f>
        <v>777181.40113523</v>
      </c>
      <c r="K125" s="39" t="n">
        <f aca="false">'Inputs &amp; Assumptions'!K$51/4*(K81-K92)</f>
        <v>727292.719916605</v>
      </c>
      <c r="L125" s="39" t="n">
        <f aca="false">'Inputs &amp; Assumptions'!L$51/4*(L81-L92)</f>
        <v>680606.4834684</v>
      </c>
      <c r="M125" s="39" t="n">
        <f aca="false">'Inputs &amp; Assumptions'!M$51/4*(M81-M92)</f>
        <v>638138.870209722</v>
      </c>
      <c r="N125" s="39" t="n">
        <f aca="false">'Inputs &amp; Assumptions'!N$51/4*(N81-N92)</f>
        <v>598321.096791971</v>
      </c>
      <c r="O125" s="39" t="n">
        <f aca="false">'Inputs &amp; Assumptions'!O$51/4*(O81-O92)</f>
        <v>560987.821896347</v>
      </c>
      <c r="P125" s="39" t="n">
        <f aca="false">'Inputs &amp; Assumptions'!P$51/4*(P81-P92)</f>
        <v>525984.020960283</v>
      </c>
      <c r="Q125" s="39" t="n">
        <f aca="false">'Inputs &amp; Assumptions'!Q$51/4*(Q81-Q92)</f>
        <v>493996.718779414</v>
      </c>
      <c r="R125" s="39" t="n">
        <f aca="false">'Inputs &amp; Assumptions'!R$51/4*(R81-R92)</f>
        <v>463954.699078691</v>
      </c>
      <c r="S125" s="39" t="n">
        <f aca="false">'Inputs &amp; Assumptions'!S$51/4*(S81-S92)</f>
        <v>435739.661042803</v>
      </c>
      <c r="T125" s="39" t="n">
        <f aca="false">'Inputs &amp; Assumptions'!T$51/4*(T81-T92)</f>
        <v>409240.498226947</v>
      </c>
      <c r="U125" s="39" t="n">
        <f aca="false">'Inputs &amp; Assumptions'!U$51/4*(U81-U92)</f>
        <v>384787.835227622</v>
      </c>
      <c r="V125" s="39" t="n">
        <f aca="false">'Inputs &amp; Assumptions'!V$51/4*(V81-V92)</f>
        <v>361796.251301236</v>
      </c>
      <c r="W125" s="39" t="n">
        <f aca="false">'Inputs &amp; Assumptions'!W$51/4*(W81-W92)</f>
        <v>340178.445033729</v>
      </c>
      <c r="X125" s="39" t="n">
        <f aca="false">'Inputs &amp; Assumptions'!X$51/4*(X81-X92)</f>
        <v>319852.331386416</v>
      </c>
      <c r="Y125" s="39" t="n">
        <f aca="false">'Inputs &amp; Assumptions'!Y$51/4*(Y81-Y92)</f>
        <v>301050.476039834</v>
      </c>
      <c r="Z125" s="39" t="n">
        <f aca="false">'Inputs &amp; Assumptions'!Z$51/4*(Z81-Z92)</f>
        <v>283353.848730645</v>
      </c>
      <c r="AA125" s="39" t="n">
        <f aca="false">'Inputs &amp; Assumptions'!AA$51/4*(AA81-AA92)</f>
        <v>266697.480922918</v>
      </c>
      <c r="AB125" s="39" t="n">
        <f aca="false">'Inputs &amp; Assumptions'!AB$51/4*(AB81-AB92)</f>
        <v>251020.223121246</v>
      </c>
      <c r="AC125" s="39" t="n">
        <f aca="false">'Inputs &amp; Assumptions'!AC$51/4*(AC81-AC92)</f>
        <v>0</v>
      </c>
      <c r="AD125" s="39" t="n">
        <f aca="false">'Inputs &amp; Assumptions'!AD$51/4*(AD81-AD92)</f>
        <v>0</v>
      </c>
      <c r="AE125" s="39" t="n">
        <f aca="false">'Inputs &amp; Assumptions'!AE$51/4*(AE81-AE92)</f>
        <v>0</v>
      </c>
      <c r="AF125" s="39" t="n">
        <f aca="false">'Inputs &amp; Assumptions'!AF$51/4*(AF81-AF92)</f>
        <v>0</v>
      </c>
      <c r="AG125" s="39" t="n">
        <f aca="false">'Inputs &amp; Assumptions'!AG$51/4*(AG81-AG92)</f>
        <v>0</v>
      </c>
      <c r="AH125" s="39" t="n">
        <f aca="false">'Inputs &amp; Assumptions'!AH$51/4*(AH81-AH92)</f>
        <v>0</v>
      </c>
      <c r="AI125" s="39" t="n">
        <f aca="false">'Inputs &amp; Assumptions'!AI$51/4*(AI81-AI92)</f>
        <v>0</v>
      </c>
      <c r="AJ125" s="39" t="n">
        <f aca="false">'Inputs &amp; Assumptions'!AJ$51/4*(AJ81-AJ92)</f>
        <v>0</v>
      </c>
      <c r="AK125" s="39" t="n">
        <f aca="false">'Inputs &amp; Assumptions'!AK$51/4*(AK81-AK92)</f>
        <v>0</v>
      </c>
      <c r="AL125" s="39" t="n">
        <f aca="false">'Inputs &amp; Assumptions'!AL$51/4*(AL81-AL92)</f>
        <v>0</v>
      </c>
      <c r="AM125" s="39" t="n">
        <f aca="false">'Inputs &amp; Assumptions'!AM$51/4*(AM81-AM92)</f>
        <v>0</v>
      </c>
      <c r="AN125" s="39" t="n">
        <f aca="false">'Inputs &amp; Assumptions'!AN$51/4*(AN81-AN92)</f>
        <v>0</v>
      </c>
    </row>
    <row r="126" customFormat="false" ht="15" hidden="false" customHeight="false" outlineLevel="0" collapsed="false">
      <c r="B126" s="37" t="n">
        <v>6</v>
      </c>
      <c r="C126" s="38" t="n">
        <f aca="false">'Inputs &amp; Assumptions'!$C$145</f>
        <v>5</v>
      </c>
      <c r="D126" s="38" t="n">
        <f aca="false">'Inputs &amp; Assumptions'!$D$145</f>
        <v>3</v>
      </c>
      <c r="E126" s="39" t="n">
        <f aca="false">'Inputs &amp; Assumptions'!E$51/4*(E82-E93)</f>
        <v>1054239.6306</v>
      </c>
      <c r="F126" s="39" t="n">
        <f aca="false">'Inputs &amp; Assumptions'!F$51/4*(F82-F93)</f>
        <v>985370.846001457</v>
      </c>
      <c r="G126" s="39" t="n">
        <f aca="false">'Inputs &amp; Assumptions'!G$51/4*(G82-G93)</f>
        <v>921000.952693295</v>
      </c>
      <c r="H126" s="39" t="n">
        <f aca="false">'Inputs &amp; Assumptions'!H$51/4*(H82-H93)</f>
        <v>861880.234076187</v>
      </c>
      <c r="I126" s="39" t="n">
        <f aca="false">'Inputs &amp; Assumptions'!I$51/4*(I82-I93)</f>
        <v>806554.581424627</v>
      </c>
      <c r="J126" s="39" t="n">
        <f aca="false">'Inputs &amp; Assumptions'!J$51/4*(J82-J93)</f>
        <v>754780.382583354</v>
      </c>
      <c r="K126" s="39" t="n">
        <f aca="false">'Inputs &amp; Assumptions'!K$51/4*(K82-K93)</f>
        <v>706329.663302411</v>
      </c>
      <c r="L126" s="39" t="n">
        <f aca="false">'Inputs &amp; Assumptions'!L$51/4*(L82-L93)</f>
        <v>662257.00795332</v>
      </c>
      <c r="M126" s="39" t="n">
        <f aca="false">'Inputs &amp; Assumptions'!M$51/4*(M82-M93)</f>
        <v>620934.341809607</v>
      </c>
      <c r="N126" s="39" t="n">
        <f aca="false">'Inputs &amp; Assumptions'!N$51/4*(N82-N93)</f>
        <v>582190.074560459</v>
      </c>
      <c r="O126" s="39" t="n">
        <f aca="false">'Inputs &amp; Assumptions'!O$51/4*(O82-O93)</f>
        <v>545863.322567914</v>
      </c>
      <c r="P126" s="39" t="n">
        <f aca="false">'Inputs &amp; Assumptions'!P$51/4*(P82-P93)</f>
        <v>512667.076384323</v>
      </c>
      <c r="Q126" s="39" t="n">
        <f aca="false">'Inputs &amp; Assumptions'!Q$51/4*(Q82-Q93)</f>
        <v>481489.633654126</v>
      </c>
      <c r="R126" s="39" t="n">
        <f aca="false">'Inputs &amp; Assumptions'!R$51/4*(R82-R93)</f>
        <v>452208.222442182</v>
      </c>
      <c r="S126" s="39" t="n">
        <f aca="false">'Inputs &amp; Assumptions'!S$51/4*(S82-S93)</f>
        <v>424707.537091469</v>
      </c>
      <c r="T126" s="39" t="n">
        <f aca="false">'Inputs &amp; Assumptions'!T$51/4*(T82-T93)</f>
        <v>399330.697988875</v>
      </c>
      <c r="U126" s="39" t="n">
        <f aca="false">'Inputs &amp; Assumptions'!U$51/4*(U82-U93)</f>
        <v>375470.158708151</v>
      </c>
      <c r="V126" s="39" t="n">
        <f aca="false">'Inputs &amp; Assumptions'!V$51/4*(V82-V93)</f>
        <v>353035.318322188</v>
      </c>
      <c r="W126" s="39" t="n">
        <f aca="false">'Inputs &amp; Assumptions'!W$51/4*(W82-W93)</f>
        <v>331940.989429537</v>
      </c>
      <c r="X126" s="39" t="n">
        <f aca="false">'Inputs &amp; Assumptions'!X$51/4*(X82-X93)</f>
        <v>312428.527413696</v>
      </c>
      <c r="Y126" s="39" t="n">
        <f aca="false">'Inputs &amp; Assumptions'!Y$51/4*(Y82-Y93)</f>
        <v>294063.064973213</v>
      </c>
      <c r="Z126" s="39" t="n">
        <f aca="false">'Inputs &amp; Assumptions'!Z$51/4*(Z82-Z93)</f>
        <v>276777.178119009</v>
      </c>
      <c r="AA126" s="39" t="n">
        <f aca="false">'Inputs &amp; Assumptions'!AA$51/4*(AA82-AA93)</f>
        <v>260507.406241242</v>
      </c>
      <c r="AB126" s="39" t="n">
        <f aca="false">'Inputs &amp; Assumptions'!AB$51/4*(AB82-AB93)</f>
        <v>0</v>
      </c>
      <c r="AC126" s="39" t="n">
        <f aca="false">'Inputs &amp; Assumptions'!AC$51/4*(AC82-AC93)</f>
        <v>0</v>
      </c>
      <c r="AD126" s="39" t="n">
        <f aca="false">'Inputs &amp; Assumptions'!AD$51/4*(AD82-AD93)</f>
        <v>0</v>
      </c>
      <c r="AE126" s="39" t="n">
        <f aca="false">'Inputs &amp; Assumptions'!AE$51/4*(AE82-AE93)</f>
        <v>0</v>
      </c>
      <c r="AF126" s="39" t="n">
        <f aca="false">'Inputs &amp; Assumptions'!AF$51/4*(AF82-AF93)</f>
        <v>0</v>
      </c>
      <c r="AG126" s="39" t="n">
        <f aca="false">'Inputs &amp; Assumptions'!AG$51/4*(AG82-AG93)</f>
        <v>0</v>
      </c>
      <c r="AH126" s="39" t="n">
        <f aca="false">'Inputs &amp; Assumptions'!AH$51/4*(AH82-AH93)</f>
        <v>0</v>
      </c>
      <c r="AI126" s="39" t="n">
        <f aca="false">'Inputs &amp; Assumptions'!AI$51/4*(AI82-AI93)</f>
        <v>0</v>
      </c>
      <c r="AJ126" s="39" t="n">
        <f aca="false">'Inputs &amp; Assumptions'!AJ$51/4*(AJ82-AJ93)</f>
        <v>0</v>
      </c>
      <c r="AK126" s="39" t="n">
        <f aca="false">'Inputs &amp; Assumptions'!AK$51/4*(AK82-AK93)</f>
        <v>0</v>
      </c>
      <c r="AL126" s="39" t="n">
        <f aca="false">'Inputs &amp; Assumptions'!AL$51/4*(AL82-AL93)</f>
        <v>0</v>
      </c>
      <c r="AM126" s="39" t="n">
        <f aca="false">'Inputs &amp; Assumptions'!AM$51/4*(AM82-AM93)</f>
        <v>0</v>
      </c>
      <c r="AN126" s="39" t="n">
        <f aca="false">'Inputs &amp; Assumptions'!AN$51/4*(AN82-AN93)</f>
        <v>0</v>
      </c>
    </row>
    <row r="127" customFormat="false" ht="15" hidden="false" customHeight="false" outlineLevel="0" collapsed="false">
      <c r="B127" s="37" t="n">
        <v>7</v>
      </c>
      <c r="C127" s="38" t="n">
        <f aca="false">'Inputs &amp; Assumptions'!$C$146</f>
        <v>6</v>
      </c>
      <c r="D127" s="38" t="n">
        <f aca="false">'Inputs &amp; Assumptions'!$D$146</f>
        <v>3</v>
      </c>
      <c r="E127" s="39" t="n">
        <f aca="false">'Inputs &amp; Assumptions'!E$51/4*(E83-E94)</f>
        <v>1022612.441682</v>
      </c>
      <c r="F127" s="39" t="n">
        <f aca="false">'Inputs &amp; Assumptions'!F$51/4*(F83-F94)</f>
        <v>955809.720621413</v>
      </c>
      <c r="G127" s="39" t="n">
        <f aca="false">'Inputs &amp; Assumptions'!G$51/4*(G83-G94)</f>
        <v>894454.564170047</v>
      </c>
      <c r="H127" s="39" t="n">
        <f aca="false">'Inputs &amp; Assumptions'!H$51/4*(H83-H94)</f>
        <v>837037.906294238</v>
      </c>
      <c r="I127" s="39" t="n">
        <f aca="false">'Inputs &amp; Assumptions'!I$51/4*(I83-I94)</f>
        <v>783306.927639806</v>
      </c>
      <c r="J127" s="39" t="n">
        <f aca="false">'Inputs &amp; Assumptions'!J$51/4*(J83-J94)</f>
        <v>733025.037784643</v>
      </c>
      <c r="K127" s="39" t="n">
        <f aca="false">'Inputs &amp; Assumptions'!K$51/4*(K83-K94)</f>
        <v>687286.678586347</v>
      </c>
      <c r="L127" s="39" t="n">
        <f aca="false">'Inputs &amp; Assumptions'!L$51/4*(L83-L94)</f>
        <v>644402.243052753</v>
      </c>
      <c r="M127" s="39" t="n">
        <f aca="false">'Inputs &amp; Assumptions'!M$51/4*(M83-M94)</f>
        <v>604193.655703526</v>
      </c>
      <c r="N127" s="39" t="n">
        <f aca="false">'Inputs &amp; Assumptions'!N$51/4*(N83-N94)</f>
        <v>566493.952384499</v>
      </c>
      <c r="O127" s="39" t="n">
        <f aca="false">'Inputs &amp; Assumptions'!O$51/4*(O83-O94)</f>
        <v>532043.070767459</v>
      </c>
      <c r="P127" s="39" t="n">
        <f aca="false">'Inputs &amp; Assumptions'!P$51/4*(P83-P94)</f>
        <v>499687.292265282</v>
      </c>
      <c r="Q127" s="39" t="n">
        <f aca="false">'Inputs &amp; Assumptions'!Q$51/4*(Q83-Q94)</f>
        <v>469299.204839264</v>
      </c>
      <c r="R127" s="39" t="n">
        <f aca="false">'Inputs &amp; Assumptions'!R$51/4*(R83-R94)</f>
        <v>440759.144913055</v>
      </c>
      <c r="S127" s="39" t="n">
        <f aca="false">'Inputs &amp; Assumptions'!S$51/4*(S83-S94)</f>
        <v>414423.200936043</v>
      </c>
      <c r="T127" s="39" t="n">
        <f aca="false">'Inputs &amp; Assumptions'!T$51/4*(T83-T94)</f>
        <v>389660.864570274</v>
      </c>
      <c r="U127" s="39" t="n">
        <f aca="false">'Inputs &amp; Assumptions'!U$51/4*(U83-U94)</f>
        <v>366378.110672153</v>
      </c>
      <c r="V127" s="39" t="n">
        <f aca="false">'Inputs &amp; Assumptions'!V$51/4*(V83-V94)</f>
        <v>344486.532225224</v>
      </c>
      <c r="W127" s="39" t="n">
        <f aca="false">'Inputs &amp; Assumptions'!W$51/4*(W83-W94)</f>
        <v>324236.606518353</v>
      </c>
      <c r="X127" s="39" t="n">
        <f aca="false">'Inputs &amp; Assumptions'!X$51/4*(X83-X94)</f>
        <v>305177.03065908</v>
      </c>
      <c r="Y127" s="39" t="n">
        <f aca="false">'Inputs &amp; Assumptions'!Y$51/4*(Y83-Y94)</f>
        <v>287237.832402558</v>
      </c>
      <c r="Z127" s="39" t="n">
        <f aca="false">'Inputs &amp; Assumptions'!Z$51/4*(Z83-Z94)</f>
        <v>270353.152677106</v>
      </c>
      <c r="AA127" s="39" t="n">
        <f aca="false">'Inputs &amp; Assumptions'!AA$51/4*(AA83-AA94)</f>
        <v>0</v>
      </c>
      <c r="AB127" s="39" t="n">
        <f aca="false">'Inputs &amp; Assumptions'!AB$51/4*(AB83-AB94)</f>
        <v>0</v>
      </c>
      <c r="AC127" s="39" t="n">
        <f aca="false">'Inputs &amp; Assumptions'!AC$51/4*(AC83-AC94)</f>
        <v>0</v>
      </c>
      <c r="AD127" s="39" t="n">
        <f aca="false">'Inputs &amp; Assumptions'!AD$51/4*(AD83-AD94)</f>
        <v>0</v>
      </c>
      <c r="AE127" s="39" t="n">
        <f aca="false">'Inputs &amp; Assumptions'!AE$51/4*(AE83-AE94)</f>
        <v>0</v>
      </c>
      <c r="AF127" s="39" t="n">
        <f aca="false">'Inputs &amp; Assumptions'!AF$51/4*(AF83-AF94)</f>
        <v>0</v>
      </c>
      <c r="AG127" s="39" t="n">
        <f aca="false">'Inputs &amp; Assumptions'!AG$51/4*(AG83-AG94)</f>
        <v>0</v>
      </c>
      <c r="AH127" s="39" t="n">
        <f aca="false">'Inputs &amp; Assumptions'!AH$51/4*(AH83-AH94)</f>
        <v>0</v>
      </c>
      <c r="AI127" s="39" t="n">
        <f aca="false">'Inputs &amp; Assumptions'!AI$51/4*(AI83-AI94)</f>
        <v>0</v>
      </c>
      <c r="AJ127" s="39" t="n">
        <f aca="false">'Inputs &amp; Assumptions'!AJ$51/4*(AJ83-AJ94)</f>
        <v>0</v>
      </c>
      <c r="AK127" s="39" t="n">
        <f aca="false">'Inputs &amp; Assumptions'!AK$51/4*(AK83-AK94)</f>
        <v>0</v>
      </c>
      <c r="AL127" s="39" t="n">
        <f aca="false">'Inputs &amp; Assumptions'!AL$51/4*(AL83-AL94)</f>
        <v>0</v>
      </c>
      <c r="AM127" s="39" t="n">
        <f aca="false">'Inputs &amp; Assumptions'!AM$51/4*(AM83-AM94)</f>
        <v>0</v>
      </c>
      <c r="AN127" s="39" t="n">
        <f aca="false">'Inputs &amp; Assumptions'!AN$51/4*(AN83-AN94)</f>
        <v>0</v>
      </c>
    </row>
    <row r="128" customFormat="false" ht="15" hidden="false" customHeight="false" outlineLevel="0" collapsed="false">
      <c r="B128" s="37" t="n">
        <v>8</v>
      </c>
      <c r="C128" s="38" t="n">
        <f aca="false">'Inputs &amp; Assumptions'!$C$147</f>
        <v>7</v>
      </c>
      <c r="D128" s="38" t="n">
        <f aca="false">'Inputs &amp; Assumptions'!$D$147</f>
        <v>3</v>
      </c>
      <c r="E128" s="39" t="n">
        <f aca="false">'Inputs &amp; Assumptions'!E$51/4*(E84-E95)</f>
        <v>991934.06843154</v>
      </c>
      <c r="F128" s="39" t="n">
        <f aca="false">'Inputs &amp; Assumptions'!F$51/4*(F84-F95)</f>
        <v>928260.024691443</v>
      </c>
      <c r="G128" s="39" t="n">
        <f aca="false">'Inputs &amp; Assumptions'!G$51/4*(G84-G95)</f>
        <v>868673.333100291</v>
      </c>
      <c r="H128" s="39" t="n">
        <f aca="false">'Inputs &amp; Assumptions'!H$51/4*(H84-H95)</f>
        <v>812911.619123531</v>
      </c>
      <c r="I128" s="39" t="n">
        <f aca="false">'Inputs &amp; Assumptions'!I$51/4*(I84-I95)</f>
        <v>760729.350523007</v>
      </c>
      <c r="J128" s="39" t="n">
        <f aca="false">'Inputs &amp; Assumptions'!J$51/4*(J84-J95)</f>
        <v>713262.333036041</v>
      </c>
      <c r="K128" s="39" t="n">
        <f aca="false">'Inputs &amp; Assumptions'!K$51/4*(K84-K95)</f>
        <v>668757.101823732</v>
      </c>
      <c r="L128" s="39" t="n">
        <f aca="false">'Inputs &amp; Assumptions'!L$51/4*(L84-L95)</f>
        <v>627028.851132503</v>
      </c>
      <c r="M128" s="39" t="n">
        <f aca="false">'Inputs &amp; Assumptions'!M$51/4*(M84-M95)</f>
        <v>587904.30648193</v>
      </c>
      <c r="N128" s="39" t="n">
        <f aca="false">'Inputs &amp; Assumptions'!N$51/4*(N84-N95)</f>
        <v>552151.371116064</v>
      </c>
      <c r="O128" s="39" t="n">
        <f aca="false">'Inputs &amp; Assumptions'!O$51/4*(O84-O95)</f>
        <v>518572.72223387</v>
      </c>
      <c r="P128" s="39" t="n">
        <f aca="false">'Inputs &amp; Assumptions'!P$51/4*(P84-P95)</f>
        <v>487036.132322704</v>
      </c>
      <c r="Q128" s="39" t="n">
        <f aca="false">'Inputs &amp; Assumptions'!Q$51/4*(Q84-Q95)</f>
        <v>457417.415181516</v>
      </c>
      <c r="R128" s="39" t="n">
        <f aca="false">'Inputs &amp; Assumptions'!R$51/4*(R84-R95)</f>
        <v>430086.117443595</v>
      </c>
      <c r="S128" s="39" t="n">
        <f aca="false">'Inputs &amp; Assumptions'!S$51/4*(S84-S95)</f>
        <v>404387.901025375</v>
      </c>
      <c r="T128" s="39" t="n">
        <f aca="false">'Inputs &amp; Assumptions'!T$51/4*(T84-T95)</f>
        <v>380225.187150234</v>
      </c>
      <c r="U128" s="39" t="n">
        <f aca="false">'Inputs &amp; Assumptions'!U$51/4*(U84-U95)</f>
        <v>357506.227502981</v>
      </c>
      <c r="V128" s="39" t="n">
        <f aca="false">'Inputs &amp; Assumptions'!V$51/4*(V84-V95)</f>
        <v>336490.966035673</v>
      </c>
      <c r="W128" s="39" t="n">
        <f aca="false">'Inputs &amp; Assumptions'!W$51/4*(W84-W95)</f>
        <v>316711.043089946</v>
      </c>
      <c r="X128" s="39" t="n">
        <f aca="false">'Inputs &amp; Assumptions'!X$51/4*(X84-X95)</f>
        <v>298093.841855142</v>
      </c>
      <c r="Y128" s="39" t="n">
        <f aca="false">'Inputs &amp; Assumptions'!Y$51/4*(Y84-Y95)</f>
        <v>280571.014149077</v>
      </c>
      <c r="Z128" s="39" t="n">
        <f aca="false">'Inputs &amp; Assumptions'!Z$51/4*(Z84-Z95)</f>
        <v>0</v>
      </c>
      <c r="AA128" s="39" t="n">
        <f aca="false">'Inputs &amp; Assumptions'!AA$51/4*(AA84-AA95)</f>
        <v>0</v>
      </c>
      <c r="AB128" s="39" t="n">
        <f aca="false">'Inputs &amp; Assumptions'!AB$51/4*(AB84-AB95)</f>
        <v>0</v>
      </c>
      <c r="AC128" s="39" t="n">
        <f aca="false">'Inputs &amp; Assumptions'!AC$51/4*(AC84-AC95)</f>
        <v>0</v>
      </c>
      <c r="AD128" s="39" t="n">
        <f aca="false">'Inputs &amp; Assumptions'!AD$51/4*(AD84-AD95)</f>
        <v>0</v>
      </c>
      <c r="AE128" s="39" t="n">
        <f aca="false">'Inputs &amp; Assumptions'!AE$51/4*(AE84-AE95)</f>
        <v>0</v>
      </c>
      <c r="AF128" s="39" t="n">
        <f aca="false">'Inputs &amp; Assumptions'!AF$51/4*(AF84-AF95)</f>
        <v>0</v>
      </c>
      <c r="AG128" s="39" t="n">
        <f aca="false">'Inputs &amp; Assumptions'!AG$51/4*(AG84-AG95)</f>
        <v>0</v>
      </c>
      <c r="AH128" s="39" t="n">
        <f aca="false">'Inputs &amp; Assumptions'!AH$51/4*(AH84-AH95)</f>
        <v>0</v>
      </c>
      <c r="AI128" s="39" t="n">
        <f aca="false">'Inputs &amp; Assumptions'!AI$51/4*(AI84-AI95)</f>
        <v>0</v>
      </c>
      <c r="AJ128" s="39" t="n">
        <f aca="false">'Inputs &amp; Assumptions'!AJ$51/4*(AJ84-AJ95)</f>
        <v>0</v>
      </c>
      <c r="AK128" s="39" t="n">
        <f aca="false">'Inputs &amp; Assumptions'!AK$51/4*(AK84-AK95)</f>
        <v>0</v>
      </c>
      <c r="AL128" s="39" t="n">
        <f aca="false">'Inputs &amp; Assumptions'!AL$51/4*(AL84-AL95)</f>
        <v>0</v>
      </c>
      <c r="AM128" s="39" t="n">
        <f aca="false">'Inputs &amp; Assumptions'!AM$51/4*(AM84-AM95)</f>
        <v>0</v>
      </c>
      <c r="AN128" s="39" t="n">
        <f aca="false">'Inputs &amp; Assumptions'!AN$51/4*(AN84-AN95)</f>
        <v>0</v>
      </c>
    </row>
    <row r="129" customFormat="false" ht="15" hidden="false" customHeight="false" outlineLevel="0" collapsed="false">
      <c r="B129" s="37" t="n">
        <v>9</v>
      </c>
      <c r="C129" s="38" t="n">
        <f aca="false">'Inputs &amp; Assumptions'!$C$148</f>
        <v>8</v>
      </c>
      <c r="D129" s="38" t="n">
        <f aca="false">'Inputs &amp; Assumptions'!$D$148</f>
        <v>3</v>
      </c>
      <c r="E129" s="39" t="n">
        <f aca="false">'Inputs &amp; Assumptions'!E$51/4*(E85-E96)</f>
        <v>963343.145595873</v>
      </c>
      <c r="F129" s="39" t="n">
        <f aca="false">'Inputs &amp; Assumptions'!F$51/4*(F85-F96)</f>
        <v>901504.404956199</v>
      </c>
      <c r="G129" s="39" t="n">
        <f aca="false">'Inputs &amp; Assumptions'!G$51/4*(G85-G96)</f>
        <v>843635.205036655</v>
      </c>
      <c r="H129" s="39" t="n">
        <f aca="false">'Inputs &amp; Assumptions'!H$51/4*(H85-H96)</f>
        <v>789480.733831599</v>
      </c>
      <c r="I129" s="39" t="n">
        <f aca="false">'Inputs &amp; Assumptions'!I$51/4*(I85-I96)</f>
        <v>740219.724285112</v>
      </c>
      <c r="J129" s="39" t="n">
        <f aca="false">'Inputs &amp; Assumptions'!J$51/4*(J85-J96)</f>
        <v>694032.440236347</v>
      </c>
      <c r="K129" s="39" t="n">
        <f aca="false">'Inputs &amp; Assumptions'!K$51/4*(K85-K96)</f>
        <v>650727.091291191</v>
      </c>
      <c r="L129" s="39" t="n">
        <f aca="false">'Inputs &amp; Assumptions'!L$51/4*(L85-L96)</f>
        <v>610123.854147356</v>
      </c>
      <c r="M129" s="39" t="n">
        <f aca="false">'Inputs &amp; Assumptions'!M$51/4*(M85-M96)</f>
        <v>573019.654565899</v>
      </c>
      <c r="N129" s="39" t="n">
        <f aca="false">'Inputs &amp; Assumptions'!N$51/4*(N85-N96)</f>
        <v>538171.917532534</v>
      </c>
      <c r="O129" s="39" t="n">
        <f aca="false">'Inputs &amp; Assumptions'!O$51/4*(O85-O96)</f>
        <v>505443.418062261</v>
      </c>
      <c r="P129" s="39" t="n">
        <f aca="false">'Inputs &amp; Assumptions'!P$51/4*(P85-P96)</f>
        <v>474705.276399001</v>
      </c>
      <c r="Q129" s="39" t="n">
        <f aca="false">'Inputs &amp; Assumptions'!Q$51/4*(Q85-Q96)</f>
        <v>446341.006005241</v>
      </c>
      <c r="R129" s="39" t="n">
        <f aca="false">'Inputs &amp; Assumptions'!R$51/4*(R85-R96)</f>
        <v>419671.538418548</v>
      </c>
      <c r="S129" s="39" t="n">
        <f aca="false">'Inputs &amp; Assumptions'!S$51/4*(S85-S96)</f>
        <v>394595.6069215</v>
      </c>
      <c r="T129" s="39" t="n">
        <f aca="false">'Inputs &amp; Assumptions'!T$51/4*(T85-T96)</f>
        <v>371017.995617462</v>
      </c>
      <c r="U129" s="39" t="n">
        <f aca="false">'Inputs &amp; Assumptions'!U$51/4*(U85-U96)</f>
        <v>349208.472909464</v>
      </c>
      <c r="V129" s="39" t="n">
        <f aca="false">'Inputs &amp; Assumptions'!V$51/4*(V85-V96)</f>
        <v>328680.97772134</v>
      </c>
      <c r="W129" s="39" t="n">
        <f aca="false">'Inputs &amp; Assumptions'!W$51/4*(W85-W96)</f>
        <v>309360.148726588</v>
      </c>
      <c r="X129" s="39" t="n">
        <f aca="false">'Inputs &amp; Assumptions'!X$51/4*(X85-X96)</f>
        <v>291175.054557843</v>
      </c>
      <c r="Y129" s="39" t="n">
        <f aca="false">'Inputs &amp; Assumptions'!Y$51/4*(Y85-Y96)</f>
        <v>0</v>
      </c>
      <c r="Z129" s="39" t="n">
        <f aca="false">'Inputs &amp; Assumptions'!Z$51/4*(Z85-Z96)</f>
        <v>0</v>
      </c>
      <c r="AA129" s="39" t="n">
        <f aca="false">'Inputs &amp; Assumptions'!AA$51/4*(AA85-AA96)</f>
        <v>0</v>
      </c>
      <c r="AB129" s="39" t="n">
        <f aca="false">'Inputs &amp; Assumptions'!AB$51/4*(AB85-AB96)</f>
        <v>0</v>
      </c>
      <c r="AC129" s="39" t="n">
        <f aca="false">'Inputs &amp; Assumptions'!AC$51/4*(AC85-AC96)</f>
        <v>0</v>
      </c>
      <c r="AD129" s="39" t="n">
        <f aca="false">'Inputs &amp; Assumptions'!AD$51/4*(AD85-AD96)</f>
        <v>0</v>
      </c>
      <c r="AE129" s="39" t="n">
        <f aca="false">'Inputs &amp; Assumptions'!AE$51/4*(AE85-AE96)</f>
        <v>0</v>
      </c>
      <c r="AF129" s="39" t="n">
        <f aca="false">'Inputs &amp; Assumptions'!AF$51/4*(AF85-AF96)</f>
        <v>0</v>
      </c>
      <c r="AG129" s="39" t="n">
        <f aca="false">'Inputs &amp; Assumptions'!AG$51/4*(AG85-AG96)</f>
        <v>0</v>
      </c>
      <c r="AH129" s="39" t="n">
        <f aca="false">'Inputs &amp; Assumptions'!AH$51/4*(AH85-AH96)</f>
        <v>0</v>
      </c>
      <c r="AI129" s="39" t="n">
        <f aca="false">'Inputs &amp; Assumptions'!AI$51/4*(AI85-AI96)</f>
        <v>0</v>
      </c>
      <c r="AJ129" s="39" t="n">
        <f aca="false">'Inputs &amp; Assumptions'!AJ$51/4*(AJ85-AJ96)</f>
        <v>0</v>
      </c>
      <c r="AK129" s="39" t="n">
        <f aca="false">'Inputs &amp; Assumptions'!AK$51/4*(AK85-AK96)</f>
        <v>0</v>
      </c>
      <c r="AL129" s="39" t="n">
        <f aca="false">'Inputs &amp; Assumptions'!AL$51/4*(AL85-AL96)</f>
        <v>0</v>
      </c>
      <c r="AM129" s="39" t="n">
        <f aca="false">'Inputs &amp; Assumptions'!AM$51/4*(AM85-AM96)</f>
        <v>0</v>
      </c>
      <c r="AN129" s="39" t="n">
        <f aca="false">'Inputs &amp; Assumptions'!AN$51/4*(AN85-AN96)</f>
        <v>0</v>
      </c>
    </row>
    <row r="130" customFormat="false" ht="15" hidden="false" customHeight="false" outlineLevel="0" collapsed="false">
      <c r="B130" s="37" t="n">
        <v>10</v>
      </c>
      <c r="C130" s="38" t="n">
        <f aca="false">'Inputs &amp; Assumptions'!$C$149</f>
        <v>9</v>
      </c>
      <c r="D130" s="38" t="n">
        <f aca="false">'Inputs &amp; Assumptions'!$D$149</f>
        <v>3</v>
      </c>
      <c r="E130" s="39" t="n">
        <f aca="false">'Inputs &amp; Assumptions'!E$51/4*(E86-E97)</f>
        <v>934442.851227997</v>
      </c>
      <c r="F130" s="39" t="n">
        <f aca="false">'Inputs &amp; Assumptions'!F$51/4*(F86-F97)</f>
        <v>874459.272807513</v>
      </c>
      <c r="G130" s="39" t="n">
        <f aca="false">'Inputs &amp; Assumptions'!G$51/4*(G86-G97)</f>
        <v>818326.148885556</v>
      </c>
      <c r="H130" s="39" t="n">
        <f aca="false">'Inputs &amp; Assumptions'!H$51/4*(H86-H97)</f>
        <v>767265.280006911</v>
      </c>
      <c r="I130" s="39" t="n">
        <f aca="false">'Inputs &amp; Assumptions'!I$51/4*(I86-I97)</f>
        <v>719390.441947631</v>
      </c>
      <c r="J130" s="39" t="n">
        <f aca="false">'Inputs &amp; Assumptions'!J$51/4*(J86-J97)</f>
        <v>674502.836829717</v>
      </c>
      <c r="K130" s="39" t="n">
        <f aca="false">'Inputs &amp; Assumptions'!K$51/4*(K86-K97)</f>
        <v>632416.071111012</v>
      </c>
      <c r="L130" s="39" t="n">
        <f aca="false">'Inputs &amp; Assumptions'!L$51/4*(L86-L97)</f>
        <v>593956.187988074</v>
      </c>
      <c r="M130" s="39" t="n">
        <f aca="false">'Inputs &amp; Assumptions'!M$51/4*(M86-M97)</f>
        <v>557835.212235455</v>
      </c>
      <c r="N130" s="39" t="n">
        <f aca="false">'Inputs &amp; Assumptions'!N$51/4*(N86-N97)</f>
        <v>523910.905051508</v>
      </c>
      <c r="O130" s="39" t="n">
        <f aca="false">'Inputs &amp; Assumptions'!O$51/4*(O86-O97)</f>
        <v>492049.677774796</v>
      </c>
      <c r="P130" s="39" t="n">
        <f aca="false">'Inputs &amp; Assumptions'!P$51/4*(P86-P97)</f>
        <v>462649.056375686</v>
      </c>
      <c r="Q130" s="39" t="n">
        <f aca="false">'Inputs &amp; Assumptions'!Q$51/4*(Q86-Q97)</f>
        <v>435005.161131876</v>
      </c>
      <c r="R130" s="39" t="n">
        <f aca="false">'Inputs &amp; Assumptions'!R$51/4*(R86-R97)</f>
        <v>409013.02532369</v>
      </c>
      <c r="S130" s="39" t="n">
        <f aca="false">'Inputs &amp; Assumptions'!S$51/4*(S86-S97)</f>
        <v>384573.954132285</v>
      </c>
      <c r="T130" s="39" t="n">
        <f aca="false">'Inputs &amp; Assumptions'!T$51/4*(T86-T97)</f>
        <v>361967.572542641</v>
      </c>
      <c r="U130" s="39" t="n">
        <f aca="false">'Inputs &amp; Assumptions'!U$51/4*(U86-U97)</f>
        <v>340690.0601681</v>
      </c>
      <c r="V130" s="39" t="n">
        <f aca="false">'Inputs &amp; Assumptions'!V$51/4*(V86-V97)</f>
        <v>320663.302190337</v>
      </c>
      <c r="W130" s="39" t="n">
        <f aca="false">'Inputs &amp; Assumptions'!W$51/4*(W86-W97)</f>
        <v>301813.775608471</v>
      </c>
      <c r="X130" s="39" t="n">
        <f aca="false">'Inputs &amp; Assumptions'!X$51/4*(X86-X97)</f>
        <v>0</v>
      </c>
      <c r="Y130" s="39" t="n">
        <f aca="false">'Inputs &amp; Assumptions'!Y$51/4*(Y86-Y97)</f>
        <v>0</v>
      </c>
      <c r="Z130" s="39" t="n">
        <f aca="false">'Inputs &amp; Assumptions'!Z$51/4*(Z86-Z97)</f>
        <v>0</v>
      </c>
      <c r="AA130" s="39" t="n">
        <f aca="false">'Inputs &amp; Assumptions'!AA$51/4*(AA86-AA97)</f>
        <v>0</v>
      </c>
      <c r="AB130" s="39" t="n">
        <f aca="false">'Inputs &amp; Assumptions'!AB$51/4*(AB86-AB97)</f>
        <v>0</v>
      </c>
      <c r="AC130" s="39" t="n">
        <f aca="false">'Inputs &amp; Assumptions'!AC$51/4*(AC86-AC97)</f>
        <v>0</v>
      </c>
      <c r="AD130" s="39" t="n">
        <f aca="false">'Inputs &amp; Assumptions'!AD$51/4*(AD86-AD97)</f>
        <v>0</v>
      </c>
      <c r="AE130" s="39" t="n">
        <f aca="false">'Inputs &amp; Assumptions'!AE$51/4*(AE86-AE97)</f>
        <v>0</v>
      </c>
      <c r="AF130" s="39" t="n">
        <f aca="false">'Inputs &amp; Assumptions'!AF$51/4*(AF86-AF97)</f>
        <v>0</v>
      </c>
      <c r="AG130" s="39" t="n">
        <f aca="false">'Inputs &amp; Assumptions'!AG$51/4*(AG86-AG97)</f>
        <v>0</v>
      </c>
      <c r="AH130" s="39" t="n">
        <f aca="false">'Inputs &amp; Assumptions'!AH$51/4*(AH86-AH97)</f>
        <v>0</v>
      </c>
      <c r="AI130" s="39" t="n">
        <f aca="false">'Inputs &amp; Assumptions'!AI$51/4*(AI86-AI97)</f>
        <v>0</v>
      </c>
      <c r="AJ130" s="39" t="n">
        <f aca="false">'Inputs &amp; Assumptions'!AJ$51/4*(AJ86-AJ97)</f>
        <v>0</v>
      </c>
      <c r="AK130" s="39" t="n">
        <f aca="false">'Inputs &amp; Assumptions'!AK$51/4*(AK86-AK97)</f>
        <v>0</v>
      </c>
      <c r="AL130" s="39" t="n">
        <f aca="false">'Inputs &amp; Assumptions'!AL$51/4*(AL86-AL97)</f>
        <v>0</v>
      </c>
      <c r="AM130" s="39" t="n">
        <f aca="false">'Inputs &amp; Assumptions'!AM$51/4*(AM86-AM97)</f>
        <v>0</v>
      </c>
      <c r="AN130" s="39" t="n">
        <f aca="false">'Inputs &amp; Assumptions'!AN$51/4*(AN86-AN97)</f>
        <v>0</v>
      </c>
    </row>
    <row r="131" customFormat="false" ht="15" hidden="false" customHeight="false" outlineLevel="0" collapsed="false">
      <c r="B131" s="37" t="n">
        <v>11</v>
      </c>
      <c r="C131" s="38" t="n">
        <f aca="false">'Inputs &amp; Assumptions'!$C$150</f>
        <v>10</v>
      </c>
      <c r="D131" s="38" t="n">
        <f aca="false">'Inputs &amp; Assumptions'!$D$150</f>
        <v>2</v>
      </c>
      <c r="E131" s="39" t="n">
        <f aca="false">'Inputs &amp; Assumptions'!E$51/4*(E87-E98)</f>
        <v>604273.043794105</v>
      </c>
      <c r="F131" s="39" t="n">
        <f aca="false">'Inputs &amp; Assumptions'!F$51/4*(F87-F98)</f>
        <v>565483.663082192</v>
      </c>
      <c r="G131" s="39" t="n">
        <f aca="false">'Inputs &amp; Assumptions'!G$51/4*(G87-G98)</f>
        <v>530199.336395359</v>
      </c>
      <c r="H131" s="39" t="n">
        <f aca="false">'Inputs &amp; Assumptions'!H$51/4*(H87-H98)</f>
        <v>497116.636017158</v>
      </c>
      <c r="I131" s="39" t="n">
        <f aca="false">'Inputs &amp; Assumptions'!I$51/4*(I87-I98)</f>
        <v>466098.187683772</v>
      </c>
      <c r="J131" s="39" t="n">
        <f aca="false">'Inputs &amp; Assumptions'!J$51/4*(J87-J98)</f>
        <v>437015.188835078</v>
      </c>
      <c r="K131" s="39" t="n">
        <f aca="false">'Inputs &amp; Assumptions'!K$51/4*(K87-K98)</f>
        <v>410438.455805478</v>
      </c>
      <c r="L131" s="39" t="n">
        <f aca="false">'Inputs &amp; Assumptions'!L$51/4*(L87-L98)</f>
        <v>385477.965772854</v>
      </c>
      <c r="M131" s="39" t="n">
        <f aca="false">'Inputs &amp; Assumptions'!M$51/4*(M87-M98)</f>
        <v>362035.428197793</v>
      </c>
      <c r="N131" s="39" t="n">
        <f aca="false">'Inputs &amp; Assumptions'!N$51/4*(N87-N98)</f>
        <v>340018.530002292</v>
      </c>
      <c r="O131" s="39" t="n">
        <f aca="false">'Inputs &amp; Assumptions'!O$51/4*(O87-O98)</f>
        <v>319701.97149038</v>
      </c>
      <c r="P131" s="39" t="n">
        <f aca="false">'Inputs &amp; Assumptions'!P$51/4*(P87-P98)</f>
        <v>300599.354317975</v>
      </c>
      <c r="Q131" s="39" t="n">
        <f aca="false">'Inputs &amp; Assumptions'!Q$51/4*(Q87-Q98)</f>
        <v>282638.143878641</v>
      </c>
      <c r="R131" s="39" t="n">
        <f aca="false">'Inputs &amp; Assumptions'!R$51/4*(R87-R98)</f>
        <v>265750.139604962</v>
      </c>
      <c r="S131" s="39" t="n">
        <f aca="false">'Inputs &amp; Assumptions'!S$51/4*(S87-S98)</f>
        <v>250128.569296162</v>
      </c>
      <c r="T131" s="39" t="n">
        <f aca="false">'Inputs &amp; Assumptions'!T$51/4*(T87-T98)</f>
        <v>235425.280570489</v>
      </c>
      <c r="U131" s="39" t="n">
        <f aca="false">'Inputs &amp; Assumptions'!U$51/4*(U87-U98)</f>
        <v>221586.294151262</v>
      </c>
      <c r="V131" s="39" t="n">
        <f aca="false">'Inputs &amp; Assumptions'!V$51/4*(V87-V98)</f>
        <v>208560.803821526</v>
      </c>
      <c r="W131" s="39" t="n">
        <f aca="false">'Inputs &amp; Assumptions'!W$51/4*(W87-W98)</f>
        <v>0</v>
      </c>
      <c r="X131" s="39" t="n">
        <f aca="false">'Inputs &amp; Assumptions'!X$51/4*(X87-X98)</f>
        <v>0</v>
      </c>
      <c r="Y131" s="39" t="n">
        <f aca="false">'Inputs &amp; Assumptions'!Y$51/4*(Y87-Y98)</f>
        <v>0</v>
      </c>
      <c r="Z131" s="39" t="n">
        <f aca="false">'Inputs &amp; Assumptions'!Z$51/4*(Z87-Z98)</f>
        <v>0</v>
      </c>
      <c r="AA131" s="39" t="n">
        <f aca="false">'Inputs &amp; Assumptions'!AA$51/4*(AA87-AA98)</f>
        <v>0</v>
      </c>
      <c r="AB131" s="39" t="n">
        <f aca="false">'Inputs &amp; Assumptions'!AB$51/4*(AB87-AB98)</f>
        <v>0</v>
      </c>
      <c r="AC131" s="39" t="n">
        <f aca="false">'Inputs &amp; Assumptions'!AC$51/4*(AC87-AC98)</f>
        <v>0</v>
      </c>
      <c r="AD131" s="39" t="n">
        <f aca="false">'Inputs &amp; Assumptions'!AD$51/4*(AD87-AD98)</f>
        <v>0</v>
      </c>
      <c r="AE131" s="39" t="n">
        <f aca="false">'Inputs &amp; Assumptions'!AE$51/4*(AE87-AE98)</f>
        <v>0</v>
      </c>
      <c r="AF131" s="39" t="n">
        <f aca="false">'Inputs &amp; Assumptions'!AF$51/4*(AF87-AF98)</f>
        <v>0</v>
      </c>
      <c r="AG131" s="39" t="n">
        <f aca="false">'Inputs &amp; Assumptions'!AG$51/4*(AG87-AG98)</f>
        <v>0</v>
      </c>
      <c r="AH131" s="39" t="n">
        <f aca="false">'Inputs &amp; Assumptions'!AH$51/4*(AH87-AH98)</f>
        <v>0</v>
      </c>
      <c r="AI131" s="39" t="n">
        <f aca="false">'Inputs &amp; Assumptions'!AI$51/4*(AI87-AI98)</f>
        <v>0</v>
      </c>
      <c r="AJ131" s="39" t="n">
        <f aca="false">'Inputs &amp; Assumptions'!AJ$51/4*(AJ87-AJ98)</f>
        <v>0</v>
      </c>
      <c r="AK131" s="39" t="n">
        <f aca="false">'Inputs &amp; Assumptions'!AK$51/4*(AK87-AK98)</f>
        <v>0</v>
      </c>
      <c r="AL131" s="39" t="n">
        <f aca="false">'Inputs &amp; Assumptions'!AL$51/4*(AL87-AL98)</f>
        <v>0</v>
      </c>
      <c r="AM131" s="39" t="n">
        <f aca="false">'Inputs &amp; Assumptions'!AM$51/4*(AM87-AM98)</f>
        <v>0</v>
      </c>
      <c r="AN131" s="39" t="n">
        <f aca="false">'Inputs &amp; Assumptions'!AN$51/4*(AN87-AN98)</f>
        <v>0</v>
      </c>
    </row>
    <row r="132" customFormat="false" ht="15" hidden="false" customHeight="false" outlineLevel="0" collapsed="false">
      <c r="A132" s="12" t="s">
        <v>131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customFormat="false" ht="15" hidden="false" customHeight="false" outlineLevel="0" collapsed="false">
      <c r="A133" s="5" t="s">
        <v>132</v>
      </c>
      <c r="E133" s="39" t="n">
        <f aca="false">SUM(E77:E87)</f>
        <v>567374870.33916</v>
      </c>
      <c r="F133" s="39" t="n">
        <f aca="false">SUM(F77:F87)</f>
        <v>536784399.269557</v>
      </c>
      <c r="G133" s="39" t="n">
        <f aca="false">SUM(G77:G87)</f>
        <v>506195899.938778</v>
      </c>
      <c r="H133" s="39" t="n">
        <f aca="false">SUM(H77:H87)</f>
        <v>475787188.136534</v>
      </c>
      <c r="I133" s="39" t="n">
        <f aca="false">SUM(I77:I87)</f>
        <v>445686210.370844</v>
      </c>
      <c r="J133" s="39" t="n">
        <f aca="false">SUM(J77:J87)</f>
        <v>417080763.669223</v>
      </c>
      <c r="K133" s="39" t="n">
        <f aca="false">SUM(K77:K87)</f>
        <v>390432478.807512</v>
      </c>
      <c r="L133" s="39" t="n">
        <f aca="false">SUM(L77:L87)</f>
        <v>365639420.544409</v>
      </c>
      <c r="M133" s="39" t="n">
        <f aca="false">SUM(M77:M87)</f>
        <v>342585276.910871</v>
      </c>
      <c r="N133" s="39" t="n">
        <f aca="false">SUM(N77:N87)</f>
        <v>321113289.033745</v>
      </c>
      <c r="O133" s="39" t="n">
        <f aca="false">SUM(O77:O87)</f>
        <v>301096590.822734</v>
      </c>
      <c r="P133" s="39" t="n">
        <f aca="false">SUM(P77:P87)</f>
        <v>282451942.232389</v>
      </c>
      <c r="Q133" s="39" t="n">
        <f aca="false">SUM(Q77:Q87)</f>
        <v>265090732.705127</v>
      </c>
      <c r="R133" s="39" t="n">
        <f aca="false">SUM(R77:R87)</f>
        <v>248884306.582262</v>
      </c>
      <c r="S133" s="39" t="n">
        <f aca="false">SUM(S77:S87)</f>
        <v>233735541.217402</v>
      </c>
      <c r="T133" s="39" t="n">
        <f aca="false">SUM(T77:T87)</f>
        <v>219586639.324748</v>
      </c>
      <c r="U133" s="39" t="n">
        <f aca="false">SUM(U77:U87)</f>
        <v>206375706.590773</v>
      </c>
      <c r="V133" s="39" t="n">
        <f aca="false">SUM(V77:V87)</f>
        <v>194013202.076293</v>
      </c>
      <c r="W133" s="39" t="n">
        <f aca="false">SUM(W77:W87)</f>
        <v>171669329.007857</v>
      </c>
      <c r="X133" s="39" t="n">
        <f aca="false">SUM(X77:X87)</f>
        <v>145875993.360773</v>
      </c>
      <c r="Y133" s="39" t="n">
        <f aca="false">SUM(Y77:Y87)</f>
        <v>122192401.555031</v>
      </c>
      <c r="Z133" s="39" t="n">
        <f aca="false">SUM(Z77:Z87)</f>
        <v>100475707.746499</v>
      </c>
      <c r="AA133" s="39" t="n">
        <f aca="false">SUM(AA77:AA87)</f>
        <v>80581644.3560378</v>
      </c>
      <c r="AB133" s="39" t="n">
        <f aca="false">SUM(AB77:AB87)</f>
        <v>62382225.0854562</v>
      </c>
      <c r="AC133" s="39" t="n">
        <f aca="false">SUM(AC77:AC87)</f>
        <v>45757802.2280173</v>
      </c>
      <c r="AD133" s="39" t="n">
        <f aca="false">SUM(AD77:AD87)</f>
        <v>30552561.9020486</v>
      </c>
      <c r="AE133" s="39" t="n">
        <f aca="false">SUM(AE77:AE87)</f>
        <v>16663396.569404</v>
      </c>
      <c r="AF133" s="39" t="n">
        <f aca="false">SUM(AF77:AF87)</f>
        <v>3998696.39761629</v>
      </c>
      <c r="AG133" s="39" t="n">
        <f aca="false">SUM(AG77:AG87)</f>
        <v>0</v>
      </c>
      <c r="AH133" s="39" t="n">
        <f aca="false">SUM(AH77:AH87)</f>
        <v>0</v>
      </c>
      <c r="AI133" s="39" t="n">
        <f aca="false">SUM(AI77:AI87)</f>
        <v>0</v>
      </c>
      <c r="AJ133" s="39" t="n">
        <f aca="false">SUM(AJ77:AJ87)</f>
        <v>0</v>
      </c>
      <c r="AK133" s="39" t="n">
        <f aca="false">SUM(AK77:AK87)</f>
        <v>0</v>
      </c>
      <c r="AL133" s="39" t="n">
        <f aca="false">SUM(AL77:AL87)</f>
        <v>0</v>
      </c>
      <c r="AM133" s="39" t="n">
        <f aca="false">SUM(AM77:AM87)</f>
        <v>0</v>
      </c>
      <c r="AN133" s="39" t="n">
        <f aca="false">SUM(AN77:AN87)</f>
        <v>0</v>
      </c>
    </row>
    <row r="134" customFormat="false" ht="15" hidden="false" customHeight="false" outlineLevel="0" collapsed="false">
      <c r="A134" s="5" t="s">
        <v>133</v>
      </c>
      <c r="E134" s="39" t="n">
        <f aca="false">SUM(E99:E109)</f>
        <v>10908285.3544481</v>
      </c>
      <c r="F134" s="39" t="n">
        <f aca="false">SUM(F99:F109)</f>
        <v>11922844.5358011</v>
      </c>
      <c r="G134" s="39" t="n">
        <f aca="false">SUM(G99:G109)</f>
        <v>12816094.8162953</v>
      </c>
      <c r="H134" s="39" t="n">
        <f aca="false">SUM(H99:H109)</f>
        <v>13598409.3663281</v>
      </c>
      <c r="I134" s="39" t="n">
        <f aca="false">SUM(I99:I109)</f>
        <v>13243691.422417</v>
      </c>
      <c r="J134" s="39" t="n">
        <f aca="false">SUM(J99:J109)</f>
        <v>12397520.3870032</v>
      </c>
      <c r="K134" s="39" t="n">
        <f aca="false">SUM(K99:K109)</f>
        <v>11610258.9219433</v>
      </c>
      <c r="L134" s="39" t="n">
        <f aca="false">SUM(L99:L109)</f>
        <v>10878213.7381649</v>
      </c>
      <c r="M134" s="39" t="n">
        <f aca="false">SUM(M99:M109)</f>
        <v>10196407.223837</v>
      </c>
      <c r="N134" s="39" t="n">
        <f aca="false">SUM(N99:N109)</f>
        <v>9560810.96168833</v>
      </c>
      <c r="O134" s="39" t="n">
        <f aca="false">SUM(O99:O109)</f>
        <v>8968781.80542218</v>
      </c>
      <c r="P134" s="39" t="n">
        <f aca="false">SUM(P99:P109)</f>
        <v>8417506.0772485</v>
      </c>
      <c r="Q134" s="39" t="n">
        <f aca="false">SUM(Q99:Q109)</f>
        <v>7902898.53519066</v>
      </c>
      <c r="R134" s="39" t="n">
        <f aca="false">SUM(R99:R109)</f>
        <v>7421875.21453252</v>
      </c>
      <c r="S134" s="39" t="n">
        <f aca="false">SUM(S99:S109)</f>
        <v>6972600.86060675</v>
      </c>
      <c r="T134" s="39" t="n">
        <f aca="false">SUM(T99:T109)</f>
        <v>6553110.12458748</v>
      </c>
      <c r="U134" s="39" t="n">
        <f aca="false">SUM(U99:U109)</f>
        <v>6160559.78599682</v>
      </c>
      <c r="V134" s="39" t="n">
        <f aca="false">SUM(V99:V109)</f>
        <v>16841608.9347927</v>
      </c>
      <c r="W134" s="39" t="n">
        <f aca="false">SUM(W99:W109)</f>
        <v>21115593.1036239</v>
      </c>
      <c r="X134" s="39" t="n">
        <f aca="false">SUM(X99:X109)</f>
        <v>19782527.4894692</v>
      </c>
      <c r="Y134" s="39" t="n">
        <f aca="false">SUM(Y99:Y109)</f>
        <v>18513811.4633304</v>
      </c>
      <c r="Z134" s="39" t="n">
        <f aca="false">SUM(Z99:Z109)</f>
        <v>17324061.1201067</v>
      </c>
      <c r="AA134" s="39" t="n">
        <f aca="false">SUM(AA99:AA109)</f>
        <v>16208444.3727905</v>
      </c>
      <c r="AB134" s="39" t="n">
        <f aca="false">SUM(AB99:AB109)</f>
        <v>15162421.8849033</v>
      </c>
      <c r="AC134" s="39" t="n">
        <f aca="false">SUM(AC99:AC109)</f>
        <v>14217053.8098917</v>
      </c>
      <c r="AD134" s="39" t="n">
        <f aca="false">SUM(AD99:AD109)</f>
        <v>13329081.7560021</v>
      </c>
      <c r="AE134" s="39" t="n">
        <f aca="false">SUM(AE99:AE109)</f>
        <v>12495070.2586898</v>
      </c>
      <c r="AF134" s="39" t="n">
        <f aca="false">SUM(AF99:AF109)</f>
        <v>3983601.31871529</v>
      </c>
      <c r="AG134" s="39" t="n">
        <f aca="false">SUM(AG99:AG109)</f>
        <v>0</v>
      </c>
      <c r="AH134" s="39" t="n">
        <f aca="false">SUM(AH99:AH109)</f>
        <v>0</v>
      </c>
      <c r="AI134" s="39" t="n">
        <f aca="false">SUM(AI99:AI109)</f>
        <v>0</v>
      </c>
      <c r="AJ134" s="39" t="n">
        <f aca="false">SUM(AJ99:AJ109)</f>
        <v>0</v>
      </c>
      <c r="AK134" s="39" t="n">
        <f aca="false">SUM(AK99:AK109)</f>
        <v>0</v>
      </c>
      <c r="AL134" s="39" t="n">
        <f aca="false">SUM(AL99:AL109)</f>
        <v>0</v>
      </c>
      <c r="AM134" s="39" t="n">
        <f aca="false">SUM(AM99:AM109)</f>
        <v>0</v>
      </c>
      <c r="AN134" s="39" t="n">
        <f aca="false">SUM(AN99:AN109)</f>
        <v>0</v>
      </c>
    </row>
    <row r="135" customFormat="false" ht="15" hidden="false" customHeight="false" outlineLevel="0" collapsed="false">
      <c r="A135" s="5" t="s">
        <v>129</v>
      </c>
      <c r="E135" s="39" t="n">
        <f aca="false">SUM(E110:E120)</f>
        <v>14326827.1909326</v>
      </c>
      <c r="F135" s="39" t="n">
        <f aca="false">SUM(F110:F120)</f>
        <v>13510417.2048407</v>
      </c>
      <c r="G135" s="39" t="n">
        <f aca="false">SUM(G110:G120)</f>
        <v>12698805.7651594</v>
      </c>
      <c r="H135" s="39" t="n">
        <f aca="false">SUM(H110:H120)</f>
        <v>11895407.7764809</v>
      </c>
      <c r="I135" s="39" t="n">
        <f aca="false">SUM(I110:I120)</f>
        <v>11131925.6555935</v>
      </c>
      <c r="J135" s="39" t="n">
        <f aca="false">SUM(J110:J120)</f>
        <v>10420680.3722582</v>
      </c>
      <c r="K135" s="39" t="n">
        <f aca="false">SUM(K110:K120)</f>
        <v>9758951.26509049</v>
      </c>
      <c r="L135" s="39" t="n">
        <f aca="false">SUM(L110:L120)</f>
        <v>9143633.95646136</v>
      </c>
      <c r="M135" s="39" t="n">
        <f aca="false">SUM(M110:M120)</f>
        <v>8570544.53698496</v>
      </c>
      <c r="N135" s="39" t="n">
        <f aca="false">SUM(N110:N120)</f>
        <v>8036296.93852189</v>
      </c>
      <c r="O135" s="39" t="n">
        <f aca="false">SUM(O110:O120)</f>
        <v>7538669.47626139</v>
      </c>
      <c r="P135" s="39" t="n">
        <f aca="false">SUM(P110:P120)</f>
        <v>7075297.12590784</v>
      </c>
      <c r="Q135" s="39" t="n">
        <f aca="false">SUM(Q110:Q120)</f>
        <v>6642746.05556961</v>
      </c>
      <c r="R135" s="39" t="n">
        <f aca="false">SUM(R110:R120)</f>
        <v>6238424.05248296</v>
      </c>
      <c r="S135" s="39" t="n">
        <f aca="false">SUM(S110:S120)</f>
        <v>5860788.50153671</v>
      </c>
      <c r="T135" s="39" t="n">
        <f aca="false">SUM(T110:T120)</f>
        <v>5508187.43755598</v>
      </c>
      <c r="U135" s="39" t="n">
        <f aca="false">SUM(U110:U120)</f>
        <v>5178231.00427087</v>
      </c>
      <c r="V135" s="39" t="n">
        <f aca="false">SUM(V110:V120)</f>
        <v>4581870.88526737</v>
      </c>
      <c r="W135" s="39" t="n">
        <f aca="false">SUM(W110:W120)</f>
        <v>3893444.27861421</v>
      </c>
      <c r="X135" s="39" t="n">
        <f aca="false">SUM(X110:X120)</f>
        <v>3261326.93779138</v>
      </c>
      <c r="Y135" s="39" t="n">
        <f aca="false">SUM(Y110:Y120)</f>
        <v>2681706.29349433</v>
      </c>
      <c r="Z135" s="39" t="n">
        <f aca="false">SUM(Z110:Z120)</f>
        <v>2150731.83017452</v>
      </c>
      <c r="AA135" s="39" t="n">
        <f aca="false">SUM(AA110:AA120)</f>
        <v>1664987.58123628</v>
      </c>
      <c r="AB135" s="39" t="n">
        <f aca="false">SUM(AB110:AB120)</f>
        <v>1221280.13789102</v>
      </c>
      <c r="AC135" s="39" t="n">
        <f aca="false">SUM(AC110:AC120)</f>
        <v>815450.812666243</v>
      </c>
      <c r="AD135" s="39" t="n">
        <f aca="false">SUM(AD110:AD120)</f>
        <v>444747.655462218</v>
      </c>
      <c r="AE135" s="39" t="n">
        <f aca="false">SUM(AE110:AE120)</f>
        <v>106725.591048492</v>
      </c>
      <c r="AF135" s="39" t="n">
        <f aca="false">SUM(AF110:AF120)</f>
        <v>0</v>
      </c>
      <c r="AG135" s="39" t="n">
        <f aca="false">SUM(AG110:AG120)</f>
        <v>0</v>
      </c>
      <c r="AH135" s="39" t="n">
        <f aca="false">SUM(AH110:AH120)</f>
        <v>0</v>
      </c>
      <c r="AI135" s="39" t="n">
        <f aca="false">SUM(AI110:AI120)</f>
        <v>0</v>
      </c>
      <c r="AJ135" s="39" t="n">
        <f aca="false">SUM(AJ110:AJ120)</f>
        <v>0</v>
      </c>
      <c r="AK135" s="39" t="n">
        <f aca="false">SUM(AK110:AK120)</f>
        <v>0</v>
      </c>
      <c r="AL135" s="39" t="n">
        <f aca="false">SUM(AL110:AL120)</f>
        <v>0</v>
      </c>
      <c r="AM135" s="39" t="n">
        <f aca="false">SUM(AM110:AM120)</f>
        <v>0</v>
      </c>
      <c r="AN135" s="39" t="n">
        <f aca="false">SUM(AN110:AN120)</f>
        <v>0</v>
      </c>
    </row>
    <row r="136" customFormat="false" ht="15" hidden="false" customHeight="false" outlineLevel="0" collapsed="false">
      <c r="A136" s="5" t="s">
        <v>128</v>
      </c>
      <c r="E136" s="39" t="n">
        <f aca="false">SUM(E88:E98)</f>
        <v>5355358.52422202</v>
      </c>
      <c r="F136" s="39" t="n">
        <f aca="false">SUM(F88:F98)</f>
        <v>5155237.59013769</v>
      </c>
      <c r="G136" s="39" t="n">
        <f aca="false">SUM(G88:G98)</f>
        <v>4893811.2207886</v>
      </c>
      <c r="H136" s="39" t="n">
        <f aca="false">SUM(H88:H98)</f>
        <v>4607160.62288176</v>
      </c>
      <c r="I136" s="39" t="n">
        <f aca="false">SUM(I88:I98)</f>
        <v>4229829.62361052</v>
      </c>
      <c r="J136" s="39" t="n">
        <f aca="false">SUM(J88:J98)</f>
        <v>3830084.10244965</v>
      </c>
      <c r="K136" s="39" t="n">
        <f aca="false">SUM(K88:K98)</f>
        <v>3423848.07606852</v>
      </c>
      <c r="L136" s="39" t="n">
        <f aca="false">SUM(L88:L98)</f>
        <v>3032295.93891243</v>
      </c>
      <c r="M136" s="39" t="n">
        <f aca="false">SUM(M88:M98)</f>
        <v>2705036.11630364</v>
      </c>
      <c r="N136" s="39" t="n">
        <f aca="false">SUM(N88:N98)</f>
        <v>2419590.31080058</v>
      </c>
      <c r="O136" s="39" t="n">
        <f aca="false">SUM(O88:O98)</f>
        <v>2137197.30866163</v>
      </c>
      <c r="P136" s="39" t="n">
        <f aca="false">SUM(P88:P98)</f>
        <v>1868406.32410556</v>
      </c>
      <c r="Q136" s="39" t="n">
        <f aca="false">SUM(Q88:Q98)</f>
        <v>1660781.53210503</v>
      </c>
      <c r="R136" s="39" t="n">
        <f aca="false">SUM(R88:R98)</f>
        <v>1488466.09784437</v>
      </c>
      <c r="S136" s="39" t="n">
        <f aca="false">SUM(S88:S98)</f>
        <v>1315512.5305104</v>
      </c>
      <c r="T136" s="39" t="n">
        <f aca="false">SUM(T88:T98)</f>
        <v>1149635.17183198</v>
      </c>
      <c r="U136" s="39" t="n">
        <f aca="false">SUM(U88:U98)</f>
        <v>1023713.72421201</v>
      </c>
      <c r="V136" s="39" t="n">
        <f aca="false">SUM(V88:V98)</f>
        <v>920393.248375712</v>
      </c>
      <c r="W136" s="39" t="n">
        <f aca="false">SUM(W88:W98)</f>
        <v>784298.26484634</v>
      </c>
      <c r="X136" s="39" t="n">
        <f aca="false">SUM(X88:X98)</f>
        <v>639737.378481242</v>
      </c>
      <c r="Y136" s="39" t="n">
        <f aca="false">SUM(Y88:Y98)</f>
        <v>521176.051706912</v>
      </c>
      <c r="Z136" s="39" t="n">
        <f aca="false">SUM(Z88:Z98)</f>
        <v>419270.440180209</v>
      </c>
      <c r="AA136" s="39" t="n">
        <f aca="false">SUM(AA88:AA98)</f>
        <v>325987.316554838</v>
      </c>
      <c r="AB136" s="39" t="n">
        <f aca="false">SUM(AB88:AB98)</f>
        <v>240720.83464451</v>
      </c>
      <c r="AC136" s="39" t="n">
        <f aca="false">SUM(AC88:AC98)</f>
        <v>172735.703410765</v>
      </c>
      <c r="AD136" s="39" t="n">
        <f aca="false">SUM(AD88:AD98)</f>
        <v>115335.921180233</v>
      </c>
      <c r="AE136" s="39" t="n">
        <f aca="false">SUM(AE88:AE98)</f>
        <v>62904.3220495003</v>
      </c>
      <c r="AF136" s="39" t="n">
        <f aca="false">SUM(AF88:AF98)</f>
        <v>15095.0789010015</v>
      </c>
      <c r="AG136" s="39" t="n">
        <f aca="false">SUM(AG88:AG98)</f>
        <v>0</v>
      </c>
      <c r="AH136" s="39" t="n">
        <f aca="false">SUM(AH88:AH98)</f>
        <v>0</v>
      </c>
      <c r="AI136" s="39" t="n">
        <f aca="false">SUM(AI88:AI98)</f>
        <v>0</v>
      </c>
      <c r="AJ136" s="39" t="n">
        <f aca="false">SUM(AJ88:AJ98)</f>
        <v>0</v>
      </c>
      <c r="AK136" s="39" t="n">
        <f aca="false">SUM(AK88:AK98)</f>
        <v>0</v>
      </c>
      <c r="AL136" s="39" t="n">
        <f aca="false">SUM(AL88:AL98)</f>
        <v>0</v>
      </c>
      <c r="AM136" s="39" t="n">
        <f aca="false">SUM(AM88:AM98)</f>
        <v>0</v>
      </c>
      <c r="AN136" s="39" t="n">
        <f aca="false">SUM(AN88:AN98)</f>
        <v>0</v>
      </c>
    </row>
    <row r="137" customFormat="false" ht="15" hidden="false" customHeight="false" outlineLevel="0" collapsed="false">
      <c r="A137" s="5" t="s">
        <v>134</v>
      </c>
      <c r="E137" s="39" t="n">
        <v>0</v>
      </c>
      <c r="F137" s="39" t="n">
        <v>0</v>
      </c>
      <c r="G137" s="39" t="n">
        <v>0</v>
      </c>
      <c r="H137" s="39" t="n">
        <v>0</v>
      </c>
      <c r="I137" s="39" t="n">
        <v>0</v>
      </c>
      <c r="J137" s="39" t="n">
        <v>0</v>
      </c>
      <c r="K137" s="39" t="n">
        <v>0</v>
      </c>
      <c r="L137" s="39" t="n">
        <v>0</v>
      </c>
      <c r="M137" s="39" t="n">
        <f aca="false">'Inputs &amp; Assumptions'!$C$64*E136</f>
        <v>3213215.11453321</v>
      </c>
      <c r="N137" s="39" t="n">
        <f aca="false">'Inputs &amp; Assumptions'!$C$64*F136</f>
        <v>3093142.55408262</v>
      </c>
      <c r="O137" s="39" t="n">
        <f aca="false">'Inputs &amp; Assumptions'!$C$64*G136</f>
        <v>2936286.73247316</v>
      </c>
      <c r="P137" s="39" t="n">
        <f aca="false">'Inputs &amp; Assumptions'!$C$64*H136</f>
        <v>2764296.37372906</v>
      </c>
      <c r="Q137" s="39" t="n">
        <f aca="false">'Inputs &amp; Assumptions'!$C$64*I136</f>
        <v>2537897.77416631</v>
      </c>
      <c r="R137" s="39" t="n">
        <f aca="false">'Inputs &amp; Assumptions'!$C$64*J136</f>
        <v>2298050.46146979</v>
      </c>
      <c r="S137" s="39" t="n">
        <f aca="false">'Inputs &amp; Assumptions'!$C$64*K136</f>
        <v>2054308.84564111</v>
      </c>
      <c r="T137" s="39" t="n">
        <f aca="false">'Inputs &amp; Assumptions'!$C$64*L136</f>
        <v>1819377.56334746</v>
      </c>
      <c r="U137" s="39" t="n">
        <f aca="false">'Inputs &amp; Assumptions'!$C$64*M136</f>
        <v>1623021.66978218</v>
      </c>
      <c r="V137" s="39" t="n">
        <f aca="false">'Inputs &amp; Assumptions'!$C$64*N136</f>
        <v>1451754.18648035</v>
      </c>
      <c r="W137" s="39" t="n">
        <f aca="false">'Inputs &amp; Assumptions'!$C$64*O136</f>
        <v>1282318.38519698</v>
      </c>
      <c r="X137" s="39" t="n">
        <f aca="false">'Inputs &amp; Assumptions'!$C$64*P136</f>
        <v>1121043.79446333</v>
      </c>
      <c r="Y137" s="39" t="n">
        <f aca="false">'Inputs &amp; Assumptions'!$C$64*Q136</f>
        <v>996468.919263016</v>
      </c>
      <c r="Z137" s="39" t="n">
        <f aca="false">'Inputs &amp; Assumptions'!$C$64*R136</f>
        <v>893079.658706623</v>
      </c>
      <c r="AA137" s="39" t="n">
        <f aca="false">'Inputs &amp; Assumptions'!$C$64*S136</f>
        <v>789307.518306241</v>
      </c>
      <c r="AB137" s="39" t="n">
        <f aca="false">'Inputs &amp; Assumptions'!$C$64*T136</f>
        <v>689781.103099186</v>
      </c>
      <c r="AC137" s="39" t="n">
        <f aca="false">'Inputs &amp; Assumptions'!$C$64*U136</f>
        <v>614228.234527208</v>
      </c>
      <c r="AD137" s="39" t="n">
        <f aca="false">'Inputs &amp; Assumptions'!$C$64*V136</f>
        <v>552235.949025427</v>
      </c>
      <c r="AE137" s="39" t="n">
        <f aca="false">'Inputs &amp; Assumptions'!$C$64*W136</f>
        <v>470578.958907804</v>
      </c>
      <c r="AF137" s="39" t="n">
        <f aca="false">'Inputs &amp; Assumptions'!$C$64*X136</f>
        <v>383842.427088745</v>
      </c>
      <c r="AG137" s="39" t="n">
        <f aca="false">'Inputs &amp; Assumptions'!$C$64*Y136</f>
        <v>312705.631024147</v>
      </c>
      <c r="AH137" s="39" t="n">
        <f aca="false">'Inputs &amp; Assumptions'!$C$64*Z136</f>
        <v>251562.264108125</v>
      </c>
      <c r="AI137" s="39" t="n">
        <f aca="false">'Inputs &amp; Assumptions'!$C$64*AA136</f>
        <v>195592.389932903</v>
      </c>
      <c r="AJ137" s="39" t="n">
        <f aca="false">'Inputs &amp; Assumptions'!$C$64*AB136</f>
        <v>144432.500786706</v>
      </c>
      <c r="AK137" s="39" t="n">
        <f aca="false">'Inputs &amp; Assumptions'!$C$64*AC136</f>
        <v>103641.422046459</v>
      </c>
      <c r="AL137" s="39" t="n">
        <f aca="false">'Inputs &amp; Assumptions'!$C$64*AD136</f>
        <v>69201.5527081401</v>
      </c>
      <c r="AM137" s="39" t="n">
        <f aca="false">'Inputs &amp; Assumptions'!$C$64*AE136</f>
        <v>37742.5932297002</v>
      </c>
      <c r="AN137" s="39" t="n">
        <f aca="false">'Inputs &amp; Assumptions'!$C$64*AF136</f>
        <v>9057.0473406009</v>
      </c>
    </row>
    <row r="138" customFormat="false" ht="15" hidden="false" customHeight="false" outlineLevel="0" collapsed="false">
      <c r="A138" s="14" t="s">
        <v>135</v>
      </c>
      <c r="E138" s="40" t="n">
        <f aca="false">E134+E135+E137</f>
        <v>25235112.5453807</v>
      </c>
      <c r="F138" s="40" t="n">
        <f aca="false">F134+F135+F137</f>
        <v>25433261.7406418</v>
      </c>
      <c r="G138" s="40" t="n">
        <f aca="false">G134+G135+G137</f>
        <v>25514900.5814547</v>
      </c>
      <c r="H138" s="40" t="n">
        <f aca="false">H134+H135+H137</f>
        <v>25493817.142809</v>
      </c>
      <c r="I138" s="40" t="n">
        <f aca="false">I134+I135+I137</f>
        <v>24375617.0780105</v>
      </c>
      <c r="J138" s="40" t="n">
        <f aca="false">J134+J135+J137</f>
        <v>22818200.7592614</v>
      </c>
      <c r="K138" s="40" t="n">
        <f aca="false">K134+K135+K137</f>
        <v>21369210.1870338</v>
      </c>
      <c r="L138" s="40" t="n">
        <f aca="false">L134+L135+L137</f>
        <v>20021847.6946263</v>
      </c>
      <c r="M138" s="40" t="n">
        <f aca="false">M134+M135+M137</f>
        <v>21980166.8753552</v>
      </c>
      <c r="N138" s="40" t="n">
        <f aca="false">N134+N135+N137</f>
        <v>20690250.4542928</v>
      </c>
      <c r="O138" s="40" t="n">
        <f aca="false">O134+O135+O137</f>
        <v>19443738.0141567</v>
      </c>
      <c r="P138" s="40" t="n">
        <f aca="false">P134+P135+P137</f>
        <v>18257099.5768854</v>
      </c>
      <c r="Q138" s="40" t="n">
        <f aca="false">Q134+Q135+Q137</f>
        <v>17083542.3649266</v>
      </c>
      <c r="R138" s="40" t="n">
        <f aca="false">R134+R135+R137</f>
        <v>15958349.7284853</v>
      </c>
      <c r="S138" s="40" t="n">
        <f aca="false">S134+S135+S137</f>
        <v>14887698.2077846</v>
      </c>
      <c r="T138" s="40" t="n">
        <f aca="false">T134+T135+T137</f>
        <v>13880675.1254909</v>
      </c>
      <c r="U138" s="40" t="n">
        <f aca="false">U134+U135+U137</f>
        <v>12961812.4600499</v>
      </c>
      <c r="V138" s="40" t="n">
        <f aca="false">V134+V135+V137</f>
        <v>22875234.0065405</v>
      </c>
      <c r="W138" s="40" t="n">
        <f aca="false">W134+W135+W137</f>
        <v>26291355.767435</v>
      </c>
      <c r="X138" s="40" t="n">
        <f aca="false">X134+X135+X137</f>
        <v>24164898.2217239</v>
      </c>
      <c r="Y138" s="40" t="n">
        <f aca="false">Y134+Y135+Y137</f>
        <v>22191986.6760878</v>
      </c>
      <c r="Z138" s="40" t="n">
        <f aca="false">Z134+Z135+Z137</f>
        <v>20367872.6089879</v>
      </c>
      <c r="AA138" s="40" t="n">
        <f aca="false">AA134+AA135+AA137</f>
        <v>18662739.472333</v>
      </c>
      <c r="AB138" s="40" t="n">
        <f aca="false">AB134+AB135+AB137</f>
        <v>17073483.1258935</v>
      </c>
      <c r="AC138" s="40" t="n">
        <f aca="false">AC134+AC135+AC137</f>
        <v>15646732.8570852</v>
      </c>
      <c r="AD138" s="40" t="n">
        <f aca="false">AD134+AD135+AD137</f>
        <v>14326065.3604897</v>
      </c>
      <c r="AE138" s="40" t="n">
        <f aca="false">AE134+AE135+AE137</f>
        <v>13072374.8086461</v>
      </c>
      <c r="AF138" s="40" t="n">
        <f aca="false">AF134+AF135+AF137</f>
        <v>4367443.74580403</v>
      </c>
      <c r="AG138" s="40" t="n">
        <f aca="false">AG134+AG135+AG137</f>
        <v>312705.631024147</v>
      </c>
      <c r="AH138" s="40" t="n">
        <f aca="false">AH134+AH135+AH137</f>
        <v>251562.264108125</v>
      </c>
      <c r="AI138" s="40" t="n">
        <f aca="false">AI134+AI135+AI137</f>
        <v>195592.389932903</v>
      </c>
      <c r="AJ138" s="40" t="n">
        <f aca="false">AJ134+AJ135+AJ137</f>
        <v>144432.500786706</v>
      </c>
      <c r="AK138" s="40" t="n">
        <f aca="false">AK134+AK135+AK137</f>
        <v>103641.422046459</v>
      </c>
      <c r="AL138" s="40" t="n">
        <f aca="false">AL134+AL135+AL137</f>
        <v>69201.5527081401</v>
      </c>
      <c r="AM138" s="40" t="n">
        <f aca="false">AM134+AM135+AM137</f>
        <v>37742.5932297002</v>
      </c>
      <c r="AN138" s="40" t="n">
        <f aca="false">AN134+AN135+AN137</f>
        <v>9057.0473406009</v>
      </c>
    </row>
    <row r="139" customFormat="false" ht="15" hidden="false" customHeight="false" outlineLevel="0" collapsed="false">
      <c r="A139" s="14" t="s">
        <v>136</v>
      </c>
      <c r="E139" s="39" t="n">
        <f aca="false">SUM(E121:E131)</f>
        <v>10290577.2613315</v>
      </c>
      <c r="F139" s="39" t="n">
        <f aca="false">SUM(F121:F131)</f>
        <v>9734129.95035017</v>
      </c>
      <c r="G139" s="39" t="n">
        <f aca="false">SUM(G121:G131)</f>
        <v>9178841.24442638</v>
      </c>
      <c r="H139" s="39" t="n">
        <f aca="false">SUM(H121:H131)</f>
        <v>8627306.30377498</v>
      </c>
      <c r="I139" s="39" t="n">
        <f aca="false">SUM(I121:I131)</f>
        <v>8083066.33148184</v>
      </c>
      <c r="J139" s="39" t="n">
        <f aca="false">SUM(J121:J131)</f>
        <v>7566619.94286761</v>
      </c>
      <c r="K139" s="39" t="n">
        <f aca="false">SUM(K121:K131)</f>
        <v>7086128.02869272</v>
      </c>
      <c r="L139" s="39" t="n">
        <f aca="false">SUM(L121:L131)</f>
        <v>6639336.45152665</v>
      </c>
      <c r="M139" s="39" t="n">
        <f aca="false">SUM(M121:M131)</f>
        <v>6223207.20894852</v>
      </c>
      <c r="N139" s="39" t="n">
        <f aca="false">SUM(N121:N131)</f>
        <v>5835281.62361711</v>
      </c>
      <c r="O139" s="39" t="n">
        <f aca="false">SUM(O121:O131)</f>
        <v>5473946.49524267</v>
      </c>
      <c r="P139" s="39" t="n">
        <f aca="false">SUM(P121:P131)</f>
        <v>5137484.54248067</v>
      </c>
      <c r="Q139" s="39" t="n">
        <f aca="false">SUM(Q121:Q131)</f>
        <v>4823402.40597803</v>
      </c>
      <c r="R139" s="39" t="n">
        <f aca="false">SUM(R121:R131)</f>
        <v>4529817.83926968</v>
      </c>
      <c r="S139" s="39" t="n">
        <f aca="false">SUM(S121:S131)</f>
        <v>4255610.72525698</v>
      </c>
      <c r="T139" s="39" t="n">
        <f aca="false">SUM(T121:T131)</f>
        <v>3999581.54603989</v>
      </c>
      <c r="U139" s="39" t="n">
        <f aca="false">SUM(U121:U131)</f>
        <v>3759994.98938672</v>
      </c>
      <c r="V139" s="39" t="n">
        <f aca="false">SUM(V121:V131)</f>
        <v>3535529.32963916</v>
      </c>
      <c r="W139" s="39" t="n">
        <f aca="false">SUM(W121:W131)</f>
        <v>3128904.91290453</v>
      </c>
      <c r="X139" s="39" t="n">
        <f aca="false">SUM(X121:X131)</f>
        <v>2659275.84703576</v>
      </c>
      <c r="Y139" s="39" t="n">
        <f aca="false">SUM(Y121:Y131)</f>
        <v>2227800.13896586</v>
      </c>
      <c r="Z139" s="39" t="n">
        <f aca="false">SUM(Z121:Z131)</f>
        <v>1832033.3670787</v>
      </c>
      <c r="AA139" s="39" t="n">
        <f aca="false">SUM(AA121:AA131)</f>
        <v>1469481.08039293</v>
      </c>
      <c r="AB139" s="39" t="n">
        <f aca="false">SUM(AB121:AB131)</f>
        <v>1137810.94283236</v>
      </c>
      <c r="AC139" s="39" t="n">
        <f aca="false">SUM(AC121:AC131)</f>
        <v>834662.568065546</v>
      </c>
      <c r="AD139" s="39" t="n">
        <f aca="false">SUM(AD121:AD131)</f>
        <v>557305.6077097</v>
      </c>
      <c r="AE139" s="39" t="n">
        <f aca="false">SUM(AE121:AE131)</f>
        <v>303955.013049062</v>
      </c>
      <c r="AF139" s="39" t="n">
        <f aca="false">SUM(AF121:AF131)</f>
        <v>72939.7401456769</v>
      </c>
      <c r="AG139" s="39" t="n">
        <f aca="false">SUM(AG121:AG131)</f>
        <v>0</v>
      </c>
      <c r="AH139" s="39" t="n">
        <f aca="false">SUM(AH121:AH131)</f>
        <v>0</v>
      </c>
      <c r="AI139" s="39" t="n">
        <f aca="false">SUM(AI121:AI131)</f>
        <v>0</v>
      </c>
      <c r="AJ139" s="39" t="n">
        <f aca="false">SUM(AJ121:AJ131)</f>
        <v>0</v>
      </c>
      <c r="AK139" s="39" t="n">
        <f aca="false">SUM(AK121:AK131)</f>
        <v>0</v>
      </c>
      <c r="AL139" s="39" t="n">
        <f aca="false">SUM(AL121:AL131)</f>
        <v>0</v>
      </c>
      <c r="AM139" s="39" t="n">
        <f aca="false">SUM(AM121:AM131)</f>
        <v>0</v>
      </c>
      <c r="AN139" s="39" t="n">
        <f aca="false">SUM(AN121:AN131)</f>
        <v>0</v>
      </c>
    </row>
    <row r="140" customFormat="false" ht="15" hidden="false" customHeight="false" outlineLevel="0" collapsed="false">
      <c r="A140" s="14" t="s">
        <v>137</v>
      </c>
      <c r="E140" s="40" t="n">
        <f aca="false">E138+E139</f>
        <v>35525689.8067123</v>
      </c>
      <c r="F140" s="40" t="n">
        <f aca="false">F138+F139</f>
        <v>35167391.690992</v>
      </c>
      <c r="G140" s="40" t="n">
        <f aca="false">G138+G139</f>
        <v>34693741.8258811</v>
      </c>
      <c r="H140" s="40" t="n">
        <f aca="false">H138+H139</f>
        <v>34121123.446584</v>
      </c>
      <c r="I140" s="40" t="n">
        <f aca="false">I138+I139</f>
        <v>32458683.4094924</v>
      </c>
      <c r="J140" s="40" t="n">
        <f aca="false">J138+J139</f>
        <v>30384820.702129</v>
      </c>
      <c r="K140" s="40" t="n">
        <f aca="false">K138+K139</f>
        <v>28455338.2157265</v>
      </c>
      <c r="L140" s="40" t="n">
        <f aca="false">L138+L139</f>
        <v>26661184.1461529</v>
      </c>
      <c r="M140" s="40" t="n">
        <f aca="false">M138+M139</f>
        <v>28203374.0843037</v>
      </c>
      <c r="N140" s="40" t="n">
        <f aca="false">N138+N139</f>
        <v>26525532.07791</v>
      </c>
      <c r="O140" s="40" t="n">
        <f aca="false">O138+O139</f>
        <v>24917684.5093994</v>
      </c>
      <c r="P140" s="40" t="n">
        <f aca="false">P138+P139</f>
        <v>23394584.1193661</v>
      </c>
      <c r="Q140" s="40" t="n">
        <f aca="false">Q138+Q139</f>
        <v>21906944.7709046</v>
      </c>
      <c r="R140" s="40" t="n">
        <f aca="false">R138+R139</f>
        <v>20488167.567755</v>
      </c>
      <c r="S140" s="40" t="n">
        <f aca="false">S138+S139</f>
        <v>19143308.9330416</v>
      </c>
      <c r="T140" s="40" t="n">
        <f aca="false">T138+T139</f>
        <v>17880256.6715308</v>
      </c>
      <c r="U140" s="40" t="n">
        <f aca="false">U138+U139</f>
        <v>16721807.4494366</v>
      </c>
      <c r="V140" s="40" t="n">
        <f aca="false">V138+V139</f>
        <v>26410763.3361796</v>
      </c>
      <c r="W140" s="40" t="n">
        <f aca="false">W138+W139</f>
        <v>29420260.6803396</v>
      </c>
      <c r="X140" s="40" t="n">
        <f aca="false">X138+X139</f>
        <v>26824174.0687597</v>
      </c>
      <c r="Y140" s="40" t="n">
        <f aca="false">Y138+Y139</f>
        <v>24419786.8150536</v>
      </c>
      <c r="Z140" s="40" t="n">
        <f aca="false">Z138+Z139</f>
        <v>22199905.9760666</v>
      </c>
      <c r="AA140" s="40" t="n">
        <f aca="false">AA138+AA139</f>
        <v>20132220.5527259</v>
      </c>
      <c r="AB140" s="40" t="n">
        <f aca="false">AB138+AB139</f>
        <v>18211294.0687259</v>
      </c>
      <c r="AC140" s="40" t="n">
        <f aca="false">AC138+AC139</f>
        <v>16481395.4251507</v>
      </c>
      <c r="AD140" s="40" t="n">
        <f aca="false">AD138+AD139</f>
        <v>14883370.9681994</v>
      </c>
      <c r="AE140" s="40" t="n">
        <f aca="false">AE138+AE139</f>
        <v>13376329.8216951</v>
      </c>
      <c r="AF140" s="40" t="n">
        <f aca="false">AF138+AF139</f>
        <v>4440383.48594971</v>
      </c>
      <c r="AG140" s="40" t="n">
        <f aca="false">AG138+AG139</f>
        <v>312705.631024147</v>
      </c>
      <c r="AH140" s="40" t="n">
        <f aca="false">AH138+AH139</f>
        <v>251562.264108125</v>
      </c>
      <c r="AI140" s="40" t="n">
        <f aca="false">AI138+AI139</f>
        <v>195592.389932903</v>
      </c>
      <c r="AJ140" s="40" t="n">
        <f aca="false">AJ138+AJ139</f>
        <v>144432.500786706</v>
      </c>
      <c r="AK140" s="40" t="n">
        <f aca="false">AK138+AK139</f>
        <v>103641.422046459</v>
      </c>
      <c r="AL140" s="40" t="n">
        <f aca="false">AL138+AL139</f>
        <v>69201.5527081401</v>
      </c>
      <c r="AM140" s="40" t="n">
        <f aca="false">AM138+AM139</f>
        <v>37742.5932297002</v>
      </c>
      <c r="AN140" s="40" t="n">
        <f aca="false">AN138+AN139</f>
        <v>9057.0473406009</v>
      </c>
    </row>
    <row r="141" customFormat="false" ht="15" hidden="false" customHeight="false" outlineLevel="0" collapsed="false">
      <c r="A141" s="5" t="s">
        <v>138</v>
      </c>
      <c r="E141" s="43" t="n">
        <f aca="false">SUMPRODUCT(('Inputs &amp; Assumptions'!$E$140:$E$150&gt;=1)*'Inputs &amp; Assumptions'!$D$140:$D$150)</f>
        <v>30</v>
      </c>
      <c r="F141" s="43" t="n">
        <f aca="false">SUMPRODUCT(('Inputs &amp; Assumptions'!$E$140:$E$150&gt;=2)*'Inputs &amp; Assumptions'!$D$140:$D$150)</f>
        <v>30</v>
      </c>
      <c r="G141" s="43" t="n">
        <f aca="false">SUMPRODUCT(('Inputs &amp; Assumptions'!$E$140:$E$150&gt;=3)*'Inputs &amp; Assumptions'!$D$140:$D$150)</f>
        <v>30</v>
      </c>
      <c r="H141" s="43" t="n">
        <f aca="false">SUMPRODUCT(('Inputs &amp; Assumptions'!$E$140:$E$150&gt;=4)*'Inputs &amp; Assumptions'!$D$140:$D$150)</f>
        <v>30</v>
      </c>
      <c r="I141" s="43" t="n">
        <f aca="false">SUMPRODUCT(('Inputs &amp; Assumptions'!$E$140:$E$150&gt;=5)*'Inputs &amp; Assumptions'!$D$140:$D$150)</f>
        <v>30</v>
      </c>
      <c r="J141" s="43" t="n">
        <f aca="false">SUMPRODUCT(('Inputs &amp; Assumptions'!$E$140:$E$150&gt;=6)*'Inputs &amp; Assumptions'!$D$140:$D$150)</f>
        <v>30</v>
      </c>
      <c r="K141" s="43" t="n">
        <f aca="false">SUMPRODUCT(('Inputs &amp; Assumptions'!$E$140:$E$150&gt;=7)*'Inputs &amp; Assumptions'!$D$140:$D$150)</f>
        <v>30</v>
      </c>
      <c r="L141" s="43" t="n">
        <f aca="false">SUMPRODUCT(('Inputs &amp; Assumptions'!$E$140:$E$150&gt;=8)*'Inputs &amp; Assumptions'!$D$140:$D$150)</f>
        <v>30</v>
      </c>
      <c r="M141" s="43" t="n">
        <f aca="false">SUMPRODUCT(('Inputs &amp; Assumptions'!$E$140:$E$150&gt;=9)*'Inputs &amp; Assumptions'!$D$140:$D$150)</f>
        <v>30</v>
      </c>
      <c r="N141" s="43" t="n">
        <f aca="false">SUMPRODUCT(('Inputs &amp; Assumptions'!$E$140:$E$150&gt;=10)*'Inputs &amp; Assumptions'!$D$140:$D$150)</f>
        <v>30</v>
      </c>
      <c r="O141" s="43" t="n">
        <f aca="false">SUMPRODUCT(('Inputs &amp; Assumptions'!$E$140:$E$150&gt;=11)*'Inputs &amp; Assumptions'!$D$140:$D$150)</f>
        <v>30</v>
      </c>
      <c r="P141" s="43" t="n">
        <f aca="false">SUMPRODUCT(('Inputs &amp; Assumptions'!$E$140:$E$150&gt;=12)*'Inputs &amp; Assumptions'!$D$140:$D$150)</f>
        <v>30</v>
      </c>
      <c r="Q141" s="43" t="n">
        <f aca="false">SUMPRODUCT(('Inputs &amp; Assumptions'!$E$140:$E$150&gt;=13)*'Inputs &amp; Assumptions'!$D$140:$D$150)</f>
        <v>30</v>
      </c>
      <c r="R141" s="43" t="n">
        <f aca="false">SUMPRODUCT(('Inputs &amp; Assumptions'!$E$140:$E$150&gt;=14)*'Inputs &amp; Assumptions'!$D$140:$D$150)</f>
        <v>30</v>
      </c>
      <c r="S141" s="43" t="n">
        <f aca="false">SUMPRODUCT(('Inputs &amp; Assumptions'!$E$140:$E$150&gt;=15)*'Inputs &amp; Assumptions'!$D$140:$D$150)</f>
        <v>30</v>
      </c>
      <c r="T141" s="43" t="n">
        <f aca="false">SUMPRODUCT(('Inputs &amp; Assumptions'!$E$140:$E$150&gt;=16)*'Inputs &amp; Assumptions'!$D$140:$D$150)</f>
        <v>30</v>
      </c>
      <c r="U141" s="43" t="n">
        <f aca="false">SUMPRODUCT(('Inputs &amp; Assumptions'!$E$140:$E$150&gt;=17)*'Inputs &amp; Assumptions'!$D$140:$D$150)</f>
        <v>30</v>
      </c>
      <c r="V141" s="43" t="n">
        <f aca="false">SUMPRODUCT(('Inputs &amp; Assumptions'!$E$140:$E$150&gt;=18)*'Inputs &amp; Assumptions'!$D$140:$D$150)</f>
        <v>30</v>
      </c>
      <c r="W141" s="43" t="n">
        <f aca="false">SUMPRODUCT(('Inputs &amp; Assumptions'!$E$140:$E$150&gt;=19)*'Inputs &amp; Assumptions'!$D$140:$D$150)</f>
        <v>28</v>
      </c>
      <c r="X141" s="43" t="n">
        <f aca="false">SUMPRODUCT(('Inputs &amp; Assumptions'!$E$140:$E$150&gt;=20)*'Inputs &amp; Assumptions'!$D$140:$D$150)</f>
        <v>25</v>
      </c>
      <c r="Y141" s="43" t="n">
        <f aca="false">SUMPRODUCT(('Inputs &amp; Assumptions'!$E$140:$E$150&gt;=21)*'Inputs &amp; Assumptions'!$D$140:$D$150)</f>
        <v>22</v>
      </c>
      <c r="Z141" s="43" t="n">
        <f aca="false">SUMPRODUCT(('Inputs &amp; Assumptions'!$E$140:$E$150&gt;=22)*'Inputs &amp; Assumptions'!$D$140:$D$150)</f>
        <v>19</v>
      </c>
      <c r="AA141" s="43" t="n">
        <f aca="false">SUMPRODUCT(('Inputs &amp; Assumptions'!$E$140:$E$150&gt;=23)*'Inputs &amp; Assumptions'!$D$140:$D$150)</f>
        <v>16</v>
      </c>
      <c r="AB141" s="43" t="n">
        <f aca="false">SUMPRODUCT(('Inputs &amp; Assumptions'!$E$140:$E$150&gt;=24)*'Inputs &amp; Assumptions'!$D$140:$D$150)</f>
        <v>13</v>
      </c>
      <c r="AC141" s="43" t="n">
        <f aca="false">SUMPRODUCT(('Inputs &amp; Assumptions'!$E$140:$E$150&gt;=25)*'Inputs &amp; Assumptions'!$D$140:$D$150)</f>
        <v>10</v>
      </c>
      <c r="AD141" s="43" t="n">
        <f aca="false">SUMPRODUCT(('Inputs &amp; Assumptions'!$E$140:$E$150&gt;=26)*'Inputs &amp; Assumptions'!$D$140:$D$150)</f>
        <v>7</v>
      </c>
      <c r="AE141" s="43" t="n">
        <f aca="false">SUMPRODUCT(('Inputs &amp; Assumptions'!$E$140:$E$150&gt;=27)*'Inputs &amp; Assumptions'!$D$140:$D$150)</f>
        <v>4</v>
      </c>
      <c r="AF141" s="43" t="n">
        <f aca="false">SUMPRODUCT(('Inputs &amp; Assumptions'!$E$140:$E$150&gt;=28)*'Inputs &amp; Assumptions'!$D$140:$D$150)</f>
        <v>1</v>
      </c>
      <c r="AG141" s="43" t="n">
        <f aca="false">SUMPRODUCT(('Inputs &amp; Assumptions'!$E$140:$E$150&gt;=29)*'Inputs &amp; Assumptions'!$D$140:$D$150)</f>
        <v>0</v>
      </c>
      <c r="AH141" s="43" t="n">
        <f aca="false">SUMPRODUCT(('Inputs &amp; Assumptions'!$E$140:$E$150&gt;=30)*'Inputs &amp; Assumptions'!$D$140:$D$150)</f>
        <v>0</v>
      </c>
      <c r="AI141" s="43" t="n">
        <f aca="false">SUMPRODUCT(('Inputs &amp; Assumptions'!$E$140:$E$150&gt;=31)*'Inputs &amp; Assumptions'!$D$140:$D$150)</f>
        <v>0</v>
      </c>
      <c r="AJ141" s="43" t="n">
        <f aca="false">SUMPRODUCT(('Inputs &amp; Assumptions'!$E$140:$E$150&gt;=32)*'Inputs &amp; Assumptions'!$D$140:$D$150)</f>
        <v>0</v>
      </c>
      <c r="AK141" s="43" t="n">
        <f aca="false">SUMPRODUCT(('Inputs &amp; Assumptions'!$E$140:$E$150&gt;=33)*'Inputs &amp; Assumptions'!$D$140:$D$150)</f>
        <v>0</v>
      </c>
      <c r="AL141" s="43" t="n">
        <f aca="false">SUMPRODUCT(('Inputs &amp; Assumptions'!$E$140:$E$150&gt;=34)*'Inputs &amp; Assumptions'!$D$140:$D$150)</f>
        <v>0</v>
      </c>
      <c r="AM141" s="43" t="n">
        <f aca="false">SUMPRODUCT(('Inputs &amp; Assumptions'!$E$140:$E$150&gt;=35)*'Inputs &amp; Assumptions'!$D$140:$D$150)</f>
        <v>0</v>
      </c>
      <c r="AN141" s="43" t="n">
        <f aca="false">SUMPRODUCT(('Inputs &amp; Assumptions'!$E$140:$E$150&gt;=36)*'Inputs &amp; Assumptions'!$D$140:$D$150)</f>
        <v>0</v>
      </c>
    </row>
    <row r="142" customFormat="false" ht="15" hidden="false" customHeight="false" outlineLevel="0" collapsed="false">
      <c r="A142" s="5" t="s">
        <v>139</v>
      </c>
      <c r="E142" s="39" t="n">
        <f aca="false">E133-E134-E136-E135</f>
        <v>536784399.269557</v>
      </c>
      <c r="F142" s="39" t="n">
        <f aca="false">F133-F134-F136-F135</f>
        <v>506195899.938778</v>
      </c>
      <c r="G142" s="39" t="n">
        <f aca="false">G133-G134-G136-G135</f>
        <v>475787188.136534</v>
      </c>
      <c r="H142" s="39" t="n">
        <f aca="false">H133-H134-H136-H135</f>
        <v>445686210.370844</v>
      </c>
      <c r="I142" s="39" t="n">
        <f aca="false">I133-I134-I136-I135</f>
        <v>417080763.669223</v>
      </c>
      <c r="J142" s="39" t="n">
        <f aca="false">J133-J134-J136-J135</f>
        <v>390432478.807512</v>
      </c>
      <c r="K142" s="39" t="n">
        <f aca="false">K133-K134-K136-K135</f>
        <v>365639420.544409</v>
      </c>
      <c r="L142" s="39" t="n">
        <f aca="false">L133-L134-L136-L135</f>
        <v>342585276.910871</v>
      </c>
      <c r="M142" s="39" t="n">
        <f aca="false">M133-M134-M136-M135</f>
        <v>321113289.033745</v>
      </c>
      <c r="N142" s="39" t="n">
        <f aca="false">N133-N134-N136-N135</f>
        <v>301096590.822734</v>
      </c>
      <c r="O142" s="39" t="n">
        <f aca="false">O133-O134-O136-O135</f>
        <v>282451942.232389</v>
      </c>
      <c r="P142" s="39" t="n">
        <f aca="false">P133-P134-P136-P135</f>
        <v>265090732.705127</v>
      </c>
      <c r="Q142" s="39" t="n">
        <f aca="false">Q133-Q134-Q136-Q135</f>
        <v>248884306.582262</v>
      </c>
      <c r="R142" s="39" t="n">
        <f aca="false">R133-R134-R136-R135</f>
        <v>233735541.217402</v>
      </c>
      <c r="S142" s="39" t="n">
        <f aca="false">S133-S134-S136-S135</f>
        <v>219586639.324748</v>
      </c>
      <c r="T142" s="39" t="n">
        <f aca="false">T133-T134-T136-T135</f>
        <v>206375706.590773</v>
      </c>
      <c r="U142" s="39" t="n">
        <f aca="false">U133-U134-U136-U135</f>
        <v>194013202.076293</v>
      </c>
      <c r="V142" s="39" t="n">
        <f aca="false">V133-V134-V136-V135</f>
        <v>171669329.007857</v>
      </c>
      <c r="W142" s="39" t="n">
        <f aca="false">W133-W134-W136-W135</f>
        <v>145875993.360773</v>
      </c>
      <c r="X142" s="39" t="n">
        <f aca="false">X133-X134-X136-X135</f>
        <v>122192401.555031</v>
      </c>
      <c r="Y142" s="39" t="n">
        <f aca="false">Y133-Y134-Y136-Y135</f>
        <v>100475707.746499</v>
      </c>
      <c r="Z142" s="39" t="n">
        <f aca="false">Z133-Z134-Z136-Z135</f>
        <v>80581644.3560378</v>
      </c>
      <c r="AA142" s="39" t="n">
        <f aca="false">AA133-AA134-AA136-AA135</f>
        <v>62382225.0854562</v>
      </c>
      <c r="AB142" s="39" t="n">
        <f aca="false">AB133-AB134-AB136-AB135</f>
        <v>45757802.2280173</v>
      </c>
      <c r="AC142" s="39" t="n">
        <f aca="false">AC133-AC134-AC136-AC135</f>
        <v>30552561.9020486</v>
      </c>
      <c r="AD142" s="39" t="n">
        <f aca="false">AD133-AD134-AD136-AD135</f>
        <v>16663396.569404</v>
      </c>
      <c r="AE142" s="39" t="n">
        <f aca="false">AE133-AE134-AE136-AE135</f>
        <v>3998696.39761629</v>
      </c>
      <c r="AF142" s="39" t="n">
        <f aca="false">AF133-AF134-AF136-AF135</f>
        <v>2.25554686039686E-010</v>
      </c>
      <c r="AG142" s="39" t="n">
        <f aca="false">AG133-AG134-AG136-AG135</f>
        <v>0</v>
      </c>
      <c r="AH142" s="39" t="n">
        <f aca="false">AH133-AH134-AH136-AH135</f>
        <v>0</v>
      </c>
      <c r="AI142" s="39" t="n">
        <f aca="false">AI133-AI134-AI136-AI135</f>
        <v>0</v>
      </c>
      <c r="AJ142" s="39" t="n">
        <f aca="false">AJ133-AJ134-AJ136-AJ135</f>
        <v>0</v>
      </c>
      <c r="AK142" s="39" t="n">
        <f aca="false">AK133-AK134-AK136-AK135</f>
        <v>0</v>
      </c>
      <c r="AL142" s="39" t="n">
        <f aca="false">AL133-AL134-AL136-AL135</f>
        <v>0</v>
      </c>
      <c r="AM142" s="39" t="n">
        <f aca="false">AM133-AM134-AM136-AM135</f>
        <v>0</v>
      </c>
      <c r="AN142" s="39" t="n">
        <f aca="false">AN133-AN134-AN136-AN135</f>
        <v>0</v>
      </c>
    </row>
    <row r="143" customFormat="false" ht="15" hidden="false" customHeight="false" outlineLevel="0" collapsed="false">
      <c r="A143" s="5" t="s">
        <v>121</v>
      </c>
      <c r="E143" s="18" t="n">
        <f aca="false">E142/'Inputs &amp; Assumptions'!$C$7</f>
        <v>0.894640665449262</v>
      </c>
      <c r="F143" s="18" t="n">
        <f aca="false">F142/'Inputs &amp; Assumptions'!$C$7</f>
        <v>0.843659833231296</v>
      </c>
      <c r="G143" s="18" t="n">
        <f aca="false">G142/'Inputs &amp; Assumptions'!$C$7</f>
        <v>0.792978646894224</v>
      </c>
      <c r="H143" s="18" t="n">
        <f aca="false">H142/'Inputs &amp; Assumptions'!$C$7</f>
        <v>0.742810350618073</v>
      </c>
      <c r="I143" s="18" t="n">
        <f aca="false">I142/'Inputs &amp; Assumptions'!$C$7</f>
        <v>0.695134606115371</v>
      </c>
      <c r="J143" s="18" t="n">
        <f aca="false">J142/'Inputs &amp; Assumptions'!$C$7</f>
        <v>0.650720798012519</v>
      </c>
      <c r="K143" s="18" t="n">
        <f aca="false">K142/'Inputs &amp; Assumptions'!$C$7</f>
        <v>0.609399034240682</v>
      </c>
      <c r="L143" s="18" t="n">
        <f aca="false">L142/'Inputs &amp; Assumptions'!$C$7</f>
        <v>0.570975461518118</v>
      </c>
      <c r="M143" s="18" t="n">
        <f aca="false">M142/'Inputs &amp; Assumptions'!$C$7</f>
        <v>0.535188815056242</v>
      </c>
      <c r="N143" s="18" t="n">
        <f aca="false">N142/'Inputs &amp; Assumptions'!$C$7</f>
        <v>0.501827651371224</v>
      </c>
      <c r="O143" s="18" t="n">
        <f aca="false">O142/'Inputs &amp; Assumptions'!$C$7</f>
        <v>0.470753237053982</v>
      </c>
      <c r="P143" s="18" t="n">
        <f aca="false">P142/'Inputs &amp; Assumptions'!$C$7</f>
        <v>0.441817887841878</v>
      </c>
      <c r="Q143" s="18" t="n">
        <f aca="false">Q142/'Inputs &amp; Assumptions'!$C$7</f>
        <v>0.414807177637103</v>
      </c>
      <c r="R143" s="18" t="n">
        <f aca="false">R142/'Inputs &amp; Assumptions'!$C$7</f>
        <v>0.389559235362337</v>
      </c>
      <c r="S143" s="18" t="n">
        <f aca="false">S142/'Inputs &amp; Assumptions'!$C$7</f>
        <v>0.365977732207913</v>
      </c>
      <c r="T143" s="18" t="n">
        <f aca="false">T142/'Inputs &amp; Assumptions'!$C$7</f>
        <v>0.343959510984621</v>
      </c>
      <c r="U143" s="18" t="n">
        <f aca="false">U142/'Inputs &amp; Assumptions'!$C$7</f>
        <v>0.323355336793822</v>
      </c>
      <c r="V143" s="18" t="n">
        <f aca="false">V142/'Inputs &amp; Assumptions'!$C$7</f>
        <v>0.286115548346429</v>
      </c>
      <c r="W143" s="18" t="n">
        <f aca="false">W142/'Inputs &amp; Assumptions'!$C$7</f>
        <v>0.243126655601288</v>
      </c>
      <c r="X143" s="18" t="n">
        <f aca="false">X142/'Inputs &amp; Assumptions'!$C$7</f>
        <v>0.203654002591718</v>
      </c>
      <c r="Y143" s="18" t="n">
        <f aca="false">Y142/'Inputs &amp; Assumptions'!$C$7</f>
        <v>0.167459512910832</v>
      </c>
      <c r="Z143" s="18" t="n">
        <f aca="false">Z142/'Inputs &amp; Assumptions'!$C$7</f>
        <v>0.134302740593396</v>
      </c>
      <c r="AA143" s="18" t="n">
        <f aca="false">AA142/'Inputs &amp; Assumptions'!$C$7</f>
        <v>0.103970375142427</v>
      </c>
      <c r="AB143" s="18" t="n">
        <f aca="false">AB142/'Inputs &amp; Assumptions'!$C$7</f>
        <v>0.0762630037133622</v>
      </c>
      <c r="AC143" s="18" t="n">
        <f aca="false">AC142/'Inputs &amp; Assumptions'!$C$7</f>
        <v>0.0509209365034143</v>
      </c>
      <c r="AD143" s="18" t="n">
        <f aca="false">AD142/'Inputs &amp; Assumptions'!$C$7</f>
        <v>0.0277723276156734</v>
      </c>
      <c r="AE143" s="18" t="n">
        <f aca="false">AE142/'Inputs &amp; Assumptions'!$C$7</f>
        <v>0.00666449399602715</v>
      </c>
      <c r="AF143" s="18" t="n">
        <f aca="false">AF142/'Inputs &amp; Assumptions'!$C$7</f>
        <v>3.7592447673281E-019</v>
      </c>
      <c r="AG143" s="18" t="n">
        <f aca="false">AG142/'Inputs &amp; Assumptions'!$C$7</f>
        <v>0</v>
      </c>
      <c r="AH143" s="18" t="n">
        <f aca="false">AH142/'Inputs &amp; Assumptions'!$C$7</f>
        <v>0</v>
      </c>
      <c r="AI143" s="18" t="n">
        <f aca="false">AI142/'Inputs &amp; Assumptions'!$C$7</f>
        <v>0</v>
      </c>
      <c r="AJ143" s="18" t="n">
        <f aca="false">AJ142/'Inputs &amp; Assumptions'!$C$7</f>
        <v>0</v>
      </c>
      <c r="AK143" s="18" t="n">
        <f aca="false">AK142/'Inputs &amp; Assumptions'!$C$7</f>
        <v>0</v>
      </c>
      <c r="AL143" s="18" t="n">
        <f aca="false">AL142/'Inputs &amp; Assumptions'!$C$7</f>
        <v>0</v>
      </c>
      <c r="AM143" s="18" t="n">
        <f aca="false">AM142/'Inputs &amp; Assumptions'!$C$7</f>
        <v>0</v>
      </c>
      <c r="AN143" s="18" t="n">
        <f aca="false">AN142/'Inputs &amp; Assumptions'!$C$7</f>
        <v>0</v>
      </c>
    </row>
    <row r="144" customFormat="false" ht="15" hidden="false" customHeight="false" outlineLevel="0" collapsed="false">
      <c r="A144" s="5" t="s">
        <v>140</v>
      </c>
      <c r="E144" s="39" t="n">
        <f aca="false">E136</f>
        <v>5355358.52422202</v>
      </c>
      <c r="F144" s="39" t="n">
        <f aca="false">E144+F136</f>
        <v>10510596.1143597</v>
      </c>
      <c r="G144" s="39" t="n">
        <f aca="false">F144+G136</f>
        <v>15404407.3351483</v>
      </c>
      <c r="H144" s="39" t="n">
        <f aca="false">G144+H136</f>
        <v>20011567.9580301</v>
      </c>
      <c r="I144" s="39" t="n">
        <f aca="false">H144+I136</f>
        <v>24241397.5816406</v>
      </c>
      <c r="J144" s="39" t="n">
        <f aca="false">I144+J136</f>
        <v>28071481.6840902</v>
      </c>
      <c r="K144" s="39" t="n">
        <f aca="false">J144+K136</f>
        <v>31495329.7601588</v>
      </c>
      <c r="L144" s="39" t="n">
        <f aca="false">K144+L136</f>
        <v>34527625.6990712</v>
      </c>
      <c r="M144" s="39" t="n">
        <f aca="false">L144+M136</f>
        <v>37232661.8153748</v>
      </c>
      <c r="N144" s="39" t="n">
        <f aca="false">M144+N136</f>
        <v>39652252.1261754</v>
      </c>
      <c r="O144" s="39" t="n">
        <f aca="false">N144+O136</f>
        <v>41789449.434837</v>
      </c>
      <c r="P144" s="39" t="n">
        <f aca="false">O144+P136</f>
        <v>43657855.7589426</v>
      </c>
      <c r="Q144" s="39" t="n">
        <f aca="false">P144+Q136</f>
        <v>45318637.2910476</v>
      </c>
      <c r="R144" s="39" t="n">
        <f aca="false">Q144+R136</f>
        <v>46807103.388892</v>
      </c>
      <c r="S144" s="39" t="n">
        <f aca="false">R144+S136</f>
        <v>48122615.9194024</v>
      </c>
      <c r="T144" s="39" t="n">
        <f aca="false">S144+T136</f>
        <v>49272251.0912344</v>
      </c>
      <c r="U144" s="39" t="n">
        <f aca="false">T144+U136</f>
        <v>50295964.8154464</v>
      </c>
      <c r="V144" s="39" t="n">
        <f aca="false">U144+V136</f>
        <v>51216358.0638221</v>
      </c>
      <c r="W144" s="39" t="n">
        <f aca="false">V144+W136</f>
        <v>52000656.3286684</v>
      </c>
      <c r="X144" s="39" t="n">
        <f aca="false">W144+X136</f>
        <v>52640393.7071497</v>
      </c>
      <c r="Y144" s="39" t="n">
        <f aca="false">X144+Y136</f>
        <v>53161569.7588566</v>
      </c>
      <c r="Z144" s="39" t="n">
        <f aca="false">Y144+Z136</f>
        <v>53580840.1990368</v>
      </c>
      <c r="AA144" s="39" t="n">
        <f aca="false">Z144+AA136</f>
        <v>53906827.5155916</v>
      </c>
      <c r="AB144" s="39" t="n">
        <f aca="false">AA144+AB136</f>
        <v>54147548.3502361</v>
      </c>
      <c r="AC144" s="39" t="n">
        <f aca="false">AB144+AC136</f>
        <v>54320284.0536469</v>
      </c>
      <c r="AD144" s="39" t="n">
        <f aca="false">AC144+AD136</f>
        <v>54435619.9748271</v>
      </c>
      <c r="AE144" s="39" t="n">
        <f aca="false">AD144+AE136</f>
        <v>54498524.2968766</v>
      </c>
      <c r="AF144" s="39" t="n">
        <f aca="false">AE144+AF136</f>
        <v>54513619.3757776</v>
      </c>
      <c r="AG144" s="39" t="n">
        <f aca="false">AF144+AG136</f>
        <v>54513619.3757776</v>
      </c>
      <c r="AH144" s="39" t="n">
        <f aca="false">AG144+AH136</f>
        <v>54513619.3757776</v>
      </c>
      <c r="AI144" s="39" t="n">
        <f aca="false">AH144+AI136</f>
        <v>54513619.3757776</v>
      </c>
      <c r="AJ144" s="39" t="n">
        <f aca="false">AI144+AJ136</f>
        <v>54513619.3757776</v>
      </c>
      <c r="AK144" s="39" t="n">
        <f aca="false">AJ144+AK136</f>
        <v>54513619.3757776</v>
      </c>
      <c r="AL144" s="39" t="n">
        <f aca="false">AK144+AL136</f>
        <v>54513619.3757776</v>
      </c>
      <c r="AM144" s="39" t="n">
        <f aca="false">AL144+AM136</f>
        <v>54513619.3757776</v>
      </c>
      <c r="AN144" s="39" t="n">
        <f aca="false">AM144+AN136</f>
        <v>54513619.3757776</v>
      </c>
    </row>
    <row r="145" customFormat="false" ht="15" hidden="false" customHeight="false" outlineLevel="0" collapsed="false">
      <c r="A145" s="5" t="s">
        <v>141</v>
      </c>
      <c r="E145" s="39" t="n">
        <f aca="false">E137</f>
        <v>0</v>
      </c>
      <c r="F145" s="39" t="n">
        <f aca="false">E145+F137</f>
        <v>0</v>
      </c>
      <c r="G145" s="39" t="n">
        <f aca="false">F145+G137</f>
        <v>0</v>
      </c>
      <c r="H145" s="39" t="n">
        <f aca="false">G145+H137</f>
        <v>0</v>
      </c>
      <c r="I145" s="39" t="n">
        <f aca="false">H145+I137</f>
        <v>0</v>
      </c>
      <c r="J145" s="39" t="n">
        <f aca="false">I145+J137</f>
        <v>0</v>
      </c>
      <c r="K145" s="39" t="n">
        <f aca="false">J145+K137</f>
        <v>0</v>
      </c>
      <c r="L145" s="39" t="n">
        <f aca="false">K145+L137</f>
        <v>0</v>
      </c>
      <c r="M145" s="39" t="n">
        <f aca="false">L145+M137</f>
        <v>3213215.11453321</v>
      </c>
      <c r="N145" s="39" t="n">
        <f aca="false">M145+N137</f>
        <v>6306357.66861583</v>
      </c>
      <c r="O145" s="39" t="n">
        <f aca="false">N145+O137</f>
        <v>9242644.40108899</v>
      </c>
      <c r="P145" s="39" t="n">
        <f aca="false">O145+P137</f>
        <v>12006940.774818</v>
      </c>
      <c r="Q145" s="39" t="n">
        <f aca="false">P145+Q137</f>
        <v>14544838.5489844</v>
      </c>
      <c r="R145" s="39" t="n">
        <f aca="false">Q145+R137</f>
        <v>16842889.0104541</v>
      </c>
      <c r="S145" s="39" t="n">
        <f aca="false">R145+S137</f>
        <v>18897197.8560953</v>
      </c>
      <c r="T145" s="39" t="n">
        <f aca="false">S145+T137</f>
        <v>20716575.4194427</v>
      </c>
      <c r="U145" s="39" t="n">
        <f aca="false">T145+U137</f>
        <v>22339597.0892249</v>
      </c>
      <c r="V145" s="39" t="n">
        <f aca="false">U145+V137</f>
        <v>23791351.2757052</v>
      </c>
      <c r="W145" s="39" t="n">
        <f aca="false">V145+W137</f>
        <v>25073669.6609022</v>
      </c>
      <c r="X145" s="39" t="n">
        <f aca="false">W145+X137</f>
        <v>26194713.4553656</v>
      </c>
      <c r="Y145" s="39" t="n">
        <f aca="false">X145+Y137</f>
        <v>27191182.3746286</v>
      </c>
      <c r="Z145" s="39" t="n">
        <f aca="false">Y145+Z137</f>
        <v>28084262.0333352</v>
      </c>
      <c r="AA145" s="39" t="n">
        <f aca="false">Z145+AA137</f>
        <v>28873569.5516414</v>
      </c>
      <c r="AB145" s="39" t="n">
        <f aca="false">AA145+AB137</f>
        <v>29563350.6547406</v>
      </c>
      <c r="AC145" s="39" t="n">
        <f aca="false">AB145+AC137</f>
        <v>30177578.8892678</v>
      </c>
      <c r="AD145" s="39" t="n">
        <f aca="false">AC145+AD137</f>
        <v>30729814.8382933</v>
      </c>
      <c r="AE145" s="39" t="n">
        <f aca="false">AD145+AE137</f>
        <v>31200393.7972011</v>
      </c>
      <c r="AF145" s="39" t="n">
        <f aca="false">AE145+AF137</f>
        <v>31584236.2242898</v>
      </c>
      <c r="AG145" s="39" t="n">
        <f aca="false">AF145+AG137</f>
        <v>31896941.855314</v>
      </c>
      <c r="AH145" s="39" t="n">
        <f aca="false">AG145+AH137</f>
        <v>32148504.1194221</v>
      </c>
      <c r="AI145" s="39" t="n">
        <f aca="false">AH145+AI137</f>
        <v>32344096.509355</v>
      </c>
      <c r="AJ145" s="39" t="n">
        <f aca="false">AI145+AJ137</f>
        <v>32488529.0101417</v>
      </c>
      <c r="AK145" s="39" t="n">
        <f aca="false">AJ145+AK137</f>
        <v>32592170.4321882</v>
      </c>
      <c r="AL145" s="39" t="n">
        <f aca="false">AK145+AL137</f>
        <v>32661371.9848963</v>
      </c>
      <c r="AM145" s="39" t="n">
        <f aca="false">AL145+AM137</f>
        <v>32699114.578126</v>
      </c>
      <c r="AN145" s="39" t="n">
        <f aca="false">AM145+AN137</f>
        <v>32708171.6254666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4" min="3" style="0" width="11"/>
    <col collapsed="false" customWidth="true" hidden="false" outlineLevel="0" max="40" min="5" style="0" width="9.3"/>
  </cols>
  <sheetData>
    <row r="1" customFormat="false" ht="17.35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A4" s="2" t="s">
        <v>144</v>
      </c>
      <c r="E4" s="37" t="n">
        <v>1</v>
      </c>
      <c r="F4" s="37" t="n">
        <v>2</v>
      </c>
      <c r="G4" s="37" t="n">
        <v>3</v>
      </c>
      <c r="H4" s="37" t="n">
        <v>4</v>
      </c>
      <c r="I4" s="37" t="n">
        <v>5</v>
      </c>
      <c r="J4" s="37" t="n">
        <v>6</v>
      </c>
      <c r="K4" s="37" t="n">
        <v>7</v>
      </c>
      <c r="L4" s="37" t="n">
        <v>8</v>
      </c>
      <c r="M4" s="37" t="n">
        <v>9</v>
      </c>
      <c r="N4" s="37" t="n">
        <v>10</v>
      </c>
      <c r="O4" s="37" t="n">
        <v>11</v>
      </c>
      <c r="P4" s="37" t="n">
        <v>12</v>
      </c>
      <c r="Q4" s="37" t="n">
        <v>13</v>
      </c>
      <c r="R4" s="37" t="n">
        <v>14</v>
      </c>
      <c r="S4" s="37" t="n">
        <v>15</v>
      </c>
      <c r="T4" s="37" t="n">
        <v>16</v>
      </c>
      <c r="U4" s="37" t="n">
        <v>17</v>
      </c>
      <c r="V4" s="37" t="n">
        <v>18</v>
      </c>
      <c r="W4" s="37" t="n">
        <v>19</v>
      </c>
      <c r="X4" s="37" t="n">
        <v>20</v>
      </c>
      <c r="Y4" s="37" t="n">
        <v>21</v>
      </c>
      <c r="Z4" s="37" t="n">
        <v>22</v>
      </c>
      <c r="AA4" s="37" t="n">
        <v>23</v>
      </c>
      <c r="AB4" s="37" t="n">
        <v>24</v>
      </c>
      <c r="AC4" s="37" t="n">
        <v>25</v>
      </c>
      <c r="AD4" s="37" t="n">
        <v>26</v>
      </c>
      <c r="AE4" s="37" t="n">
        <v>27</v>
      </c>
      <c r="AF4" s="37" t="n">
        <v>28</v>
      </c>
      <c r="AG4" s="37" t="n">
        <v>29</v>
      </c>
      <c r="AH4" s="37" t="n">
        <v>30</v>
      </c>
      <c r="AI4" s="37" t="n">
        <v>31</v>
      </c>
      <c r="AJ4" s="37" t="n">
        <v>32</v>
      </c>
      <c r="AK4" s="37" t="n">
        <v>33</v>
      </c>
      <c r="AL4" s="37" t="n">
        <v>34</v>
      </c>
      <c r="AM4" s="37" t="n">
        <v>35</v>
      </c>
      <c r="AN4" s="37" t="n">
        <v>36</v>
      </c>
    </row>
    <row r="5" customFormat="false" ht="15" hidden="false" customHeight="false" outlineLevel="0" collapsed="false">
      <c r="A5" s="12" t="s">
        <v>145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 customFormat="false" ht="15" hidden="false" customHeight="false" outlineLevel="0" collapsed="false">
      <c r="A6" s="14" t="s">
        <v>146</v>
      </c>
      <c r="E6" s="39" t="n">
        <f aca="false">'Inputs &amp; Assumptions'!$C$134</f>
        <v>340424922.203496</v>
      </c>
      <c r="F6" s="39" t="n">
        <f aca="false">E32</f>
        <v>322760343.421729</v>
      </c>
      <c r="G6" s="39" t="n">
        <f aca="false">F32</f>
        <v>304957060.20328</v>
      </c>
      <c r="H6" s="39" t="n">
        <f aca="false">G32</f>
        <v>287096629.796262</v>
      </c>
      <c r="I6" s="39" t="n">
        <f aca="false">H32</f>
        <v>269250957.796296</v>
      </c>
      <c r="J6" s="39" t="n">
        <f aca="false">I32</f>
        <v>252188025.841688</v>
      </c>
      <c r="K6" s="39" t="n">
        <f aca="false">J32</f>
        <v>236215285.310205</v>
      </c>
      <c r="L6" s="39" t="n">
        <f aca="false">K32</f>
        <v>221256838.179282</v>
      </c>
      <c r="M6" s="39" t="n">
        <f aca="false">L32</f>
        <v>207241544.793043</v>
      </c>
      <c r="N6" s="39" t="n">
        <f aca="false">M32</f>
        <v>191855427.980295</v>
      </c>
      <c r="O6" s="39" t="n">
        <f aca="false">N32</f>
        <v>177372252.66229</v>
      </c>
      <c r="P6" s="39" t="n">
        <f aca="false">O32</f>
        <v>163761636.05238</v>
      </c>
      <c r="Q6" s="39" t="n">
        <f aca="false">P32</f>
        <v>150981666.34856</v>
      </c>
      <c r="R6" s="39" t="n">
        <f aca="false">Q32</f>
        <v>139023186.693111</v>
      </c>
      <c r="S6" s="39" t="n">
        <f aca="false">R32</f>
        <v>127852341.883172</v>
      </c>
      <c r="T6" s="39" t="n">
        <f aca="false">S32</f>
        <v>117430953.137723</v>
      </c>
      <c r="U6" s="39" t="n">
        <f aca="false">T32</f>
        <v>107714480.549879</v>
      </c>
      <c r="V6" s="39" t="n">
        <f aca="false">U32</f>
        <v>98641211.8278441</v>
      </c>
      <c r="W6" s="39" t="n">
        <f aca="false">V32</f>
        <v>82628548.0232657</v>
      </c>
      <c r="X6" s="39" t="n">
        <f aca="false">W32</f>
        <v>64224598.9860612</v>
      </c>
      <c r="Y6" s="39" t="n">
        <f aca="false">X32</f>
        <v>47309170.2308545</v>
      </c>
      <c r="Z6" s="39" t="n">
        <f aca="false">Y32</f>
        <v>31774779.557593</v>
      </c>
      <c r="AA6" s="39" t="n">
        <f aca="false">Z32</f>
        <v>15480481.4704027</v>
      </c>
      <c r="AB6" s="39" t="n">
        <f aca="false">AA32</f>
        <v>550289.892536361</v>
      </c>
      <c r="AC6" s="39" t="n">
        <f aca="false">AB32</f>
        <v>0</v>
      </c>
      <c r="AD6" s="39" t="n">
        <f aca="false">AC32</f>
        <v>0</v>
      </c>
      <c r="AE6" s="39" t="n">
        <f aca="false">AD32</f>
        <v>0</v>
      </c>
      <c r="AF6" s="39" t="n">
        <f aca="false">AE32</f>
        <v>0</v>
      </c>
      <c r="AG6" s="39" t="n">
        <f aca="false">AF32</f>
        <v>0</v>
      </c>
      <c r="AH6" s="39" t="n">
        <f aca="false">AG32</f>
        <v>0</v>
      </c>
      <c r="AI6" s="39" t="n">
        <f aca="false">AH32</f>
        <v>0</v>
      </c>
      <c r="AJ6" s="39" t="n">
        <f aca="false">AI32</f>
        <v>0</v>
      </c>
      <c r="AK6" s="39" t="n">
        <f aca="false">AJ32</f>
        <v>0</v>
      </c>
      <c r="AL6" s="39" t="n">
        <f aca="false">AK32</f>
        <v>0</v>
      </c>
      <c r="AM6" s="39" t="n">
        <f aca="false">AL32</f>
        <v>0</v>
      </c>
      <c r="AN6" s="39" t="n">
        <f aca="false">AM32</f>
        <v>0</v>
      </c>
    </row>
    <row r="7" customFormat="false" ht="15" hidden="false" customHeight="false" outlineLevel="0" collapsed="false">
      <c r="A7" s="14" t="s">
        <v>147</v>
      </c>
      <c r="E7" s="10" t="n">
        <f aca="false">'Inputs &amp; Assumptions'!E$52</f>
        <v>0.04324</v>
      </c>
      <c r="F7" s="10" t="n">
        <f aca="false">'Inputs &amp; Assumptions'!F$52</f>
        <v>0.04324</v>
      </c>
      <c r="G7" s="10" t="n">
        <f aca="false">'Inputs &amp; Assumptions'!G$52</f>
        <v>0.04324</v>
      </c>
      <c r="H7" s="10" t="n">
        <f aca="false">'Inputs &amp; Assumptions'!H$52</f>
        <v>0.04324</v>
      </c>
      <c r="I7" s="10" t="n">
        <f aca="false">'Inputs &amp; Assumptions'!I$52</f>
        <v>0.04324</v>
      </c>
      <c r="J7" s="10" t="n">
        <f aca="false">'Inputs &amp; Assumptions'!J$52</f>
        <v>0.04324</v>
      </c>
      <c r="K7" s="10" t="n">
        <f aca="false">'Inputs &amp; Assumptions'!K$52</f>
        <v>0.04324</v>
      </c>
      <c r="L7" s="10" t="n">
        <f aca="false">'Inputs &amp; Assumptions'!L$52</f>
        <v>0.04324</v>
      </c>
      <c r="M7" s="10" t="n">
        <f aca="false">'Inputs &amp; Assumptions'!M$52</f>
        <v>0.04324</v>
      </c>
      <c r="N7" s="10" t="n">
        <f aca="false">'Inputs &amp; Assumptions'!N$52</f>
        <v>0.04324</v>
      </c>
      <c r="O7" s="10" t="n">
        <f aca="false">'Inputs &amp; Assumptions'!O$52</f>
        <v>0.04324</v>
      </c>
      <c r="P7" s="10" t="n">
        <f aca="false">'Inputs &amp; Assumptions'!P$52</f>
        <v>0.04324</v>
      </c>
      <c r="Q7" s="10" t="n">
        <f aca="false">'Inputs &amp; Assumptions'!Q$52</f>
        <v>0.04324</v>
      </c>
      <c r="R7" s="10" t="n">
        <f aca="false">'Inputs &amp; Assumptions'!R$52</f>
        <v>0.04324</v>
      </c>
      <c r="S7" s="10" t="n">
        <f aca="false">'Inputs &amp; Assumptions'!S$52</f>
        <v>0.04324</v>
      </c>
      <c r="T7" s="10" t="n">
        <f aca="false">'Inputs &amp; Assumptions'!T$52</f>
        <v>0.04324</v>
      </c>
      <c r="U7" s="10" t="n">
        <f aca="false">'Inputs &amp; Assumptions'!U$52</f>
        <v>0.04324</v>
      </c>
      <c r="V7" s="10" t="n">
        <f aca="false">'Inputs &amp; Assumptions'!V$52</f>
        <v>0.04324</v>
      </c>
      <c r="W7" s="10" t="n">
        <f aca="false">'Inputs &amp; Assumptions'!W$52</f>
        <v>0.04324</v>
      </c>
      <c r="X7" s="10" t="n">
        <f aca="false">'Inputs &amp; Assumptions'!X$52</f>
        <v>0.04324</v>
      </c>
      <c r="Y7" s="10" t="n">
        <f aca="false">'Inputs &amp; Assumptions'!Y$52</f>
        <v>0.04324</v>
      </c>
      <c r="Z7" s="10" t="n">
        <f aca="false">'Inputs &amp; Assumptions'!Z$52</f>
        <v>0.04324</v>
      </c>
      <c r="AA7" s="10" t="n">
        <f aca="false">'Inputs &amp; Assumptions'!AA$52</f>
        <v>0.04324</v>
      </c>
      <c r="AB7" s="10" t="n">
        <f aca="false">'Inputs &amp; Assumptions'!AB$52</f>
        <v>0.04324</v>
      </c>
      <c r="AC7" s="10" t="n">
        <f aca="false">'Inputs &amp; Assumptions'!AC$52</f>
        <v>0.04324</v>
      </c>
      <c r="AD7" s="10" t="n">
        <f aca="false">'Inputs &amp; Assumptions'!AD$52</f>
        <v>0.04324</v>
      </c>
      <c r="AE7" s="10" t="n">
        <f aca="false">'Inputs &amp; Assumptions'!AE$52</f>
        <v>0.04324</v>
      </c>
      <c r="AF7" s="10" t="n">
        <f aca="false">'Inputs &amp; Assumptions'!AF$52</f>
        <v>0.04324</v>
      </c>
      <c r="AG7" s="10" t="n">
        <f aca="false">'Inputs &amp; Assumptions'!AG$52</f>
        <v>0.04324</v>
      </c>
      <c r="AH7" s="10" t="n">
        <f aca="false">'Inputs &amp; Assumptions'!AH$52</f>
        <v>0.04324</v>
      </c>
      <c r="AI7" s="10" t="n">
        <f aca="false">'Inputs &amp; Assumptions'!AI$52</f>
        <v>0.04324</v>
      </c>
      <c r="AJ7" s="10" t="n">
        <f aca="false">'Inputs &amp; Assumptions'!AJ$52</f>
        <v>0.04324</v>
      </c>
      <c r="AK7" s="10" t="n">
        <f aca="false">'Inputs &amp; Assumptions'!AK$52</f>
        <v>0.04324</v>
      </c>
      <c r="AL7" s="10" t="n">
        <f aca="false">'Inputs &amp; Assumptions'!AL$52</f>
        <v>0.04324</v>
      </c>
      <c r="AM7" s="10" t="n">
        <f aca="false">'Inputs &amp; Assumptions'!AM$52</f>
        <v>0.04324</v>
      </c>
      <c r="AN7" s="10" t="n">
        <f aca="false">'Inputs &amp; Assumptions'!AN$52</f>
        <v>0.04324</v>
      </c>
    </row>
    <row r="8" customFormat="false" ht="15" hidden="false" customHeight="false" outlineLevel="0" collapsed="false">
      <c r="A8" s="14" t="s">
        <v>148</v>
      </c>
      <c r="E8" s="39" t="n">
        <f aca="false">E7/4*E6</f>
        <v>3679993.40901979</v>
      </c>
      <c r="F8" s="39" t="n">
        <f aca="false">F7/4*F6</f>
        <v>3489039.3123889</v>
      </c>
      <c r="G8" s="39" t="n">
        <f aca="false">G7/4*G6</f>
        <v>3296585.82079746</v>
      </c>
      <c r="H8" s="39" t="n">
        <f aca="false">H7/4*H6</f>
        <v>3103514.56809759</v>
      </c>
      <c r="I8" s="39" t="n">
        <f aca="false">I7/4*I6</f>
        <v>2910602.85377796</v>
      </c>
      <c r="J8" s="39" t="n">
        <f aca="false">J7/4*J6</f>
        <v>2726152.55934865</v>
      </c>
      <c r="K8" s="39" t="n">
        <f aca="false">K7/4*K6</f>
        <v>2553487.23420332</v>
      </c>
      <c r="L8" s="39" t="n">
        <f aca="false">L7/4*L6</f>
        <v>2391786.42071803</v>
      </c>
      <c r="M8" s="39" t="n">
        <f aca="false">M7/4*M6</f>
        <v>2240281.0992128</v>
      </c>
      <c r="N8" s="39" t="n">
        <f aca="false">N7/4*N6</f>
        <v>2073957.17646698</v>
      </c>
      <c r="O8" s="39" t="n">
        <f aca="false">O7/4*O6</f>
        <v>1917394.05127935</v>
      </c>
      <c r="P8" s="39" t="n">
        <f aca="false">P7/4*P6</f>
        <v>1770263.28572623</v>
      </c>
      <c r="Q8" s="39" t="n">
        <f aca="false">Q7/4*Q6</f>
        <v>1632111.81322793</v>
      </c>
      <c r="R8" s="39" t="n">
        <f aca="false">R7/4*R6</f>
        <v>1502840.64815254</v>
      </c>
      <c r="S8" s="39" t="n">
        <f aca="false">S7/4*S6</f>
        <v>1382083.81575709</v>
      </c>
      <c r="T8" s="39" t="n">
        <f aca="false">T7/4*T6</f>
        <v>1269428.60341878</v>
      </c>
      <c r="U8" s="39" t="n">
        <f aca="false">U7/4*U6</f>
        <v>1164393.53474419</v>
      </c>
      <c r="V8" s="39" t="n">
        <f aca="false">V7/4*V6</f>
        <v>1066311.49985899</v>
      </c>
      <c r="W8" s="39" t="n">
        <f aca="false">W7/4*W6</f>
        <v>893214.604131503</v>
      </c>
      <c r="X8" s="39" t="n">
        <f aca="false">X7/4*X6</f>
        <v>694267.915039322</v>
      </c>
      <c r="Y8" s="39" t="n">
        <f aca="false">Y7/4*Y6</f>
        <v>511412.130195537</v>
      </c>
      <c r="Z8" s="39" t="n">
        <f aca="false">Z7/4*Z6</f>
        <v>343485.367017581</v>
      </c>
      <c r="AA8" s="39" t="n">
        <f aca="false">AA7/4*AA6</f>
        <v>167344.004695054</v>
      </c>
      <c r="AB8" s="39" t="n">
        <f aca="false">AB7/4*AB6</f>
        <v>5948.63373831806</v>
      </c>
      <c r="AC8" s="39" t="n">
        <f aca="false">AC7/4*AC6</f>
        <v>0</v>
      </c>
      <c r="AD8" s="39" t="n">
        <f aca="false">AD7/4*AD6</f>
        <v>0</v>
      </c>
      <c r="AE8" s="39" t="n">
        <f aca="false">AE7/4*AE6</f>
        <v>0</v>
      </c>
      <c r="AF8" s="39" t="n">
        <f aca="false">AF7/4*AF6</f>
        <v>0</v>
      </c>
      <c r="AG8" s="39" t="n">
        <f aca="false">AG7/4*AG6</f>
        <v>0</v>
      </c>
      <c r="AH8" s="39" t="n">
        <f aca="false">AH7/4*AH6</f>
        <v>0</v>
      </c>
      <c r="AI8" s="39" t="n">
        <f aca="false">AI7/4*AI6</f>
        <v>0</v>
      </c>
      <c r="AJ8" s="39" t="n">
        <f aca="false">AJ7/4*AJ6</f>
        <v>0</v>
      </c>
      <c r="AK8" s="39" t="n">
        <f aca="false">AK7/4*AK6</f>
        <v>0</v>
      </c>
      <c r="AL8" s="39" t="n">
        <f aca="false">AL7/4*AL6</f>
        <v>0</v>
      </c>
      <c r="AM8" s="39" t="n">
        <f aca="false">AM7/4*AM6</f>
        <v>0</v>
      </c>
      <c r="AN8" s="39" t="n">
        <f aca="false">AN7/4*AN6</f>
        <v>0</v>
      </c>
    </row>
    <row r="9" customFormat="false" ht="15" hidden="false" customHeight="false" outlineLevel="0" collapsed="false">
      <c r="A9" s="14" t="s">
        <v>149</v>
      </c>
      <c r="E9" s="39" t="n">
        <f aca="false">'Asset Cash Flows'!E139</f>
        <v>10290577.2613315</v>
      </c>
      <c r="F9" s="39" t="n">
        <f aca="false">'Asset Cash Flows'!F139</f>
        <v>9734129.95035017</v>
      </c>
      <c r="G9" s="39" t="n">
        <f aca="false">'Asset Cash Flows'!G139</f>
        <v>9178841.24442638</v>
      </c>
      <c r="H9" s="39" t="n">
        <f aca="false">'Asset Cash Flows'!H139</f>
        <v>8627306.30377498</v>
      </c>
      <c r="I9" s="39" t="n">
        <f aca="false">'Asset Cash Flows'!I139</f>
        <v>8083066.33148184</v>
      </c>
      <c r="J9" s="39" t="n">
        <f aca="false">'Asset Cash Flows'!J139</f>
        <v>7566619.94286761</v>
      </c>
      <c r="K9" s="39" t="n">
        <f aca="false">'Asset Cash Flows'!K139</f>
        <v>7086128.02869272</v>
      </c>
      <c r="L9" s="39" t="n">
        <f aca="false">'Asset Cash Flows'!L139</f>
        <v>6639336.45152665</v>
      </c>
      <c r="M9" s="39" t="n">
        <f aca="false">'Asset Cash Flows'!M139</f>
        <v>6223207.20894852</v>
      </c>
      <c r="N9" s="39" t="n">
        <f aca="false">'Asset Cash Flows'!N139</f>
        <v>5835281.62361711</v>
      </c>
      <c r="O9" s="39" t="n">
        <f aca="false">'Asset Cash Flows'!O139</f>
        <v>5473946.49524267</v>
      </c>
      <c r="P9" s="39" t="n">
        <f aca="false">'Asset Cash Flows'!P139</f>
        <v>5137484.54248067</v>
      </c>
      <c r="Q9" s="39" t="n">
        <f aca="false">'Asset Cash Flows'!Q139</f>
        <v>4823402.40597803</v>
      </c>
      <c r="R9" s="39" t="n">
        <f aca="false">'Asset Cash Flows'!R139</f>
        <v>4529817.83926968</v>
      </c>
      <c r="S9" s="39" t="n">
        <f aca="false">'Asset Cash Flows'!S139</f>
        <v>4255610.72525698</v>
      </c>
      <c r="T9" s="39" t="n">
        <f aca="false">'Asset Cash Flows'!T139</f>
        <v>3999581.54603989</v>
      </c>
      <c r="U9" s="39" t="n">
        <f aca="false">'Asset Cash Flows'!U139</f>
        <v>3759994.98938672</v>
      </c>
      <c r="V9" s="39" t="n">
        <f aca="false">'Asset Cash Flows'!V139</f>
        <v>3535529.32963916</v>
      </c>
      <c r="W9" s="39" t="n">
        <f aca="false">'Asset Cash Flows'!W139</f>
        <v>3128904.91290453</v>
      </c>
      <c r="X9" s="39" t="n">
        <f aca="false">'Asset Cash Flows'!X139</f>
        <v>2659275.84703576</v>
      </c>
      <c r="Y9" s="39" t="n">
        <f aca="false">'Asset Cash Flows'!Y139</f>
        <v>2227800.13896586</v>
      </c>
      <c r="Z9" s="39" t="n">
        <f aca="false">'Asset Cash Flows'!Z139</f>
        <v>1832033.3670787</v>
      </c>
      <c r="AA9" s="39" t="n">
        <f aca="false">'Asset Cash Flows'!AA139</f>
        <v>1469481.08039293</v>
      </c>
      <c r="AB9" s="39" t="n">
        <f aca="false">'Asset Cash Flows'!AB139</f>
        <v>1137810.94283236</v>
      </c>
      <c r="AC9" s="39" t="n">
        <f aca="false">'Asset Cash Flows'!AC139</f>
        <v>834662.568065546</v>
      </c>
      <c r="AD9" s="39" t="n">
        <f aca="false">'Asset Cash Flows'!AD139</f>
        <v>557305.6077097</v>
      </c>
      <c r="AE9" s="39" t="n">
        <f aca="false">'Asset Cash Flows'!AE139</f>
        <v>303955.013049062</v>
      </c>
      <c r="AF9" s="39" t="n">
        <f aca="false">'Asset Cash Flows'!AF139</f>
        <v>72939.7401456769</v>
      </c>
      <c r="AG9" s="39" t="n">
        <f aca="false">'Asset Cash Flows'!AG139</f>
        <v>0</v>
      </c>
      <c r="AH9" s="39" t="n">
        <f aca="false">'Asset Cash Flows'!AH139</f>
        <v>0</v>
      </c>
      <c r="AI9" s="39" t="n">
        <f aca="false">'Asset Cash Flows'!AI139</f>
        <v>0</v>
      </c>
      <c r="AJ9" s="39" t="n">
        <f aca="false">'Asset Cash Flows'!AJ139</f>
        <v>0</v>
      </c>
      <c r="AK9" s="39" t="n">
        <f aca="false">'Asset Cash Flows'!AK139</f>
        <v>0</v>
      </c>
      <c r="AL9" s="39" t="n">
        <f aca="false">'Asset Cash Flows'!AL139</f>
        <v>0</v>
      </c>
      <c r="AM9" s="39" t="n">
        <f aca="false">'Asset Cash Flows'!AM139</f>
        <v>0</v>
      </c>
      <c r="AN9" s="39" t="n">
        <f aca="false">'Asset Cash Flows'!AN139</f>
        <v>0</v>
      </c>
    </row>
    <row r="10" customFormat="false" ht="15" hidden="false" customHeight="false" outlineLevel="0" collapsed="false">
      <c r="A10" s="5" t="s">
        <v>150</v>
      </c>
      <c r="E10" s="39" t="n">
        <f aca="false">MIN(E9,'Inputs &amp; Assumptions'!$C$36)</f>
        <v>37500</v>
      </c>
      <c r="F10" s="39" t="n">
        <f aca="false">MIN(F9,'Inputs &amp; Assumptions'!$C$36)</f>
        <v>37500</v>
      </c>
      <c r="G10" s="39" t="n">
        <f aca="false">MIN(G9,'Inputs &amp; Assumptions'!$C$36)</f>
        <v>37500</v>
      </c>
      <c r="H10" s="39" t="n">
        <f aca="false">MIN(H9,'Inputs &amp; Assumptions'!$C$36)</f>
        <v>37500</v>
      </c>
      <c r="I10" s="39" t="n">
        <f aca="false">MIN(I9,'Inputs &amp; Assumptions'!$C$36)</f>
        <v>37500</v>
      </c>
      <c r="J10" s="39" t="n">
        <f aca="false">MIN(J9,'Inputs &amp; Assumptions'!$C$36)</f>
        <v>37500</v>
      </c>
      <c r="K10" s="39" t="n">
        <f aca="false">MIN(K9,'Inputs &amp; Assumptions'!$C$36)</f>
        <v>37500</v>
      </c>
      <c r="L10" s="39" t="n">
        <f aca="false">MIN(L9,'Inputs &amp; Assumptions'!$C$36)</f>
        <v>37500</v>
      </c>
      <c r="M10" s="39" t="n">
        <f aca="false">MIN(M9,'Inputs &amp; Assumptions'!$C$36)</f>
        <v>37500</v>
      </c>
      <c r="N10" s="39" t="n">
        <f aca="false">MIN(N9,'Inputs &amp; Assumptions'!$C$36)</f>
        <v>37500</v>
      </c>
      <c r="O10" s="39" t="n">
        <f aca="false">MIN(O9,'Inputs &amp; Assumptions'!$C$36)</f>
        <v>37500</v>
      </c>
      <c r="P10" s="39" t="n">
        <f aca="false">MIN(P9,'Inputs &amp; Assumptions'!$C$36)</f>
        <v>37500</v>
      </c>
      <c r="Q10" s="39" t="n">
        <f aca="false">MIN(Q9,'Inputs &amp; Assumptions'!$C$36)</f>
        <v>37500</v>
      </c>
      <c r="R10" s="39" t="n">
        <f aca="false">MIN(R9,'Inputs &amp; Assumptions'!$C$36)</f>
        <v>37500</v>
      </c>
      <c r="S10" s="39" t="n">
        <f aca="false">MIN(S9,'Inputs &amp; Assumptions'!$C$36)</f>
        <v>37500</v>
      </c>
      <c r="T10" s="39" t="n">
        <f aca="false">MIN(T9,'Inputs &amp; Assumptions'!$C$36)</f>
        <v>37500</v>
      </c>
      <c r="U10" s="39" t="n">
        <f aca="false">MIN(U9,'Inputs &amp; Assumptions'!$C$36)</f>
        <v>37500</v>
      </c>
      <c r="V10" s="39" t="n">
        <f aca="false">MIN(V9,'Inputs &amp; Assumptions'!$C$36)</f>
        <v>37500</v>
      </c>
      <c r="W10" s="39" t="n">
        <f aca="false">MIN(W9,'Inputs &amp; Assumptions'!$C$36)</f>
        <v>37500</v>
      </c>
      <c r="X10" s="39" t="n">
        <f aca="false">MIN(X9,'Inputs &amp; Assumptions'!$C$36)</f>
        <v>37500</v>
      </c>
      <c r="Y10" s="39" t="n">
        <f aca="false">MIN(Y9,'Inputs &amp; Assumptions'!$C$36)</f>
        <v>37500</v>
      </c>
      <c r="Z10" s="39" t="n">
        <f aca="false">MIN(Z9,'Inputs &amp; Assumptions'!$C$36)</f>
        <v>37500</v>
      </c>
      <c r="AA10" s="39" t="n">
        <f aca="false">MIN(AA9,'Inputs &amp; Assumptions'!$C$36)</f>
        <v>37500</v>
      </c>
      <c r="AB10" s="39" t="n">
        <f aca="false">MIN(AB9,'Inputs &amp; Assumptions'!$C$36)</f>
        <v>37500</v>
      </c>
      <c r="AC10" s="39" t="n">
        <f aca="false">MIN(AC9,'Inputs &amp; Assumptions'!$C$36)</f>
        <v>37500</v>
      </c>
      <c r="AD10" s="39" t="n">
        <f aca="false">MIN(AD9,'Inputs &amp; Assumptions'!$C$36)</f>
        <v>37500</v>
      </c>
      <c r="AE10" s="39" t="n">
        <f aca="false">MIN(AE9,'Inputs &amp; Assumptions'!$C$36)</f>
        <v>37500</v>
      </c>
      <c r="AF10" s="39" t="n">
        <f aca="false">MIN(AF9,'Inputs &amp; Assumptions'!$C$36)</f>
        <v>37500</v>
      </c>
      <c r="AG10" s="39" t="n">
        <f aca="false">MIN(AG9,'Inputs &amp; Assumptions'!$C$36)</f>
        <v>0</v>
      </c>
      <c r="AH10" s="39" t="n">
        <f aca="false">MIN(AH9,'Inputs &amp; Assumptions'!$C$36)</f>
        <v>0</v>
      </c>
      <c r="AI10" s="39" t="n">
        <f aca="false">MIN(AI9,'Inputs &amp; Assumptions'!$C$36)</f>
        <v>0</v>
      </c>
      <c r="AJ10" s="39" t="n">
        <f aca="false">MIN(AJ9,'Inputs &amp; Assumptions'!$C$36)</f>
        <v>0</v>
      </c>
      <c r="AK10" s="39" t="n">
        <f aca="false">MIN(AK9,'Inputs &amp; Assumptions'!$C$36)</f>
        <v>0</v>
      </c>
      <c r="AL10" s="39" t="n">
        <f aca="false">MIN(AL9,'Inputs &amp; Assumptions'!$C$36)</f>
        <v>0</v>
      </c>
      <c r="AM10" s="39" t="n">
        <f aca="false">MIN(AM9,'Inputs &amp; Assumptions'!$C$36)</f>
        <v>0</v>
      </c>
      <c r="AN10" s="39" t="n">
        <f aca="false">MIN(AN9,'Inputs &amp; Assumptions'!$C$36)</f>
        <v>0</v>
      </c>
    </row>
    <row r="11" customFormat="false" ht="15" hidden="false" customHeight="false" outlineLevel="0" collapsed="false">
      <c r="A11" s="5" t="s">
        <v>151</v>
      </c>
      <c r="E11" s="39" t="n">
        <f aca="false">E9-E10</f>
        <v>10253077.2613315</v>
      </c>
      <c r="F11" s="39" t="n">
        <f aca="false">F9-F10</f>
        <v>9696629.95035017</v>
      </c>
      <c r="G11" s="39" t="n">
        <f aca="false">G9-G10</f>
        <v>9141341.24442638</v>
      </c>
      <c r="H11" s="39" t="n">
        <f aca="false">H9-H10</f>
        <v>8589806.30377498</v>
      </c>
      <c r="I11" s="39" t="n">
        <f aca="false">I9-I10</f>
        <v>8045566.33148184</v>
      </c>
      <c r="J11" s="39" t="n">
        <f aca="false">J9-J10</f>
        <v>7529119.94286761</v>
      </c>
      <c r="K11" s="39" t="n">
        <f aca="false">K9-K10</f>
        <v>7048628.02869272</v>
      </c>
      <c r="L11" s="39" t="n">
        <f aca="false">L9-L10</f>
        <v>6601836.45152665</v>
      </c>
      <c r="M11" s="39" t="n">
        <f aca="false">M9-M10</f>
        <v>6185707.20894852</v>
      </c>
      <c r="N11" s="39" t="n">
        <f aca="false">N9-N10</f>
        <v>5797781.62361711</v>
      </c>
      <c r="O11" s="39" t="n">
        <f aca="false">O9-O10</f>
        <v>5436446.49524267</v>
      </c>
      <c r="P11" s="39" t="n">
        <f aca="false">P9-P10</f>
        <v>5099984.54248067</v>
      </c>
      <c r="Q11" s="39" t="n">
        <f aca="false">Q9-Q10</f>
        <v>4785902.40597803</v>
      </c>
      <c r="R11" s="39" t="n">
        <f aca="false">R9-R10</f>
        <v>4492317.83926968</v>
      </c>
      <c r="S11" s="39" t="n">
        <f aca="false">S9-S10</f>
        <v>4218110.72525698</v>
      </c>
      <c r="T11" s="39" t="n">
        <f aca="false">T9-T10</f>
        <v>3962081.54603989</v>
      </c>
      <c r="U11" s="39" t="n">
        <f aca="false">U9-U10</f>
        <v>3722494.98938672</v>
      </c>
      <c r="V11" s="39" t="n">
        <f aca="false">V9-V10</f>
        <v>3498029.32963916</v>
      </c>
      <c r="W11" s="39" t="n">
        <f aca="false">W9-W10</f>
        <v>3091404.91290453</v>
      </c>
      <c r="X11" s="39" t="n">
        <f aca="false">X9-X10</f>
        <v>2621775.84703576</v>
      </c>
      <c r="Y11" s="39" t="n">
        <f aca="false">Y9-Y10</f>
        <v>2190300.13896586</v>
      </c>
      <c r="Z11" s="39" t="n">
        <f aca="false">Z9-Z10</f>
        <v>1794533.3670787</v>
      </c>
      <c r="AA11" s="39" t="n">
        <f aca="false">AA9-AA10</f>
        <v>1431981.08039293</v>
      </c>
      <c r="AB11" s="39" t="n">
        <f aca="false">AB9-AB10</f>
        <v>1100310.94283236</v>
      </c>
      <c r="AC11" s="39" t="n">
        <f aca="false">AC9-AC10</f>
        <v>797162.568065546</v>
      </c>
      <c r="AD11" s="39" t="n">
        <f aca="false">AD9-AD10</f>
        <v>519805.6077097</v>
      </c>
      <c r="AE11" s="39" t="n">
        <f aca="false">AE9-AE10</f>
        <v>266455.013049062</v>
      </c>
      <c r="AF11" s="39" t="n">
        <f aca="false">AF9-AF10</f>
        <v>35439.7401456769</v>
      </c>
      <c r="AG11" s="39" t="n">
        <f aca="false">AG9-AG10</f>
        <v>0</v>
      </c>
      <c r="AH11" s="39" t="n">
        <f aca="false">AH9-AH10</f>
        <v>0</v>
      </c>
      <c r="AI11" s="39" t="n">
        <f aca="false">AI9-AI10</f>
        <v>0</v>
      </c>
      <c r="AJ11" s="39" t="n">
        <f aca="false">AJ9-AJ10</f>
        <v>0</v>
      </c>
      <c r="AK11" s="39" t="n">
        <f aca="false">AK9-AK10</f>
        <v>0</v>
      </c>
      <c r="AL11" s="39" t="n">
        <f aca="false">AL9-AL10</f>
        <v>0</v>
      </c>
      <c r="AM11" s="39" t="n">
        <f aca="false">AM9-AM10</f>
        <v>0</v>
      </c>
      <c r="AN11" s="39" t="n">
        <f aca="false">AN9-AN10</f>
        <v>0</v>
      </c>
    </row>
    <row r="12" customFormat="false" ht="15" hidden="false" customHeight="false" outlineLevel="0" collapsed="false">
      <c r="A12" s="5" t="s">
        <v>152</v>
      </c>
      <c r="E12" s="39" t="n">
        <f aca="false">MIN(E11,E8)</f>
        <v>3679993.40901979</v>
      </c>
      <c r="F12" s="39" t="n">
        <f aca="false">MIN(F11,F8)</f>
        <v>3489039.3123889</v>
      </c>
      <c r="G12" s="39" t="n">
        <f aca="false">MIN(G11,G8)</f>
        <v>3296585.82079746</v>
      </c>
      <c r="H12" s="39" t="n">
        <f aca="false">MIN(H11,H8)</f>
        <v>3103514.56809759</v>
      </c>
      <c r="I12" s="39" t="n">
        <f aca="false">MIN(I11,I8)</f>
        <v>2910602.85377796</v>
      </c>
      <c r="J12" s="39" t="n">
        <f aca="false">MIN(J11,J8)</f>
        <v>2726152.55934865</v>
      </c>
      <c r="K12" s="39" t="n">
        <f aca="false">MIN(K11,K8)</f>
        <v>2553487.23420332</v>
      </c>
      <c r="L12" s="39" t="n">
        <f aca="false">MIN(L11,L8)</f>
        <v>2391786.42071803</v>
      </c>
      <c r="M12" s="39" t="n">
        <f aca="false">MIN(M11,M8)</f>
        <v>2240281.0992128</v>
      </c>
      <c r="N12" s="39" t="n">
        <f aca="false">MIN(N11,N8)</f>
        <v>2073957.17646698</v>
      </c>
      <c r="O12" s="39" t="n">
        <f aca="false">MIN(O11,O8)</f>
        <v>1917394.05127935</v>
      </c>
      <c r="P12" s="39" t="n">
        <f aca="false">MIN(P11,P8)</f>
        <v>1770263.28572623</v>
      </c>
      <c r="Q12" s="39" t="n">
        <f aca="false">MIN(Q11,Q8)</f>
        <v>1632111.81322793</v>
      </c>
      <c r="R12" s="39" t="n">
        <f aca="false">MIN(R11,R8)</f>
        <v>1502840.64815254</v>
      </c>
      <c r="S12" s="39" t="n">
        <f aca="false">MIN(S11,S8)</f>
        <v>1382083.81575709</v>
      </c>
      <c r="T12" s="39" t="n">
        <f aca="false">MIN(T11,T8)</f>
        <v>1269428.60341878</v>
      </c>
      <c r="U12" s="39" t="n">
        <f aca="false">MIN(U11,U8)</f>
        <v>1164393.53474419</v>
      </c>
      <c r="V12" s="39" t="n">
        <f aca="false">MIN(V11,V8)</f>
        <v>1066311.49985899</v>
      </c>
      <c r="W12" s="39" t="n">
        <f aca="false">MIN(W11,W8)</f>
        <v>893214.604131503</v>
      </c>
      <c r="X12" s="39" t="n">
        <f aca="false">MIN(X11,X8)</f>
        <v>694267.915039322</v>
      </c>
      <c r="Y12" s="39" t="n">
        <f aca="false">MIN(Y11,Y8)</f>
        <v>511412.130195537</v>
      </c>
      <c r="Z12" s="39" t="n">
        <f aca="false">MIN(Z11,Z8)</f>
        <v>343485.367017581</v>
      </c>
      <c r="AA12" s="39" t="n">
        <f aca="false">MIN(AA11,AA8)</f>
        <v>167344.004695054</v>
      </c>
      <c r="AB12" s="39" t="n">
        <f aca="false">MIN(AB11,AB8)</f>
        <v>5948.63373831806</v>
      </c>
      <c r="AC12" s="39" t="n">
        <f aca="false">MIN(AC11,AC8)</f>
        <v>0</v>
      </c>
      <c r="AD12" s="39" t="n">
        <f aca="false">MIN(AD11,AD8)</f>
        <v>0</v>
      </c>
      <c r="AE12" s="39" t="n">
        <f aca="false">MIN(AE11,AE8)</f>
        <v>0</v>
      </c>
      <c r="AF12" s="39" t="n">
        <f aca="false">MIN(AF11,AF8)</f>
        <v>0</v>
      </c>
      <c r="AG12" s="39" t="n">
        <f aca="false">MIN(AG11,AG8)</f>
        <v>0</v>
      </c>
      <c r="AH12" s="39" t="n">
        <f aca="false">MIN(AH11,AH8)</f>
        <v>0</v>
      </c>
      <c r="AI12" s="39" t="n">
        <f aca="false">MIN(AI11,AI8)</f>
        <v>0</v>
      </c>
      <c r="AJ12" s="39" t="n">
        <f aca="false">MIN(AJ11,AJ8)</f>
        <v>0</v>
      </c>
      <c r="AK12" s="39" t="n">
        <f aca="false">MIN(AK11,AK8)</f>
        <v>0</v>
      </c>
      <c r="AL12" s="39" t="n">
        <f aca="false">MIN(AL11,AL8)</f>
        <v>0</v>
      </c>
      <c r="AM12" s="39" t="n">
        <f aca="false">MIN(AM11,AM8)</f>
        <v>0</v>
      </c>
      <c r="AN12" s="39" t="n">
        <f aca="false">MIN(AN11,AN8)</f>
        <v>0</v>
      </c>
    </row>
    <row r="13" customFormat="false" ht="15" hidden="false" customHeight="false" outlineLevel="0" collapsed="false">
      <c r="A13" s="5" t="s">
        <v>153</v>
      </c>
      <c r="E13" s="39" t="n">
        <f aca="false">E11-E12</f>
        <v>6573083.85231172</v>
      </c>
      <c r="F13" s="39" t="n">
        <f aca="false">F11-F12</f>
        <v>6207590.63796128</v>
      </c>
      <c r="G13" s="39" t="n">
        <f aca="false">G11-G12</f>
        <v>5844755.42362892</v>
      </c>
      <c r="H13" s="39" t="n">
        <f aca="false">H11-H12</f>
        <v>5486291.73567739</v>
      </c>
      <c r="I13" s="39" t="n">
        <f aca="false">I11-I12</f>
        <v>5134963.47770388</v>
      </c>
      <c r="J13" s="39" t="n">
        <f aca="false">J11-J12</f>
        <v>4802967.38351896</v>
      </c>
      <c r="K13" s="39" t="n">
        <f aca="false">K11-K12</f>
        <v>4495140.7944894</v>
      </c>
      <c r="L13" s="39" t="n">
        <f aca="false">L11-L12</f>
        <v>4210050.03080861</v>
      </c>
      <c r="M13" s="39" t="n">
        <f aca="false">M11-M12</f>
        <v>3945426.10973572</v>
      </c>
      <c r="N13" s="39" t="n">
        <f aca="false">N11-N12</f>
        <v>3723824.44715013</v>
      </c>
      <c r="O13" s="39" t="n">
        <f aca="false">O11-O12</f>
        <v>3519052.44396332</v>
      </c>
      <c r="P13" s="39" t="n">
        <f aca="false">P11-P12</f>
        <v>3329721.25675444</v>
      </c>
      <c r="Q13" s="39" t="n">
        <f aca="false">Q11-Q12</f>
        <v>3153790.5927501</v>
      </c>
      <c r="R13" s="39" t="n">
        <f aca="false">R11-R12</f>
        <v>2989477.19111715</v>
      </c>
      <c r="S13" s="39" t="n">
        <f aca="false">S11-S12</f>
        <v>2836026.9094999</v>
      </c>
      <c r="T13" s="39" t="n">
        <f aca="false">T11-T12</f>
        <v>2692652.94262111</v>
      </c>
      <c r="U13" s="39" t="n">
        <f aca="false">U11-U12</f>
        <v>2558101.45464253</v>
      </c>
      <c r="V13" s="39" t="n">
        <f aca="false">V11-V12</f>
        <v>2431717.82978017</v>
      </c>
      <c r="W13" s="39" t="n">
        <f aca="false">W11-W12</f>
        <v>2198190.30877302</v>
      </c>
      <c r="X13" s="39" t="n">
        <f aca="false">X11-X12</f>
        <v>1927507.93199643</v>
      </c>
      <c r="Y13" s="39" t="n">
        <f aca="false">Y11-Y12</f>
        <v>1678888.00877033</v>
      </c>
      <c r="Z13" s="39" t="n">
        <f aca="false">Z11-Z12</f>
        <v>1451048.00006112</v>
      </c>
      <c r="AA13" s="39" t="n">
        <f aca="false">AA11-AA12</f>
        <v>1264637.07569788</v>
      </c>
      <c r="AB13" s="39" t="n">
        <f aca="false">AB11-AB12</f>
        <v>1094362.30909404</v>
      </c>
      <c r="AC13" s="39" t="n">
        <f aca="false">AC11-AC12</f>
        <v>797162.568065546</v>
      </c>
      <c r="AD13" s="39" t="n">
        <f aca="false">AD11-AD12</f>
        <v>519805.6077097</v>
      </c>
      <c r="AE13" s="39" t="n">
        <f aca="false">AE11-AE12</f>
        <v>266455.013049062</v>
      </c>
      <c r="AF13" s="39" t="n">
        <f aca="false">AF11-AF12</f>
        <v>35439.7401456769</v>
      </c>
      <c r="AG13" s="39" t="n">
        <f aca="false">AG11-AG12</f>
        <v>0</v>
      </c>
      <c r="AH13" s="39" t="n">
        <f aca="false">AH11-AH12</f>
        <v>0</v>
      </c>
      <c r="AI13" s="39" t="n">
        <f aca="false">AI11-AI12</f>
        <v>0</v>
      </c>
      <c r="AJ13" s="39" t="n">
        <f aca="false">AJ11-AJ12</f>
        <v>0</v>
      </c>
      <c r="AK13" s="39" t="n">
        <f aca="false">AK11-AK12</f>
        <v>0</v>
      </c>
      <c r="AL13" s="39" t="n">
        <f aca="false">AL11-AL12</f>
        <v>0</v>
      </c>
      <c r="AM13" s="39" t="n">
        <f aca="false">AM11-AM12</f>
        <v>0</v>
      </c>
      <c r="AN13" s="39" t="n">
        <f aca="false">AN11-AN12</f>
        <v>0</v>
      </c>
    </row>
    <row r="14" customFormat="false" ht="15" hidden="false" customHeight="false" outlineLevel="0" collapsed="false">
      <c r="A14" s="5" t="s">
        <v>154</v>
      </c>
      <c r="E14" s="39" t="n">
        <f aca="false">E8-E12</f>
        <v>0</v>
      </c>
      <c r="F14" s="39" t="n">
        <f aca="false">F8-F12</f>
        <v>0</v>
      </c>
      <c r="G14" s="39" t="n">
        <f aca="false">G8-G12</f>
        <v>0</v>
      </c>
      <c r="H14" s="39" t="n">
        <f aca="false">H8-H12</f>
        <v>0</v>
      </c>
      <c r="I14" s="39" t="n">
        <f aca="false">I8-I12</f>
        <v>0</v>
      </c>
      <c r="J14" s="39" t="n">
        <f aca="false">J8-J12</f>
        <v>0</v>
      </c>
      <c r="K14" s="39" t="n">
        <f aca="false">K8-K12</f>
        <v>0</v>
      </c>
      <c r="L14" s="39" t="n">
        <f aca="false">L8-L12</f>
        <v>0</v>
      </c>
      <c r="M14" s="39" t="n">
        <f aca="false">M8-M12</f>
        <v>0</v>
      </c>
      <c r="N14" s="39" t="n">
        <f aca="false">N8-N12</f>
        <v>0</v>
      </c>
      <c r="O14" s="39" t="n">
        <f aca="false">O8-O12</f>
        <v>0</v>
      </c>
      <c r="P14" s="39" t="n">
        <f aca="false">P8-P12</f>
        <v>0</v>
      </c>
      <c r="Q14" s="39" t="n">
        <f aca="false">Q8-Q12</f>
        <v>0</v>
      </c>
      <c r="R14" s="39" t="n">
        <f aca="false">R8-R12</f>
        <v>0</v>
      </c>
      <c r="S14" s="39" t="n">
        <f aca="false">S8-S12</f>
        <v>0</v>
      </c>
      <c r="T14" s="39" t="n">
        <f aca="false">T8-T12</f>
        <v>0</v>
      </c>
      <c r="U14" s="39" t="n">
        <f aca="false">U8-U12</f>
        <v>0</v>
      </c>
      <c r="V14" s="39" t="n">
        <f aca="false">V8-V12</f>
        <v>0</v>
      </c>
      <c r="W14" s="39" t="n">
        <f aca="false">W8-W12</f>
        <v>0</v>
      </c>
      <c r="X14" s="39" t="n">
        <f aca="false">X8-X12</f>
        <v>0</v>
      </c>
      <c r="Y14" s="39" t="n">
        <f aca="false">Y8-Y12</f>
        <v>0</v>
      </c>
      <c r="Z14" s="39" t="n">
        <f aca="false">Z8-Z12</f>
        <v>0</v>
      </c>
      <c r="AA14" s="39" t="n">
        <f aca="false">AA8-AA12</f>
        <v>0</v>
      </c>
      <c r="AB14" s="39" t="n">
        <f aca="false">AB8-AB12</f>
        <v>0</v>
      </c>
      <c r="AC14" s="39" t="n">
        <f aca="false">AC8-AC12</f>
        <v>0</v>
      </c>
      <c r="AD14" s="39" t="n">
        <f aca="false">AD8-AD12</f>
        <v>0</v>
      </c>
      <c r="AE14" s="39" t="n">
        <f aca="false">AE8-AE12</f>
        <v>0</v>
      </c>
      <c r="AF14" s="39" t="n">
        <f aca="false">AF8-AF12</f>
        <v>0</v>
      </c>
      <c r="AG14" s="39" t="n">
        <f aca="false">AG8-AG12</f>
        <v>0</v>
      </c>
      <c r="AH14" s="39" t="n">
        <f aca="false">AH8-AH12</f>
        <v>0</v>
      </c>
      <c r="AI14" s="39" t="n">
        <f aca="false">AI8-AI12</f>
        <v>0</v>
      </c>
      <c r="AJ14" s="39" t="n">
        <f aca="false">AJ8-AJ12</f>
        <v>0</v>
      </c>
      <c r="AK14" s="39" t="n">
        <f aca="false">AK8-AK12</f>
        <v>0</v>
      </c>
      <c r="AL14" s="39" t="n">
        <f aca="false">AL8-AL12</f>
        <v>0</v>
      </c>
      <c r="AM14" s="39" t="n">
        <f aca="false">AM8-AM12</f>
        <v>0</v>
      </c>
      <c r="AN14" s="39" t="n">
        <f aca="false">AN8-AN12</f>
        <v>0</v>
      </c>
    </row>
    <row r="15" customFormat="false" ht="15" hidden="false" customHeight="false" outlineLevel="0" collapsed="false">
      <c r="A15" s="14" t="s">
        <v>155</v>
      </c>
      <c r="E15" s="18" t="n">
        <f aca="false">IF('Asset Cash Flows'!E133&gt;0,E6/'Asset Cash Flows'!E133,0)</f>
        <v>0.6</v>
      </c>
      <c r="F15" s="18" t="n">
        <f aca="false">IF('Asset Cash Flows'!F133&gt;0,F6/'Asset Cash Flows'!F133,0)</f>
        <v>0.60128488059812</v>
      </c>
      <c r="G15" s="18" t="n">
        <f aca="false">IF('Asset Cash Flows'!G133&gt;0,G6/'Asset Cash Flows'!G133,0)</f>
        <v>0.602448696720308</v>
      </c>
      <c r="H15" s="18" t="n">
        <f aca="false">IF('Asset Cash Flows'!H133&gt;0,H6/'Asset Cash Flows'!H133,0)</f>
        <v>0.603413956816919</v>
      </c>
      <c r="I15" s="18" t="n">
        <f aca="false">IF('Asset Cash Flows'!I133&gt;0,I6/'Asset Cash Flows'!I133,0)</f>
        <v>0.604126741036612</v>
      </c>
      <c r="J15" s="18" t="n">
        <f aca="false">IF('Asset Cash Flows'!J133&gt;0,J6/'Asset Cash Flows'!J133,0)</f>
        <v>0.604650340675248</v>
      </c>
      <c r="K15" s="18" t="n">
        <f aca="false">IF('Asset Cash Flows'!K133&gt;0,K6/'Asset Cash Flows'!K133,0)</f>
        <v>0.605009311806415</v>
      </c>
      <c r="L15" s="18" t="n">
        <f aca="false">IF('Asset Cash Flows'!L133&gt;0,L6/'Asset Cash Flows'!L133,0)</f>
        <v>0.605123041300763</v>
      </c>
      <c r="M15" s="18" t="n">
        <f aca="false">IF('Asset Cash Flows'!M133&gt;0,M6/'Asset Cash Flows'!M133,0)</f>
        <v>0.604934183575439</v>
      </c>
      <c r="N15" s="18" t="n">
        <f aca="false">IF('Asset Cash Flows'!N133&gt;0,N6/'Asset Cash Flows'!N133,0)</f>
        <v>0.597469598837229</v>
      </c>
      <c r="O15" s="18" t="n">
        <f aca="false">IF('Asset Cash Flows'!O133&gt;0,O6/'Asset Cash Flows'!O133,0)</f>
        <v>0.589087548874689</v>
      </c>
      <c r="P15" s="18" t="n">
        <f aca="false">IF('Asset Cash Flows'!P133&gt;0,P6/'Asset Cash Flows'!P133,0)</f>
        <v>0.579785838107794</v>
      </c>
      <c r="Q15" s="18" t="n">
        <f aca="false">IF('Asset Cash Flows'!Q133&gt;0,Q6/'Asset Cash Flows'!Q133,0)</f>
        <v>0.569547131308072</v>
      </c>
      <c r="R15" s="18" t="n">
        <f aca="false">IF('Asset Cash Flows'!R133&gt;0,R6/'Asset Cash Flows'!R133,0)</f>
        <v>0.558585587826773</v>
      </c>
      <c r="S15" s="18" t="n">
        <f aca="false">IF('Asset Cash Flows'!S133&gt;0,S6/'Asset Cash Flows'!S133,0)</f>
        <v>0.546995725242546</v>
      </c>
      <c r="T15" s="18" t="n">
        <f aca="false">IF('Asset Cash Flows'!T133&gt;0,T6/'Asset Cash Flows'!T133,0)</f>
        <v>0.534781867871539</v>
      </c>
      <c r="U15" s="18" t="n">
        <f aca="false">IF('Asset Cash Flows'!U133&gt;0,U6/'Asset Cash Flows'!U133,0)</f>
        <v>0.521933915232904</v>
      </c>
      <c r="V15" s="18" t="n">
        <f aca="false">IF('Asset Cash Flows'!V133&gt;0,V6/'Asset Cash Flows'!V133,0)</f>
        <v>0.508425255457898</v>
      </c>
      <c r="W15" s="18" t="n">
        <f aca="false">IF('Asset Cash Flows'!W133&gt;0,W6/'Asset Cash Flows'!W133,0)</f>
        <v>0.481323882960386</v>
      </c>
      <c r="X15" s="18" t="n">
        <f aca="false">IF('Asset Cash Flows'!X133&gt;0,X6/'Asset Cash Flows'!X133,0)</f>
        <v>0.44026846026148</v>
      </c>
      <c r="Y15" s="18" t="n">
        <f aca="false">IF('Asset Cash Flows'!Y133&gt;0,Y6/'Asset Cash Flows'!Y133,0)</f>
        <v>0.387169493592023</v>
      </c>
      <c r="Z15" s="18" t="n">
        <f aca="false">IF('Asset Cash Flows'!Z133&gt;0,Z6/'Asset Cash Flows'!Z133,0)</f>
        <v>0.316243401218541</v>
      </c>
      <c r="AA15" s="18" t="n">
        <f aca="false">IF('Asset Cash Flows'!AA133&gt;0,AA6/'Asset Cash Flows'!AA133,0)</f>
        <v>0.192109277418125</v>
      </c>
      <c r="AB15" s="18" t="n">
        <f aca="false">IF('Asset Cash Flows'!AB133&gt;0,AB6/'Asset Cash Flows'!AB133,0)</f>
        <v>0.00882126105284846</v>
      </c>
      <c r="AC15" s="18" t="n">
        <f aca="false">IF('Asset Cash Flows'!AC133&gt;0,AC6/'Asset Cash Flows'!AC133,0)</f>
        <v>0</v>
      </c>
      <c r="AD15" s="18" t="n">
        <f aca="false">IF('Asset Cash Flows'!AD133&gt;0,AD6/'Asset Cash Flows'!AD133,0)</f>
        <v>0</v>
      </c>
      <c r="AE15" s="18" t="n">
        <f aca="false">IF('Asset Cash Flows'!AE133&gt;0,AE6/'Asset Cash Flows'!AE133,0)</f>
        <v>0</v>
      </c>
      <c r="AF15" s="18" t="n">
        <f aca="false">IF('Asset Cash Flows'!AF133&gt;0,AF6/'Asset Cash Flows'!AF133,0)</f>
        <v>0</v>
      </c>
      <c r="AG15" s="18" t="n">
        <f aca="false">IF('Asset Cash Flows'!AG133&gt;0,AG6/'Asset Cash Flows'!AG133,0)</f>
        <v>0</v>
      </c>
      <c r="AH15" s="18" t="n">
        <f aca="false">IF('Asset Cash Flows'!AH133&gt;0,AH6/'Asset Cash Flows'!AH133,0)</f>
        <v>0</v>
      </c>
      <c r="AI15" s="18" t="n">
        <f aca="false">IF('Asset Cash Flows'!AI133&gt;0,AI6/'Asset Cash Flows'!AI133,0)</f>
        <v>0</v>
      </c>
      <c r="AJ15" s="18" t="n">
        <f aca="false">IF('Asset Cash Flows'!AJ133&gt;0,AJ6/'Asset Cash Flows'!AJ133,0)</f>
        <v>0</v>
      </c>
      <c r="AK15" s="18" t="n">
        <f aca="false">IF('Asset Cash Flows'!AK133&gt;0,AK6/'Asset Cash Flows'!AK133,0)</f>
        <v>0</v>
      </c>
      <c r="AL15" s="18" t="n">
        <f aca="false">IF('Asset Cash Flows'!AL133&gt;0,AL6/'Asset Cash Flows'!AL133,0)</f>
        <v>0</v>
      </c>
      <c r="AM15" s="18" t="n">
        <f aca="false">IF('Asset Cash Flows'!AM133&gt;0,AM6/'Asset Cash Flows'!AM133,0)</f>
        <v>0</v>
      </c>
      <c r="AN15" s="18" t="n">
        <f aca="false">IF('Asset Cash Flows'!AN133&gt;0,AN6/'Asset Cash Flows'!AN133,0)</f>
        <v>0</v>
      </c>
    </row>
    <row r="16" customFormat="false" ht="15" hidden="false" customHeight="false" outlineLevel="0" collapsed="false">
      <c r="A16" s="5" t="s">
        <v>156</v>
      </c>
      <c r="E16" s="39" t="n">
        <f aca="false">MAX(0,E6-'Inputs &amp; Assumptions'!$C$31*'Asset Cash Flows'!E133)</f>
        <v>0</v>
      </c>
      <c r="F16" s="39" t="n">
        <f aca="false">MAX(0,F6-'Inputs &amp; Assumptions'!$C$31*'Asset Cash Flows'!F133)</f>
        <v>0</v>
      </c>
      <c r="G16" s="39" t="n">
        <f aca="false">MAX(0,G6-'Inputs &amp; Assumptions'!$C$31*'Asset Cash Flows'!G133)</f>
        <v>0</v>
      </c>
      <c r="H16" s="39" t="n">
        <f aca="false">MAX(0,H6-'Inputs &amp; Assumptions'!$C$31*'Asset Cash Flows'!H133)</f>
        <v>0</v>
      </c>
      <c r="I16" s="39" t="n">
        <f aca="false">MAX(0,I6-'Inputs &amp; Assumptions'!$C$31*'Asset Cash Flows'!I133)</f>
        <v>0</v>
      </c>
      <c r="J16" s="39" t="n">
        <f aca="false">MAX(0,J6-'Inputs &amp; Assumptions'!$C$31*'Asset Cash Flows'!J133)</f>
        <v>0</v>
      </c>
      <c r="K16" s="39" t="n">
        <f aca="false">MAX(0,K6-'Inputs &amp; Assumptions'!$C$31*'Asset Cash Flows'!K133)</f>
        <v>0</v>
      </c>
      <c r="L16" s="39" t="n">
        <f aca="false">MAX(0,L6-'Inputs &amp; Assumptions'!$C$31*'Asset Cash Flows'!L133)</f>
        <v>0</v>
      </c>
      <c r="M16" s="39" t="n">
        <f aca="false">MAX(0,M6-'Inputs &amp; Assumptions'!$C$31*'Asset Cash Flows'!M133)</f>
        <v>0</v>
      </c>
      <c r="N16" s="39" t="n">
        <f aca="false">MAX(0,N6-'Inputs &amp; Assumptions'!$C$31*'Asset Cash Flows'!N133)</f>
        <v>0</v>
      </c>
      <c r="O16" s="39" t="n">
        <f aca="false">MAX(0,O6-'Inputs &amp; Assumptions'!$C$31*'Asset Cash Flows'!O133)</f>
        <v>0</v>
      </c>
      <c r="P16" s="39" t="n">
        <f aca="false">MAX(0,P6-'Inputs &amp; Assumptions'!$C$31*'Asset Cash Flows'!P133)</f>
        <v>0</v>
      </c>
      <c r="Q16" s="39" t="n">
        <f aca="false">MAX(0,Q6-'Inputs &amp; Assumptions'!$C$31*'Asset Cash Flows'!Q133)</f>
        <v>0</v>
      </c>
      <c r="R16" s="39" t="n">
        <f aca="false">MAX(0,R6-'Inputs &amp; Assumptions'!$C$31*'Asset Cash Flows'!R133)</f>
        <v>0</v>
      </c>
      <c r="S16" s="39" t="n">
        <f aca="false">MAX(0,S6-'Inputs &amp; Assumptions'!$C$31*'Asset Cash Flows'!S133)</f>
        <v>0</v>
      </c>
      <c r="T16" s="39" t="n">
        <f aca="false">MAX(0,T6-'Inputs &amp; Assumptions'!$C$31*'Asset Cash Flows'!T133)</f>
        <v>0</v>
      </c>
      <c r="U16" s="39" t="n">
        <f aca="false">MAX(0,U6-'Inputs &amp; Assumptions'!$C$31*'Asset Cash Flows'!U133)</f>
        <v>0</v>
      </c>
      <c r="V16" s="39" t="n">
        <f aca="false">MAX(0,V6-'Inputs &amp; Assumptions'!$C$31*'Asset Cash Flows'!V133)</f>
        <v>0</v>
      </c>
      <c r="W16" s="39" t="n">
        <f aca="false">MAX(0,W6-'Inputs &amp; Assumptions'!$C$31*'Asset Cash Flows'!W133)</f>
        <v>0</v>
      </c>
      <c r="X16" s="39" t="n">
        <f aca="false">MAX(0,X6-'Inputs &amp; Assumptions'!$C$31*'Asset Cash Flows'!X133)</f>
        <v>0</v>
      </c>
      <c r="Y16" s="39" t="n">
        <f aca="false">MAX(0,Y6-'Inputs &amp; Assumptions'!$C$31*'Asset Cash Flows'!Y133)</f>
        <v>0</v>
      </c>
      <c r="Z16" s="39" t="n">
        <f aca="false">MAX(0,Z6-'Inputs &amp; Assumptions'!$C$31*'Asset Cash Flows'!Z133)</f>
        <v>0</v>
      </c>
      <c r="AA16" s="39" t="n">
        <f aca="false">MAX(0,AA6-'Inputs &amp; Assumptions'!$C$31*'Asset Cash Flows'!AA133)</f>
        <v>0</v>
      </c>
      <c r="AB16" s="39" t="n">
        <f aca="false">MAX(0,AB6-'Inputs &amp; Assumptions'!$C$31*'Asset Cash Flows'!AB133)</f>
        <v>0</v>
      </c>
      <c r="AC16" s="39" t="n">
        <f aca="false">MAX(0,AC6-'Inputs &amp; Assumptions'!$C$31*'Asset Cash Flows'!AC133)</f>
        <v>0</v>
      </c>
      <c r="AD16" s="39" t="n">
        <f aca="false">MAX(0,AD6-'Inputs &amp; Assumptions'!$C$31*'Asset Cash Flows'!AD133)</f>
        <v>0</v>
      </c>
      <c r="AE16" s="39" t="n">
        <f aca="false">MAX(0,AE6-'Inputs &amp; Assumptions'!$C$31*'Asset Cash Flows'!AE133)</f>
        <v>0</v>
      </c>
      <c r="AF16" s="39" t="n">
        <f aca="false">MAX(0,AF6-'Inputs &amp; Assumptions'!$C$31*'Asset Cash Flows'!AF133)</f>
        <v>0</v>
      </c>
      <c r="AG16" s="39" t="n">
        <f aca="false">MAX(0,AG6-'Inputs &amp; Assumptions'!$C$31*'Asset Cash Flows'!AG133)</f>
        <v>0</v>
      </c>
      <c r="AH16" s="39" t="n">
        <f aca="false">MAX(0,AH6-'Inputs &amp; Assumptions'!$C$31*'Asset Cash Flows'!AH133)</f>
        <v>0</v>
      </c>
      <c r="AI16" s="39" t="n">
        <f aca="false">MAX(0,AI6-'Inputs &amp; Assumptions'!$C$31*'Asset Cash Flows'!AI133)</f>
        <v>0</v>
      </c>
      <c r="AJ16" s="39" t="n">
        <f aca="false">MAX(0,AJ6-'Inputs &amp; Assumptions'!$C$31*'Asset Cash Flows'!AJ133)</f>
        <v>0</v>
      </c>
      <c r="AK16" s="39" t="n">
        <f aca="false">MAX(0,AK6-'Inputs &amp; Assumptions'!$C$31*'Asset Cash Flows'!AK133)</f>
        <v>0</v>
      </c>
      <c r="AL16" s="39" t="n">
        <f aca="false">MAX(0,AL6-'Inputs &amp; Assumptions'!$C$31*'Asset Cash Flows'!AL133)</f>
        <v>0</v>
      </c>
      <c r="AM16" s="39" t="n">
        <f aca="false">MAX(0,AM6-'Inputs &amp; Assumptions'!$C$31*'Asset Cash Flows'!AM133)</f>
        <v>0</v>
      </c>
      <c r="AN16" s="39" t="n">
        <f aca="false">MAX(0,AN6-'Inputs &amp; Assumptions'!$C$31*'Asset Cash Flows'!AN133)</f>
        <v>0</v>
      </c>
    </row>
    <row r="17" customFormat="false" ht="15" hidden="false" customHeight="false" outlineLevel="0" collapsed="false">
      <c r="A17" s="5" t="s">
        <v>157</v>
      </c>
      <c r="E17" s="39" t="n">
        <f aca="false">MIN(E13,E16)</f>
        <v>0</v>
      </c>
      <c r="F17" s="39" t="n">
        <f aca="false">MIN(F13,F16)</f>
        <v>0</v>
      </c>
      <c r="G17" s="39" t="n">
        <f aca="false">MIN(G13,G16)</f>
        <v>0</v>
      </c>
      <c r="H17" s="39" t="n">
        <f aca="false">MIN(H13,H16)</f>
        <v>0</v>
      </c>
      <c r="I17" s="39" t="n">
        <f aca="false">MIN(I13,I16)</f>
        <v>0</v>
      </c>
      <c r="J17" s="39" t="n">
        <f aca="false">MIN(J13,J16)</f>
        <v>0</v>
      </c>
      <c r="K17" s="39" t="n">
        <f aca="false">MIN(K13,K16)</f>
        <v>0</v>
      </c>
      <c r="L17" s="39" t="n">
        <f aca="false">MIN(L13,L16)</f>
        <v>0</v>
      </c>
      <c r="M17" s="39" t="n">
        <f aca="false">MIN(M13,M16)</f>
        <v>0</v>
      </c>
      <c r="N17" s="39" t="n">
        <f aca="false">MIN(N13,N16)</f>
        <v>0</v>
      </c>
      <c r="O17" s="39" t="n">
        <f aca="false">MIN(O13,O16)</f>
        <v>0</v>
      </c>
      <c r="P17" s="39" t="n">
        <f aca="false">MIN(P13,P16)</f>
        <v>0</v>
      </c>
      <c r="Q17" s="39" t="n">
        <f aca="false">MIN(Q13,Q16)</f>
        <v>0</v>
      </c>
      <c r="R17" s="39" t="n">
        <f aca="false">MIN(R13,R16)</f>
        <v>0</v>
      </c>
      <c r="S17" s="39" t="n">
        <f aca="false">MIN(S13,S16)</f>
        <v>0</v>
      </c>
      <c r="T17" s="39" t="n">
        <f aca="false">MIN(T13,T16)</f>
        <v>0</v>
      </c>
      <c r="U17" s="39" t="n">
        <f aca="false">MIN(U13,U16)</f>
        <v>0</v>
      </c>
      <c r="V17" s="39" t="n">
        <f aca="false">MIN(V13,V16)</f>
        <v>0</v>
      </c>
      <c r="W17" s="39" t="n">
        <f aca="false">MIN(W13,W16)</f>
        <v>0</v>
      </c>
      <c r="X17" s="39" t="n">
        <f aca="false">MIN(X13,X16)</f>
        <v>0</v>
      </c>
      <c r="Y17" s="39" t="n">
        <f aca="false">MIN(Y13,Y16)</f>
        <v>0</v>
      </c>
      <c r="Z17" s="39" t="n">
        <f aca="false">MIN(Z13,Z16)</f>
        <v>0</v>
      </c>
      <c r="AA17" s="39" t="n">
        <f aca="false">MIN(AA13,AA16)</f>
        <v>0</v>
      </c>
      <c r="AB17" s="39" t="n">
        <f aca="false">MIN(AB13,AB16)</f>
        <v>0</v>
      </c>
      <c r="AC17" s="39" t="n">
        <f aca="false">MIN(AC13,AC16)</f>
        <v>0</v>
      </c>
      <c r="AD17" s="39" t="n">
        <f aca="false">MIN(AD13,AD16)</f>
        <v>0</v>
      </c>
      <c r="AE17" s="39" t="n">
        <f aca="false">MIN(AE13,AE16)</f>
        <v>0</v>
      </c>
      <c r="AF17" s="39" t="n">
        <f aca="false">MIN(AF13,AF16)</f>
        <v>0</v>
      </c>
      <c r="AG17" s="39" t="n">
        <f aca="false">MIN(AG13,AG16)</f>
        <v>0</v>
      </c>
      <c r="AH17" s="39" t="n">
        <f aca="false">MIN(AH13,AH16)</f>
        <v>0</v>
      </c>
      <c r="AI17" s="39" t="n">
        <f aca="false">MIN(AI13,AI16)</f>
        <v>0</v>
      </c>
      <c r="AJ17" s="39" t="n">
        <f aca="false">MIN(AJ13,AJ16)</f>
        <v>0</v>
      </c>
      <c r="AK17" s="39" t="n">
        <f aca="false">MIN(AK13,AK16)</f>
        <v>0</v>
      </c>
      <c r="AL17" s="39" t="n">
        <f aca="false">MIN(AL13,AL16)</f>
        <v>0</v>
      </c>
      <c r="AM17" s="39" t="n">
        <f aca="false">MIN(AM13,AM16)</f>
        <v>0</v>
      </c>
      <c r="AN17" s="39" t="n">
        <f aca="false">MIN(AN13,AN16)</f>
        <v>0</v>
      </c>
    </row>
    <row r="18" customFormat="false" ht="15" hidden="false" customHeight="false" outlineLevel="0" collapsed="false">
      <c r="A18" s="5" t="s">
        <v>158</v>
      </c>
      <c r="E18" s="39" t="n">
        <f aca="false">E13-E17</f>
        <v>6573083.85231172</v>
      </c>
      <c r="F18" s="39" t="n">
        <f aca="false">F13-F17</f>
        <v>6207590.63796128</v>
      </c>
      <c r="G18" s="39" t="n">
        <f aca="false">G13-G17</f>
        <v>5844755.42362892</v>
      </c>
      <c r="H18" s="39" t="n">
        <f aca="false">H13-H17</f>
        <v>5486291.73567739</v>
      </c>
      <c r="I18" s="39" t="n">
        <f aca="false">I13-I17</f>
        <v>5134963.47770388</v>
      </c>
      <c r="J18" s="39" t="n">
        <f aca="false">J13-J17</f>
        <v>4802967.38351896</v>
      </c>
      <c r="K18" s="39" t="n">
        <f aca="false">K13-K17</f>
        <v>4495140.7944894</v>
      </c>
      <c r="L18" s="39" t="n">
        <f aca="false">L13-L17</f>
        <v>4210050.03080861</v>
      </c>
      <c r="M18" s="39" t="n">
        <f aca="false">M13-M17</f>
        <v>3945426.10973572</v>
      </c>
      <c r="N18" s="39" t="n">
        <f aca="false">N13-N17</f>
        <v>3723824.44715013</v>
      </c>
      <c r="O18" s="39" t="n">
        <f aca="false">O13-O17</f>
        <v>3519052.44396332</v>
      </c>
      <c r="P18" s="39" t="n">
        <f aca="false">P13-P17</f>
        <v>3329721.25675444</v>
      </c>
      <c r="Q18" s="39" t="n">
        <f aca="false">Q13-Q17</f>
        <v>3153790.5927501</v>
      </c>
      <c r="R18" s="39" t="n">
        <f aca="false">R13-R17</f>
        <v>2989477.19111715</v>
      </c>
      <c r="S18" s="39" t="n">
        <f aca="false">S13-S17</f>
        <v>2836026.9094999</v>
      </c>
      <c r="T18" s="39" t="n">
        <f aca="false">T13-T17</f>
        <v>2692652.94262111</v>
      </c>
      <c r="U18" s="39" t="n">
        <f aca="false">U13-U17</f>
        <v>2558101.45464253</v>
      </c>
      <c r="V18" s="39" t="n">
        <f aca="false">V13-V17</f>
        <v>2431717.82978017</v>
      </c>
      <c r="W18" s="39" t="n">
        <f aca="false">W13-W17</f>
        <v>2198190.30877302</v>
      </c>
      <c r="X18" s="39" t="n">
        <f aca="false">X13-X17</f>
        <v>1927507.93199643</v>
      </c>
      <c r="Y18" s="39" t="n">
        <f aca="false">Y13-Y17</f>
        <v>1678888.00877033</v>
      </c>
      <c r="Z18" s="39" t="n">
        <f aca="false">Z13-Z17</f>
        <v>1451048.00006112</v>
      </c>
      <c r="AA18" s="39" t="n">
        <f aca="false">AA13-AA17</f>
        <v>1264637.07569788</v>
      </c>
      <c r="AB18" s="39" t="n">
        <f aca="false">AB13-AB17</f>
        <v>1094362.30909404</v>
      </c>
      <c r="AC18" s="39" t="n">
        <f aca="false">AC13-AC17</f>
        <v>797162.568065546</v>
      </c>
      <c r="AD18" s="39" t="n">
        <f aca="false">AD13-AD17</f>
        <v>519805.6077097</v>
      </c>
      <c r="AE18" s="39" t="n">
        <f aca="false">AE13-AE17</f>
        <v>266455.013049062</v>
      </c>
      <c r="AF18" s="39" t="n">
        <f aca="false">AF13-AF17</f>
        <v>35439.7401456769</v>
      </c>
      <c r="AG18" s="39" t="n">
        <f aca="false">AG13-AG17</f>
        <v>0</v>
      </c>
      <c r="AH18" s="39" t="n">
        <f aca="false">AH13-AH17</f>
        <v>0</v>
      </c>
      <c r="AI18" s="39" t="n">
        <f aca="false">AI13-AI17</f>
        <v>0</v>
      </c>
      <c r="AJ18" s="39" t="n">
        <f aca="false">AJ13-AJ17</f>
        <v>0</v>
      </c>
      <c r="AK18" s="39" t="n">
        <f aca="false">AK13-AK17</f>
        <v>0</v>
      </c>
      <c r="AL18" s="39" t="n">
        <f aca="false">AL13-AL17</f>
        <v>0</v>
      </c>
      <c r="AM18" s="39" t="n">
        <f aca="false">AM13-AM17</f>
        <v>0</v>
      </c>
      <c r="AN18" s="39" t="n">
        <f aca="false">AN13-AN17</f>
        <v>0</v>
      </c>
    </row>
    <row r="19" customFormat="false" ht="15" hidden="false" customHeight="false" outlineLevel="0" collapsed="false">
      <c r="A19" s="5" t="s">
        <v>159</v>
      </c>
      <c r="E19" s="39" t="n">
        <f aca="false">E18</f>
        <v>6573083.85231172</v>
      </c>
      <c r="F19" s="39" t="n">
        <f aca="false">F18</f>
        <v>6207590.63796128</v>
      </c>
      <c r="G19" s="39" t="n">
        <f aca="false">G18</f>
        <v>5844755.42362892</v>
      </c>
      <c r="H19" s="39" t="n">
        <f aca="false">H18</f>
        <v>5486291.73567739</v>
      </c>
      <c r="I19" s="39" t="n">
        <f aca="false">I18</f>
        <v>5134963.47770388</v>
      </c>
      <c r="J19" s="39" t="n">
        <f aca="false">J18</f>
        <v>4802967.38351896</v>
      </c>
      <c r="K19" s="39" t="n">
        <f aca="false">K18</f>
        <v>4495140.7944894</v>
      </c>
      <c r="L19" s="39" t="n">
        <f aca="false">L18</f>
        <v>4210050.03080861</v>
      </c>
      <c r="M19" s="39" t="n">
        <f aca="false">M18</f>
        <v>3945426.10973572</v>
      </c>
      <c r="N19" s="39" t="n">
        <f aca="false">N18</f>
        <v>3723824.44715013</v>
      </c>
      <c r="O19" s="39" t="n">
        <f aca="false">O18</f>
        <v>3519052.44396332</v>
      </c>
      <c r="P19" s="39" t="n">
        <f aca="false">P18</f>
        <v>3329721.25675444</v>
      </c>
      <c r="Q19" s="39" t="n">
        <f aca="false">Q18</f>
        <v>3153790.5927501</v>
      </c>
      <c r="R19" s="39" t="n">
        <f aca="false">R18</f>
        <v>2989477.19111715</v>
      </c>
      <c r="S19" s="39" t="n">
        <f aca="false">S18</f>
        <v>2836026.9094999</v>
      </c>
      <c r="T19" s="39" t="n">
        <f aca="false">T18</f>
        <v>2692652.94262111</v>
      </c>
      <c r="U19" s="39" t="n">
        <f aca="false">U18</f>
        <v>2558101.45464253</v>
      </c>
      <c r="V19" s="39" t="n">
        <f aca="false">V18</f>
        <v>2431717.82978017</v>
      </c>
      <c r="W19" s="39" t="n">
        <f aca="false">W18</f>
        <v>2198190.30877302</v>
      </c>
      <c r="X19" s="39" t="n">
        <f aca="false">X18</f>
        <v>1927507.93199643</v>
      </c>
      <c r="Y19" s="39" t="n">
        <f aca="false">Y18</f>
        <v>1678888.00877033</v>
      </c>
      <c r="Z19" s="39" t="n">
        <f aca="false">Z18</f>
        <v>1451048.00006112</v>
      </c>
      <c r="AA19" s="39" t="n">
        <f aca="false">AA18</f>
        <v>1264637.07569788</v>
      </c>
      <c r="AB19" s="39" t="n">
        <f aca="false">AB18</f>
        <v>1094362.30909404</v>
      </c>
      <c r="AC19" s="39" t="n">
        <f aca="false">AC18</f>
        <v>797162.568065546</v>
      </c>
      <c r="AD19" s="39" t="n">
        <f aca="false">AD18</f>
        <v>519805.6077097</v>
      </c>
      <c r="AE19" s="39" t="n">
        <f aca="false">AE18</f>
        <v>266455.013049062</v>
      </c>
      <c r="AF19" s="39" t="n">
        <f aca="false">AF18</f>
        <v>35439.7401456769</v>
      </c>
      <c r="AG19" s="39" t="n">
        <f aca="false">AG18</f>
        <v>0</v>
      </c>
      <c r="AH19" s="39" t="n">
        <f aca="false">AH18</f>
        <v>0</v>
      </c>
      <c r="AI19" s="39" t="n">
        <f aca="false">AI18</f>
        <v>0</v>
      </c>
      <c r="AJ19" s="39" t="n">
        <f aca="false">AJ18</f>
        <v>0</v>
      </c>
      <c r="AK19" s="39" t="n">
        <f aca="false">AK18</f>
        <v>0</v>
      </c>
      <c r="AL19" s="39" t="n">
        <f aca="false">AL18</f>
        <v>0</v>
      </c>
      <c r="AM19" s="39" t="n">
        <f aca="false">AM18</f>
        <v>0</v>
      </c>
      <c r="AN19" s="39" t="n">
        <f aca="false">AN18</f>
        <v>0</v>
      </c>
    </row>
    <row r="20" customFormat="false" ht="15" hidden="false" customHeight="false" outlineLevel="0" collapsed="false">
      <c r="A20" s="14" t="s">
        <v>160</v>
      </c>
      <c r="E20" s="39" t="n">
        <f aca="false">'Asset Cash Flows'!E138</f>
        <v>25235112.5453807</v>
      </c>
      <c r="F20" s="39" t="n">
        <f aca="false">'Asset Cash Flows'!F138</f>
        <v>25433261.7406418</v>
      </c>
      <c r="G20" s="39" t="n">
        <f aca="false">'Asset Cash Flows'!G138</f>
        <v>25514900.5814547</v>
      </c>
      <c r="H20" s="39" t="n">
        <f aca="false">'Asset Cash Flows'!H138</f>
        <v>25493817.142809</v>
      </c>
      <c r="I20" s="39" t="n">
        <f aca="false">'Asset Cash Flows'!I138</f>
        <v>24375617.0780105</v>
      </c>
      <c r="J20" s="39" t="n">
        <f aca="false">'Asset Cash Flows'!J138</f>
        <v>22818200.7592614</v>
      </c>
      <c r="K20" s="39" t="n">
        <f aca="false">'Asset Cash Flows'!K138</f>
        <v>21369210.1870338</v>
      </c>
      <c r="L20" s="39" t="n">
        <f aca="false">'Asset Cash Flows'!L138</f>
        <v>20021847.6946263</v>
      </c>
      <c r="M20" s="39" t="n">
        <f aca="false">'Asset Cash Flows'!M138</f>
        <v>21980166.8753552</v>
      </c>
      <c r="N20" s="39" t="n">
        <f aca="false">'Asset Cash Flows'!N138</f>
        <v>20690250.4542928</v>
      </c>
      <c r="O20" s="39" t="n">
        <f aca="false">'Asset Cash Flows'!O138</f>
        <v>19443738.0141567</v>
      </c>
      <c r="P20" s="39" t="n">
        <f aca="false">'Asset Cash Flows'!P138</f>
        <v>18257099.5768854</v>
      </c>
      <c r="Q20" s="39" t="n">
        <f aca="false">'Asset Cash Flows'!Q138</f>
        <v>17083542.3649266</v>
      </c>
      <c r="R20" s="39" t="n">
        <f aca="false">'Asset Cash Flows'!R138</f>
        <v>15958349.7284853</v>
      </c>
      <c r="S20" s="39" t="n">
        <f aca="false">'Asset Cash Flows'!S138</f>
        <v>14887698.2077846</v>
      </c>
      <c r="T20" s="39" t="n">
        <f aca="false">'Asset Cash Flows'!T138</f>
        <v>13880675.1254909</v>
      </c>
      <c r="U20" s="39" t="n">
        <f aca="false">'Asset Cash Flows'!U138</f>
        <v>12961812.4600499</v>
      </c>
      <c r="V20" s="39" t="n">
        <f aca="false">'Asset Cash Flows'!V138</f>
        <v>22875234.0065405</v>
      </c>
      <c r="W20" s="39" t="n">
        <f aca="false">'Asset Cash Flows'!W138</f>
        <v>26291355.767435</v>
      </c>
      <c r="X20" s="39" t="n">
        <f aca="false">'Asset Cash Flows'!X138</f>
        <v>24164898.2217239</v>
      </c>
      <c r="Y20" s="39" t="n">
        <f aca="false">'Asset Cash Flows'!Y138</f>
        <v>22191986.6760878</v>
      </c>
      <c r="Z20" s="39" t="n">
        <f aca="false">'Asset Cash Flows'!Z138</f>
        <v>20367872.6089879</v>
      </c>
      <c r="AA20" s="39" t="n">
        <f aca="false">'Asset Cash Flows'!AA138</f>
        <v>18662739.472333</v>
      </c>
      <c r="AB20" s="39" t="n">
        <f aca="false">'Asset Cash Flows'!AB138</f>
        <v>17073483.1258935</v>
      </c>
      <c r="AC20" s="39" t="n">
        <f aca="false">'Asset Cash Flows'!AC138</f>
        <v>15646732.8570852</v>
      </c>
      <c r="AD20" s="39" t="n">
        <f aca="false">'Asset Cash Flows'!AD138</f>
        <v>14326065.3604897</v>
      </c>
      <c r="AE20" s="39" t="n">
        <f aca="false">'Asset Cash Flows'!AE138</f>
        <v>13072374.8086461</v>
      </c>
      <c r="AF20" s="39" t="n">
        <f aca="false">'Asset Cash Flows'!AF138</f>
        <v>4367443.74580403</v>
      </c>
      <c r="AG20" s="39" t="n">
        <f aca="false">'Asset Cash Flows'!AG138</f>
        <v>312705.631024147</v>
      </c>
      <c r="AH20" s="39" t="n">
        <f aca="false">'Asset Cash Flows'!AH138</f>
        <v>251562.264108125</v>
      </c>
      <c r="AI20" s="39" t="n">
        <f aca="false">'Asset Cash Flows'!AI138</f>
        <v>195592.389932903</v>
      </c>
      <c r="AJ20" s="39" t="n">
        <f aca="false">'Asset Cash Flows'!AJ138</f>
        <v>144432.500786706</v>
      </c>
      <c r="AK20" s="39" t="n">
        <f aca="false">'Asset Cash Flows'!AK138</f>
        <v>103641.422046459</v>
      </c>
      <c r="AL20" s="39" t="n">
        <f aca="false">'Asset Cash Flows'!AL138</f>
        <v>69201.5527081401</v>
      </c>
      <c r="AM20" s="39" t="n">
        <f aca="false">'Asset Cash Flows'!AM138</f>
        <v>37742.5932297002</v>
      </c>
      <c r="AN20" s="39" t="n">
        <f aca="false">'Asset Cash Flows'!AN138</f>
        <v>9057.0473406009</v>
      </c>
    </row>
    <row r="21" customFormat="false" ht="15" hidden="false" customHeight="false" outlineLevel="0" collapsed="false">
      <c r="A21" s="5" t="s">
        <v>161</v>
      </c>
      <c r="E21" s="39" t="n">
        <f aca="false">MIN(E20,'Inputs &amp; Assumptions'!$C$36-E10)</f>
        <v>0</v>
      </c>
      <c r="F21" s="39" t="n">
        <f aca="false">MIN(F20,'Inputs &amp; Assumptions'!$C$36-F10)</f>
        <v>0</v>
      </c>
      <c r="G21" s="39" t="n">
        <f aca="false">MIN(G20,'Inputs &amp; Assumptions'!$C$36-G10)</f>
        <v>0</v>
      </c>
      <c r="H21" s="39" t="n">
        <f aca="false">MIN(H20,'Inputs &amp; Assumptions'!$C$36-H10)</f>
        <v>0</v>
      </c>
      <c r="I21" s="39" t="n">
        <f aca="false">MIN(I20,'Inputs &amp; Assumptions'!$C$36-I10)</f>
        <v>0</v>
      </c>
      <c r="J21" s="39" t="n">
        <f aca="false">MIN(J20,'Inputs &amp; Assumptions'!$C$36-J10)</f>
        <v>0</v>
      </c>
      <c r="K21" s="39" t="n">
        <f aca="false">MIN(K20,'Inputs &amp; Assumptions'!$C$36-K10)</f>
        <v>0</v>
      </c>
      <c r="L21" s="39" t="n">
        <f aca="false">MIN(L20,'Inputs &amp; Assumptions'!$C$36-L10)</f>
        <v>0</v>
      </c>
      <c r="M21" s="39" t="n">
        <f aca="false">MIN(M20,'Inputs &amp; Assumptions'!$C$36-M10)</f>
        <v>0</v>
      </c>
      <c r="N21" s="39" t="n">
        <f aca="false">MIN(N20,'Inputs &amp; Assumptions'!$C$36-N10)</f>
        <v>0</v>
      </c>
      <c r="O21" s="39" t="n">
        <f aca="false">MIN(O20,'Inputs &amp; Assumptions'!$C$36-O10)</f>
        <v>0</v>
      </c>
      <c r="P21" s="39" t="n">
        <f aca="false">MIN(P20,'Inputs &amp; Assumptions'!$C$36-P10)</f>
        <v>0</v>
      </c>
      <c r="Q21" s="39" t="n">
        <f aca="false">MIN(Q20,'Inputs &amp; Assumptions'!$C$36-Q10)</f>
        <v>0</v>
      </c>
      <c r="R21" s="39" t="n">
        <f aca="false">MIN(R20,'Inputs &amp; Assumptions'!$C$36-R10)</f>
        <v>0</v>
      </c>
      <c r="S21" s="39" t="n">
        <f aca="false">MIN(S20,'Inputs &amp; Assumptions'!$C$36-S10)</f>
        <v>0</v>
      </c>
      <c r="T21" s="39" t="n">
        <f aca="false">MIN(T20,'Inputs &amp; Assumptions'!$C$36-T10)</f>
        <v>0</v>
      </c>
      <c r="U21" s="39" t="n">
        <f aca="false">MIN(U20,'Inputs &amp; Assumptions'!$C$36-U10)</f>
        <v>0</v>
      </c>
      <c r="V21" s="39" t="n">
        <f aca="false">MIN(V20,'Inputs &amp; Assumptions'!$C$36-V10)</f>
        <v>0</v>
      </c>
      <c r="W21" s="39" t="n">
        <f aca="false">MIN(W20,'Inputs &amp; Assumptions'!$C$36-W10)</f>
        <v>0</v>
      </c>
      <c r="X21" s="39" t="n">
        <f aca="false">MIN(X20,'Inputs &amp; Assumptions'!$C$36-X10)</f>
        <v>0</v>
      </c>
      <c r="Y21" s="39" t="n">
        <f aca="false">MIN(Y20,'Inputs &amp; Assumptions'!$C$36-Y10)</f>
        <v>0</v>
      </c>
      <c r="Z21" s="39" t="n">
        <f aca="false">MIN(Z20,'Inputs &amp; Assumptions'!$C$36-Z10)</f>
        <v>0</v>
      </c>
      <c r="AA21" s="39" t="n">
        <f aca="false">MIN(AA20,'Inputs &amp; Assumptions'!$C$36-AA10)</f>
        <v>0</v>
      </c>
      <c r="AB21" s="39" t="n">
        <f aca="false">MIN(AB20,'Inputs &amp; Assumptions'!$C$36-AB10)</f>
        <v>0</v>
      </c>
      <c r="AC21" s="39" t="n">
        <f aca="false">MIN(AC20,'Inputs &amp; Assumptions'!$C$36-AC10)</f>
        <v>0</v>
      </c>
      <c r="AD21" s="39" t="n">
        <f aca="false">MIN(AD20,'Inputs &amp; Assumptions'!$C$36-AD10)</f>
        <v>0</v>
      </c>
      <c r="AE21" s="39" t="n">
        <f aca="false">MIN(AE20,'Inputs &amp; Assumptions'!$C$36-AE10)</f>
        <v>0</v>
      </c>
      <c r="AF21" s="39" t="n">
        <f aca="false">MIN(AF20,'Inputs &amp; Assumptions'!$C$36-AF10)</f>
        <v>0</v>
      </c>
      <c r="AG21" s="39" t="n">
        <f aca="false">MIN(AG20,'Inputs &amp; Assumptions'!$C$36-AG10)</f>
        <v>37500</v>
      </c>
      <c r="AH21" s="39" t="n">
        <f aca="false">MIN(AH20,'Inputs &amp; Assumptions'!$C$36-AH10)</f>
        <v>37500</v>
      </c>
      <c r="AI21" s="39" t="n">
        <f aca="false">MIN(AI20,'Inputs &amp; Assumptions'!$C$36-AI10)</f>
        <v>37500</v>
      </c>
      <c r="AJ21" s="39" t="n">
        <f aca="false">MIN(AJ20,'Inputs &amp; Assumptions'!$C$36-AJ10)</f>
        <v>37500</v>
      </c>
      <c r="AK21" s="39" t="n">
        <f aca="false">MIN(AK20,'Inputs &amp; Assumptions'!$C$36-AK10)</f>
        <v>37500</v>
      </c>
      <c r="AL21" s="39" t="n">
        <f aca="false">MIN(AL20,'Inputs &amp; Assumptions'!$C$36-AL10)</f>
        <v>37500</v>
      </c>
      <c r="AM21" s="39" t="n">
        <f aca="false">MIN(AM20,'Inputs &amp; Assumptions'!$C$36-AM10)</f>
        <v>37500</v>
      </c>
      <c r="AN21" s="39" t="n">
        <f aca="false">MIN(AN20,'Inputs &amp; Assumptions'!$C$36-AN10)</f>
        <v>9057.0473406009</v>
      </c>
    </row>
    <row r="22" customFormat="false" ht="15" hidden="false" customHeight="false" outlineLevel="0" collapsed="false">
      <c r="A22" s="5" t="s">
        <v>162</v>
      </c>
      <c r="E22" s="39" t="n">
        <f aca="false">E20-E21</f>
        <v>25235112.5453807</v>
      </c>
      <c r="F22" s="39" t="n">
        <f aca="false">F20-F21</f>
        <v>25433261.7406418</v>
      </c>
      <c r="G22" s="39" t="n">
        <f aca="false">G20-G21</f>
        <v>25514900.5814547</v>
      </c>
      <c r="H22" s="39" t="n">
        <f aca="false">H20-H21</f>
        <v>25493817.142809</v>
      </c>
      <c r="I22" s="39" t="n">
        <f aca="false">I20-I21</f>
        <v>24375617.0780105</v>
      </c>
      <c r="J22" s="39" t="n">
        <f aca="false">J20-J21</f>
        <v>22818200.7592614</v>
      </c>
      <c r="K22" s="39" t="n">
        <f aca="false">K20-K21</f>
        <v>21369210.1870338</v>
      </c>
      <c r="L22" s="39" t="n">
        <f aca="false">L20-L21</f>
        <v>20021847.6946263</v>
      </c>
      <c r="M22" s="39" t="n">
        <f aca="false">M20-M21</f>
        <v>21980166.8753552</v>
      </c>
      <c r="N22" s="39" t="n">
        <f aca="false">N20-N21</f>
        <v>20690250.4542928</v>
      </c>
      <c r="O22" s="39" t="n">
        <f aca="false">O20-O21</f>
        <v>19443738.0141567</v>
      </c>
      <c r="P22" s="39" t="n">
        <f aca="false">P20-P21</f>
        <v>18257099.5768854</v>
      </c>
      <c r="Q22" s="39" t="n">
        <f aca="false">Q20-Q21</f>
        <v>17083542.3649266</v>
      </c>
      <c r="R22" s="39" t="n">
        <f aca="false">R20-R21</f>
        <v>15958349.7284853</v>
      </c>
      <c r="S22" s="39" t="n">
        <f aca="false">S20-S21</f>
        <v>14887698.2077846</v>
      </c>
      <c r="T22" s="39" t="n">
        <f aca="false">T20-T21</f>
        <v>13880675.1254909</v>
      </c>
      <c r="U22" s="39" t="n">
        <f aca="false">U20-U21</f>
        <v>12961812.4600499</v>
      </c>
      <c r="V22" s="39" t="n">
        <f aca="false">V20-V21</f>
        <v>22875234.0065405</v>
      </c>
      <c r="W22" s="39" t="n">
        <f aca="false">W20-W21</f>
        <v>26291355.767435</v>
      </c>
      <c r="X22" s="39" t="n">
        <f aca="false">X20-X21</f>
        <v>24164898.2217239</v>
      </c>
      <c r="Y22" s="39" t="n">
        <f aca="false">Y20-Y21</f>
        <v>22191986.6760878</v>
      </c>
      <c r="Z22" s="39" t="n">
        <f aca="false">Z20-Z21</f>
        <v>20367872.6089879</v>
      </c>
      <c r="AA22" s="39" t="n">
        <f aca="false">AA20-AA21</f>
        <v>18662739.472333</v>
      </c>
      <c r="AB22" s="39" t="n">
        <f aca="false">AB20-AB21</f>
        <v>17073483.1258935</v>
      </c>
      <c r="AC22" s="39" t="n">
        <f aca="false">AC20-AC21</f>
        <v>15646732.8570852</v>
      </c>
      <c r="AD22" s="39" t="n">
        <f aca="false">AD20-AD21</f>
        <v>14326065.3604897</v>
      </c>
      <c r="AE22" s="39" t="n">
        <f aca="false">AE20-AE21</f>
        <v>13072374.8086461</v>
      </c>
      <c r="AF22" s="39" t="n">
        <f aca="false">AF20-AF21</f>
        <v>4367443.74580403</v>
      </c>
      <c r="AG22" s="39" t="n">
        <f aca="false">AG20-AG21</f>
        <v>275205.631024147</v>
      </c>
      <c r="AH22" s="39" t="n">
        <f aca="false">AH20-AH21</f>
        <v>214062.264108125</v>
      </c>
      <c r="AI22" s="39" t="n">
        <f aca="false">AI20-AI21</f>
        <v>158092.389932903</v>
      </c>
      <c r="AJ22" s="39" t="n">
        <f aca="false">AJ20-AJ21</f>
        <v>106932.500786706</v>
      </c>
      <c r="AK22" s="39" t="n">
        <f aca="false">AK20-AK21</f>
        <v>66141.4220464593</v>
      </c>
      <c r="AL22" s="39" t="n">
        <f aca="false">AL20-AL21</f>
        <v>31701.5527081401</v>
      </c>
      <c r="AM22" s="39" t="n">
        <f aca="false">AM20-AM21</f>
        <v>242.593229700156</v>
      </c>
      <c r="AN22" s="39" t="n">
        <f aca="false">AN20-AN21</f>
        <v>0</v>
      </c>
    </row>
    <row r="23" customFormat="false" ht="15" hidden="false" customHeight="false" outlineLevel="0" collapsed="false">
      <c r="A23" s="5" t="s">
        <v>163</v>
      </c>
      <c r="E23" s="39" t="n">
        <f aca="false">MIN(E22,E14)</f>
        <v>0</v>
      </c>
      <c r="F23" s="39" t="n">
        <f aca="false">MIN(F22,F14)</f>
        <v>0</v>
      </c>
      <c r="G23" s="39" t="n">
        <f aca="false">MIN(G22,G14)</f>
        <v>0</v>
      </c>
      <c r="H23" s="39" t="n">
        <f aca="false">MIN(H22,H14)</f>
        <v>0</v>
      </c>
      <c r="I23" s="39" t="n">
        <f aca="false">MIN(I22,I14)</f>
        <v>0</v>
      </c>
      <c r="J23" s="39" t="n">
        <f aca="false">MIN(J22,J14)</f>
        <v>0</v>
      </c>
      <c r="K23" s="39" t="n">
        <f aca="false">MIN(K22,K14)</f>
        <v>0</v>
      </c>
      <c r="L23" s="39" t="n">
        <f aca="false">MIN(L22,L14)</f>
        <v>0</v>
      </c>
      <c r="M23" s="39" t="n">
        <f aca="false">MIN(M22,M14)</f>
        <v>0</v>
      </c>
      <c r="N23" s="39" t="n">
        <f aca="false">MIN(N22,N14)</f>
        <v>0</v>
      </c>
      <c r="O23" s="39" t="n">
        <f aca="false">MIN(O22,O14)</f>
        <v>0</v>
      </c>
      <c r="P23" s="39" t="n">
        <f aca="false">MIN(P22,P14)</f>
        <v>0</v>
      </c>
      <c r="Q23" s="39" t="n">
        <f aca="false">MIN(Q22,Q14)</f>
        <v>0</v>
      </c>
      <c r="R23" s="39" t="n">
        <f aca="false">MIN(R22,R14)</f>
        <v>0</v>
      </c>
      <c r="S23" s="39" t="n">
        <f aca="false">MIN(S22,S14)</f>
        <v>0</v>
      </c>
      <c r="T23" s="39" t="n">
        <f aca="false">MIN(T22,T14)</f>
        <v>0</v>
      </c>
      <c r="U23" s="39" t="n">
        <f aca="false">MIN(U22,U14)</f>
        <v>0</v>
      </c>
      <c r="V23" s="39" t="n">
        <f aca="false">MIN(V22,V14)</f>
        <v>0</v>
      </c>
      <c r="W23" s="39" t="n">
        <f aca="false">MIN(W22,W14)</f>
        <v>0</v>
      </c>
      <c r="X23" s="39" t="n">
        <f aca="false">MIN(X22,X14)</f>
        <v>0</v>
      </c>
      <c r="Y23" s="39" t="n">
        <f aca="false">MIN(Y22,Y14)</f>
        <v>0</v>
      </c>
      <c r="Z23" s="39" t="n">
        <f aca="false">MIN(Z22,Z14)</f>
        <v>0</v>
      </c>
      <c r="AA23" s="39" t="n">
        <f aca="false">MIN(AA22,AA14)</f>
        <v>0</v>
      </c>
      <c r="AB23" s="39" t="n">
        <f aca="false">MIN(AB22,AB14)</f>
        <v>0</v>
      </c>
      <c r="AC23" s="39" t="n">
        <f aca="false">MIN(AC22,AC14)</f>
        <v>0</v>
      </c>
      <c r="AD23" s="39" t="n">
        <f aca="false">MIN(AD22,AD14)</f>
        <v>0</v>
      </c>
      <c r="AE23" s="39" t="n">
        <f aca="false">MIN(AE22,AE14)</f>
        <v>0</v>
      </c>
      <c r="AF23" s="39" t="n">
        <f aca="false">MIN(AF22,AF14)</f>
        <v>0</v>
      </c>
      <c r="AG23" s="39" t="n">
        <f aca="false">MIN(AG22,AG14)</f>
        <v>0</v>
      </c>
      <c r="AH23" s="39" t="n">
        <f aca="false">MIN(AH22,AH14)</f>
        <v>0</v>
      </c>
      <c r="AI23" s="39" t="n">
        <f aca="false">MIN(AI22,AI14)</f>
        <v>0</v>
      </c>
      <c r="AJ23" s="39" t="n">
        <f aca="false">MIN(AJ22,AJ14)</f>
        <v>0</v>
      </c>
      <c r="AK23" s="39" t="n">
        <f aca="false">MIN(AK22,AK14)</f>
        <v>0</v>
      </c>
      <c r="AL23" s="39" t="n">
        <f aca="false">MIN(AL22,AL14)</f>
        <v>0</v>
      </c>
      <c r="AM23" s="39" t="n">
        <f aca="false">MIN(AM22,AM14)</f>
        <v>0</v>
      </c>
      <c r="AN23" s="39" t="n">
        <f aca="false">MIN(AN22,AN14)</f>
        <v>0</v>
      </c>
    </row>
    <row r="24" customFormat="false" ht="15" hidden="false" customHeight="false" outlineLevel="0" collapsed="false">
      <c r="A24" s="5" t="s">
        <v>164</v>
      </c>
      <c r="E24" s="39" t="n">
        <f aca="false">E22-E23</f>
        <v>25235112.5453807</v>
      </c>
      <c r="F24" s="39" t="n">
        <f aca="false">F22-F23</f>
        <v>25433261.7406418</v>
      </c>
      <c r="G24" s="39" t="n">
        <f aca="false">G22-G23</f>
        <v>25514900.5814547</v>
      </c>
      <c r="H24" s="39" t="n">
        <f aca="false">H22-H23</f>
        <v>25493817.142809</v>
      </c>
      <c r="I24" s="39" t="n">
        <f aca="false">I22-I23</f>
        <v>24375617.0780105</v>
      </c>
      <c r="J24" s="39" t="n">
        <f aca="false">J22-J23</f>
        <v>22818200.7592614</v>
      </c>
      <c r="K24" s="39" t="n">
        <f aca="false">K22-K23</f>
        <v>21369210.1870338</v>
      </c>
      <c r="L24" s="39" t="n">
        <f aca="false">L22-L23</f>
        <v>20021847.6946263</v>
      </c>
      <c r="M24" s="39" t="n">
        <f aca="false">M22-M23</f>
        <v>21980166.8753552</v>
      </c>
      <c r="N24" s="39" t="n">
        <f aca="false">N22-N23</f>
        <v>20690250.4542928</v>
      </c>
      <c r="O24" s="39" t="n">
        <f aca="false">O22-O23</f>
        <v>19443738.0141567</v>
      </c>
      <c r="P24" s="39" t="n">
        <f aca="false">P22-P23</f>
        <v>18257099.5768854</v>
      </c>
      <c r="Q24" s="39" t="n">
        <f aca="false">Q22-Q23</f>
        <v>17083542.3649266</v>
      </c>
      <c r="R24" s="39" t="n">
        <f aca="false">R22-R23</f>
        <v>15958349.7284853</v>
      </c>
      <c r="S24" s="39" t="n">
        <f aca="false">S22-S23</f>
        <v>14887698.2077846</v>
      </c>
      <c r="T24" s="39" t="n">
        <f aca="false">T22-T23</f>
        <v>13880675.1254909</v>
      </c>
      <c r="U24" s="39" t="n">
        <f aca="false">U22-U23</f>
        <v>12961812.4600499</v>
      </c>
      <c r="V24" s="39" t="n">
        <f aca="false">V22-V23</f>
        <v>22875234.0065405</v>
      </c>
      <c r="W24" s="39" t="n">
        <f aca="false">W22-W23</f>
        <v>26291355.767435</v>
      </c>
      <c r="X24" s="39" t="n">
        <f aca="false">X22-X23</f>
        <v>24164898.2217239</v>
      </c>
      <c r="Y24" s="39" t="n">
        <f aca="false">Y22-Y23</f>
        <v>22191986.6760878</v>
      </c>
      <c r="Z24" s="39" t="n">
        <f aca="false">Z22-Z23</f>
        <v>20367872.6089879</v>
      </c>
      <c r="AA24" s="39" t="n">
        <f aca="false">AA22-AA23</f>
        <v>18662739.472333</v>
      </c>
      <c r="AB24" s="39" t="n">
        <f aca="false">AB22-AB23</f>
        <v>17073483.1258935</v>
      </c>
      <c r="AC24" s="39" t="n">
        <f aca="false">AC22-AC23</f>
        <v>15646732.8570852</v>
      </c>
      <c r="AD24" s="39" t="n">
        <f aca="false">AD22-AD23</f>
        <v>14326065.3604897</v>
      </c>
      <c r="AE24" s="39" t="n">
        <f aca="false">AE22-AE23</f>
        <v>13072374.8086461</v>
      </c>
      <c r="AF24" s="39" t="n">
        <f aca="false">AF22-AF23</f>
        <v>4367443.74580403</v>
      </c>
      <c r="AG24" s="39" t="n">
        <f aca="false">AG22-AG23</f>
        <v>275205.631024147</v>
      </c>
      <c r="AH24" s="39" t="n">
        <f aca="false">AH22-AH23</f>
        <v>214062.264108125</v>
      </c>
      <c r="AI24" s="39" t="n">
        <f aca="false">AI22-AI23</f>
        <v>158092.389932903</v>
      </c>
      <c r="AJ24" s="39" t="n">
        <f aca="false">AJ22-AJ23</f>
        <v>106932.500786706</v>
      </c>
      <c r="AK24" s="39" t="n">
        <f aca="false">AK22-AK23</f>
        <v>66141.4220464593</v>
      </c>
      <c r="AL24" s="39" t="n">
        <f aca="false">AL22-AL23</f>
        <v>31701.5527081401</v>
      </c>
      <c r="AM24" s="39" t="n">
        <f aca="false">AM22-AM23</f>
        <v>242.593229700156</v>
      </c>
      <c r="AN24" s="39" t="n">
        <f aca="false">AN22-AN23</f>
        <v>0</v>
      </c>
    </row>
    <row r="25" customFormat="false" ht="15" hidden="false" customHeight="false" outlineLevel="0" collapsed="false">
      <c r="A25" s="5" t="s">
        <v>165</v>
      </c>
      <c r="E25" s="39" t="n">
        <f aca="false">MIN(E24,E16-E17)</f>
        <v>0</v>
      </c>
      <c r="F25" s="39" t="n">
        <f aca="false">MIN(F24,F16-F17)</f>
        <v>0</v>
      </c>
      <c r="G25" s="39" t="n">
        <f aca="false">MIN(G24,G16-G17)</f>
        <v>0</v>
      </c>
      <c r="H25" s="39" t="n">
        <f aca="false">MIN(H24,H16-H17)</f>
        <v>0</v>
      </c>
      <c r="I25" s="39" t="n">
        <f aca="false">MIN(I24,I16-I17)</f>
        <v>0</v>
      </c>
      <c r="J25" s="39" t="n">
        <f aca="false">MIN(J24,J16-J17)</f>
        <v>0</v>
      </c>
      <c r="K25" s="39" t="n">
        <f aca="false">MIN(K24,K16-K17)</f>
        <v>0</v>
      </c>
      <c r="L25" s="39" t="n">
        <f aca="false">MIN(L24,L16-L17)</f>
        <v>0</v>
      </c>
      <c r="M25" s="39" t="n">
        <f aca="false">MIN(M24,M16-M17)</f>
        <v>0</v>
      </c>
      <c r="N25" s="39" t="n">
        <f aca="false">MIN(N24,N16-N17)</f>
        <v>0</v>
      </c>
      <c r="O25" s="39" t="n">
        <f aca="false">MIN(O24,O16-O17)</f>
        <v>0</v>
      </c>
      <c r="P25" s="39" t="n">
        <f aca="false">MIN(P24,P16-P17)</f>
        <v>0</v>
      </c>
      <c r="Q25" s="39" t="n">
        <f aca="false">MIN(Q24,Q16-Q17)</f>
        <v>0</v>
      </c>
      <c r="R25" s="39" t="n">
        <f aca="false">MIN(R24,R16-R17)</f>
        <v>0</v>
      </c>
      <c r="S25" s="39" t="n">
        <f aca="false">MIN(S24,S16-S17)</f>
        <v>0</v>
      </c>
      <c r="T25" s="39" t="n">
        <f aca="false">MIN(T24,T16-T17)</f>
        <v>0</v>
      </c>
      <c r="U25" s="39" t="n">
        <f aca="false">MIN(U24,U16-U17)</f>
        <v>0</v>
      </c>
      <c r="V25" s="39" t="n">
        <f aca="false">MIN(V24,V16-V17)</f>
        <v>0</v>
      </c>
      <c r="W25" s="39" t="n">
        <f aca="false">MIN(W24,W16-W17)</f>
        <v>0</v>
      </c>
      <c r="X25" s="39" t="n">
        <f aca="false">MIN(X24,X16-X17)</f>
        <v>0</v>
      </c>
      <c r="Y25" s="39" t="n">
        <f aca="false">MIN(Y24,Y16-Y17)</f>
        <v>0</v>
      </c>
      <c r="Z25" s="39" t="n">
        <f aca="false">MIN(Z24,Z16-Z17)</f>
        <v>0</v>
      </c>
      <c r="AA25" s="39" t="n">
        <f aca="false">MIN(AA24,AA16-AA17)</f>
        <v>0</v>
      </c>
      <c r="AB25" s="39" t="n">
        <f aca="false">MIN(AB24,AB16-AB17)</f>
        <v>0</v>
      </c>
      <c r="AC25" s="39" t="n">
        <f aca="false">MIN(AC24,AC16-AC17)</f>
        <v>0</v>
      </c>
      <c r="AD25" s="39" t="n">
        <f aca="false">MIN(AD24,AD16-AD17)</f>
        <v>0</v>
      </c>
      <c r="AE25" s="39" t="n">
        <f aca="false">MIN(AE24,AE16-AE17)</f>
        <v>0</v>
      </c>
      <c r="AF25" s="39" t="n">
        <f aca="false">MIN(AF24,AF16-AF17)</f>
        <v>0</v>
      </c>
      <c r="AG25" s="39" t="n">
        <f aca="false">MIN(AG24,AG16-AG17)</f>
        <v>0</v>
      </c>
      <c r="AH25" s="39" t="n">
        <f aca="false">MIN(AH24,AH16-AH17)</f>
        <v>0</v>
      </c>
      <c r="AI25" s="39" t="n">
        <f aca="false">MIN(AI24,AI16-AI17)</f>
        <v>0</v>
      </c>
      <c r="AJ25" s="39" t="n">
        <f aca="false">MIN(AJ24,AJ16-AJ17)</f>
        <v>0</v>
      </c>
      <c r="AK25" s="39" t="n">
        <f aca="false">MIN(AK24,AK16-AK17)</f>
        <v>0</v>
      </c>
      <c r="AL25" s="39" t="n">
        <f aca="false">MIN(AL24,AL16-AL17)</f>
        <v>0</v>
      </c>
      <c r="AM25" s="39" t="n">
        <f aca="false">MIN(AM24,AM16-AM17)</f>
        <v>0</v>
      </c>
      <c r="AN25" s="39" t="n">
        <f aca="false">MIN(AN24,AN16-AN17)</f>
        <v>0</v>
      </c>
    </row>
    <row r="26" customFormat="false" ht="15" hidden="false" customHeight="false" outlineLevel="0" collapsed="false">
      <c r="A26" s="5" t="s">
        <v>166</v>
      </c>
      <c r="E26" s="39" t="n">
        <f aca="false">E24-E25</f>
        <v>25235112.5453807</v>
      </c>
      <c r="F26" s="39" t="n">
        <f aca="false">F24-F25</f>
        <v>25433261.7406418</v>
      </c>
      <c r="G26" s="39" t="n">
        <f aca="false">G24-G25</f>
        <v>25514900.5814547</v>
      </c>
      <c r="H26" s="39" t="n">
        <f aca="false">H24-H25</f>
        <v>25493817.142809</v>
      </c>
      <c r="I26" s="39" t="n">
        <f aca="false">I24-I25</f>
        <v>24375617.0780105</v>
      </c>
      <c r="J26" s="39" t="n">
        <f aca="false">J24-J25</f>
        <v>22818200.7592614</v>
      </c>
      <c r="K26" s="39" t="n">
        <f aca="false">K24-K25</f>
        <v>21369210.1870338</v>
      </c>
      <c r="L26" s="39" t="n">
        <f aca="false">L24-L25</f>
        <v>20021847.6946263</v>
      </c>
      <c r="M26" s="39" t="n">
        <f aca="false">M24-M25</f>
        <v>21980166.8753552</v>
      </c>
      <c r="N26" s="39" t="n">
        <f aca="false">N24-N25</f>
        <v>20690250.4542928</v>
      </c>
      <c r="O26" s="39" t="n">
        <f aca="false">O24-O25</f>
        <v>19443738.0141567</v>
      </c>
      <c r="P26" s="39" t="n">
        <f aca="false">P24-P25</f>
        <v>18257099.5768854</v>
      </c>
      <c r="Q26" s="39" t="n">
        <f aca="false">Q24-Q25</f>
        <v>17083542.3649266</v>
      </c>
      <c r="R26" s="39" t="n">
        <f aca="false">R24-R25</f>
        <v>15958349.7284853</v>
      </c>
      <c r="S26" s="39" t="n">
        <f aca="false">S24-S25</f>
        <v>14887698.2077846</v>
      </c>
      <c r="T26" s="39" t="n">
        <f aca="false">T24-T25</f>
        <v>13880675.1254909</v>
      </c>
      <c r="U26" s="39" t="n">
        <f aca="false">U24-U25</f>
        <v>12961812.4600499</v>
      </c>
      <c r="V26" s="39" t="n">
        <f aca="false">V24-V25</f>
        <v>22875234.0065405</v>
      </c>
      <c r="W26" s="39" t="n">
        <f aca="false">W24-W25</f>
        <v>26291355.767435</v>
      </c>
      <c r="X26" s="39" t="n">
        <f aca="false">X24-X25</f>
        <v>24164898.2217239</v>
      </c>
      <c r="Y26" s="39" t="n">
        <f aca="false">Y24-Y25</f>
        <v>22191986.6760878</v>
      </c>
      <c r="Z26" s="39" t="n">
        <f aca="false">Z24-Z25</f>
        <v>20367872.6089879</v>
      </c>
      <c r="AA26" s="39" t="n">
        <f aca="false">AA24-AA25</f>
        <v>18662739.472333</v>
      </c>
      <c r="AB26" s="39" t="n">
        <f aca="false">AB24-AB25</f>
        <v>17073483.1258935</v>
      </c>
      <c r="AC26" s="39" t="n">
        <f aca="false">AC24-AC25</f>
        <v>15646732.8570852</v>
      </c>
      <c r="AD26" s="39" t="n">
        <f aca="false">AD24-AD25</f>
        <v>14326065.3604897</v>
      </c>
      <c r="AE26" s="39" t="n">
        <f aca="false">AE24-AE25</f>
        <v>13072374.8086461</v>
      </c>
      <c r="AF26" s="39" t="n">
        <f aca="false">AF24-AF25</f>
        <v>4367443.74580403</v>
      </c>
      <c r="AG26" s="39" t="n">
        <f aca="false">AG24-AG25</f>
        <v>275205.631024147</v>
      </c>
      <c r="AH26" s="39" t="n">
        <f aca="false">AH24-AH25</f>
        <v>214062.264108125</v>
      </c>
      <c r="AI26" s="39" t="n">
        <f aca="false">AI24-AI25</f>
        <v>158092.389932903</v>
      </c>
      <c r="AJ26" s="39" t="n">
        <f aca="false">AJ24-AJ25</f>
        <v>106932.500786706</v>
      </c>
      <c r="AK26" s="39" t="n">
        <f aca="false">AK24-AK25</f>
        <v>66141.4220464593</v>
      </c>
      <c r="AL26" s="39" t="n">
        <f aca="false">AL24-AL25</f>
        <v>31701.5527081401</v>
      </c>
      <c r="AM26" s="39" t="n">
        <f aca="false">AM24-AM25</f>
        <v>242.593229700156</v>
      </c>
      <c r="AN26" s="39" t="n">
        <f aca="false">AN24-AN25</f>
        <v>0</v>
      </c>
    </row>
    <row r="27" customFormat="false" ht="15" hidden="false" customHeight="false" outlineLevel="0" collapsed="false">
      <c r="A27" s="5" t="s">
        <v>167</v>
      </c>
      <c r="E27" s="18" t="n">
        <f aca="false">IF('Asset Cash Flows'!E141&gt;=20,'Inputs &amp; Assumptions'!$C$37,IF('Asset Cash Flows'!E141&gt;=10,'Inputs &amp; Assumptions'!$C$38,'Inputs &amp; Assumptions'!$C$39))</f>
        <v>0.7</v>
      </c>
      <c r="F27" s="18" t="n">
        <f aca="false">IF('Asset Cash Flows'!F141&gt;=20,'Inputs &amp; Assumptions'!$C$37,IF('Asset Cash Flows'!F141&gt;=10,'Inputs &amp; Assumptions'!$C$38,'Inputs &amp; Assumptions'!$C$39))</f>
        <v>0.7</v>
      </c>
      <c r="G27" s="18" t="n">
        <f aca="false">IF('Asset Cash Flows'!G141&gt;=20,'Inputs &amp; Assumptions'!$C$37,IF('Asset Cash Flows'!G141&gt;=10,'Inputs &amp; Assumptions'!$C$38,'Inputs &amp; Assumptions'!$C$39))</f>
        <v>0.7</v>
      </c>
      <c r="H27" s="18" t="n">
        <f aca="false">IF('Asset Cash Flows'!H141&gt;=20,'Inputs &amp; Assumptions'!$C$37,IF('Asset Cash Flows'!H141&gt;=10,'Inputs &amp; Assumptions'!$C$38,'Inputs &amp; Assumptions'!$C$39))</f>
        <v>0.7</v>
      </c>
      <c r="I27" s="18" t="n">
        <f aca="false">IF('Asset Cash Flows'!I141&gt;=20,'Inputs &amp; Assumptions'!$C$37,IF('Asset Cash Flows'!I141&gt;=10,'Inputs &amp; Assumptions'!$C$38,'Inputs &amp; Assumptions'!$C$39))</f>
        <v>0.7</v>
      </c>
      <c r="J27" s="18" t="n">
        <f aca="false">IF('Asset Cash Flows'!J141&gt;=20,'Inputs &amp; Assumptions'!$C$37,IF('Asset Cash Flows'!J141&gt;=10,'Inputs &amp; Assumptions'!$C$38,'Inputs &amp; Assumptions'!$C$39))</f>
        <v>0.7</v>
      </c>
      <c r="K27" s="18" t="n">
        <f aca="false">IF('Asset Cash Flows'!K141&gt;=20,'Inputs &amp; Assumptions'!$C$37,IF('Asset Cash Flows'!K141&gt;=10,'Inputs &amp; Assumptions'!$C$38,'Inputs &amp; Assumptions'!$C$39))</f>
        <v>0.7</v>
      </c>
      <c r="L27" s="18" t="n">
        <f aca="false">IF('Asset Cash Flows'!L141&gt;=20,'Inputs &amp; Assumptions'!$C$37,IF('Asset Cash Flows'!L141&gt;=10,'Inputs &amp; Assumptions'!$C$38,'Inputs &amp; Assumptions'!$C$39))</f>
        <v>0.7</v>
      </c>
      <c r="M27" s="18" t="n">
        <f aca="false">IF('Asset Cash Flows'!M141&gt;=20,'Inputs &amp; Assumptions'!$C$37,IF('Asset Cash Flows'!M141&gt;=10,'Inputs &amp; Assumptions'!$C$38,'Inputs &amp; Assumptions'!$C$39))</f>
        <v>0.7</v>
      </c>
      <c r="N27" s="18" t="n">
        <f aca="false">IF('Asset Cash Flows'!N141&gt;=20,'Inputs &amp; Assumptions'!$C$37,IF('Asset Cash Flows'!N141&gt;=10,'Inputs &amp; Assumptions'!$C$38,'Inputs &amp; Assumptions'!$C$39))</f>
        <v>0.7</v>
      </c>
      <c r="O27" s="18" t="n">
        <f aca="false">IF('Asset Cash Flows'!O141&gt;=20,'Inputs &amp; Assumptions'!$C$37,IF('Asset Cash Flows'!O141&gt;=10,'Inputs &amp; Assumptions'!$C$38,'Inputs &amp; Assumptions'!$C$39))</f>
        <v>0.7</v>
      </c>
      <c r="P27" s="18" t="n">
        <f aca="false">IF('Asset Cash Flows'!P141&gt;=20,'Inputs &amp; Assumptions'!$C$37,IF('Asset Cash Flows'!P141&gt;=10,'Inputs &amp; Assumptions'!$C$38,'Inputs &amp; Assumptions'!$C$39))</f>
        <v>0.7</v>
      </c>
      <c r="Q27" s="18" t="n">
        <f aca="false">IF('Asset Cash Flows'!Q141&gt;=20,'Inputs &amp; Assumptions'!$C$37,IF('Asset Cash Flows'!Q141&gt;=10,'Inputs &amp; Assumptions'!$C$38,'Inputs &amp; Assumptions'!$C$39))</f>
        <v>0.7</v>
      </c>
      <c r="R27" s="18" t="n">
        <f aca="false">IF('Asset Cash Flows'!R141&gt;=20,'Inputs &amp; Assumptions'!$C$37,IF('Asset Cash Flows'!R141&gt;=10,'Inputs &amp; Assumptions'!$C$38,'Inputs &amp; Assumptions'!$C$39))</f>
        <v>0.7</v>
      </c>
      <c r="S27" s="18" t="n">
        <f aca="false">IF('Asset Cash Flows'!S141&gt;=20,'Inputs &amp; Assumptions'!$C$37,IF('Asset Cash Flows'!S141&gt;=10,'Inputs &amp; Assumptions'!$C$38,'Inputs &amp; Assumptions'!$C$39))</f>
        <v>0.7</v>
      </c>
      <c r="T27" s="18" t="n">
        <f aca="false">IF('Asset Cash Flows'!T141&gt;=20,'Inputs &amp; Assumptions'!$C$37,IF('Asset Cash Flows'!T141&gt;=10,'Inputs &amp; Assumptions'!$C$38,'Inputs &amp; Assumptions'!$C$39))</f>
        <v>0.7</v>
      </c>
      <c r="U27" s="18" t="n">
        <f aca="false">IF('Asset Cash Flows'!U141&gt;=20,'Inputs &amp; Assumptions'!$C$37,IF('Asset Cash Flows'!U141&gt;=10,'Inputs &amp; Assumptions'!$C$38,'Inputs &amp; Assumptions'!$C$39))</f>
        <v>0.7</v>
      </c>
      <c r="V27" s="18" t="n">
        <f aca="false">IF('Asset Cash Flows'!V141&gt;=20,'Inputs &amp; Assumptions'!$C$37,IF('Asset Cash Flows'!V141&gt;=10,'Inputs &amp; Assumptions'!$C$38,'Inputs &amp; Assumptions'!$C$39))</f>
        <v>0.7</v>
      </c>
      <c r="W27" s="18" t="n">
        <f aca="false">IF('Asset Cash Flows'!W141&gt;=20,'Inputs &amp; Assumptions'!$C$37,IF('Asset Cash Flows'!W141&gt;=10,'Inputs &amp; Assumptions'!$C$38,'Inputs &amp; Assumptions'!$C$39))</f>
        <v>0.7</v>
      </c>
      <c r="X27" s="18" t="n">
        <f aca="false">IF('Asset Cash Flows'!X141&gt;=20,'Inputs &amp; Assumptions'!$C$37,IF('Asset Cash Flows'!X141&gt;=10,'Inputs &amp; Assumptions'!$C$38,'Inputs &amp; Assumptions'!$C$39))</f>
        <v>0.7</v>
      </c>
      <c r="Y27" s="18" t="n">
        <f aca="false">IF('Asset Cash Flows'!Y141&gt;=20,'Inputs &amp; Assumptions'!$C$37,IF('Asset Cash Flows'!Y141&gt;=10,'Inputs &amp; Assumptions'!$C$38,'Inputs &amp; Assumptions'!$C$39))</f>
        <v>0.7</v>
      </c>
      <c r="Z27" s="18" t="n">
        <f aca="false">IF('Asset Cash Flows'!Z141&gt;=20,'Inputs &amp; Assumptions'!$C$37,IF('Asset Cash Flows'!Z141&gt;=10,'Inputs &amp; Assumptions'!$C$38,'Inputs &amp; Assumptions'!$C$39))</f>
        <v>0.8</v>
      </c>
      <c r="AA27" s="18" t="n">
        <f aca="false">IF('Asset Cash Flows'!AA141&gt;=20,'Inputs &amp; Assumptions'!$C$37,IF('Asset Cash Flows'!AA141&gt;=10,'Inputs &amp; Assumptions'!$C$38,'Inputs &amp; Assumptions'!$C$39))</f>
        <v>0.8</v>
      </c>
      <c r="AB27" s="18" t="n">
        <f aca="false">IF('Asset Cash Flows'!AB141&gt;=20,'Inputs &amp; Assumptions'!$C$37,IF('Asset Cash Flows'!AB141&gt;=10,'Inputs &amp; Assumptions'!$C$38,'Inputs &amp; Assumptions'!$C$39))</f>
        <v>0.8</v>
      </c>
      <c r="AC27" s="18" t="n">
        <f aca="false">IF('Asset Cash Flows'!AC141&gt;=20,'Inputs &amp; Assumptions'!$C$37,IF('Asset Cash Flows'!AC141&gt;=10,'Inputs &amp; Assumptions'!$C$38,'Inputs &amp; Assumptions'!$C$39))</f>
        <v>0.8</v>
      </c>
      <c r="AD27" s="18" t="n">
        <f aca="false">IF('Asset Cash Flows'!AD141&gt;=20,'Inputs &amp; Assumptions'!$C$37,IF('Asset Cash Flows'!AD141&gt;=10,'Inputs &amp; Assumptions'!$C$38,'Inputs &amp; Assumptions'!$C$39))</f>
        <v>1</v>
      </c>
      <c r="AE27" s="18" t="n">
        <f aca="false">IF('Asset Cash Flows'!AE141&gt;=20,'Inputs &amp; Assumptions'!$C$37,IF('Asset Cash Flows'!AE141&gt;=10,'Inputs &amp; Assumptions'!$C$38,'Inputs &amp; Assumptions'!$C$39))</f>
        <v>1</v>
      </c>
      <c r="AF27" s="18" t="n">
        <f aca="false">IF('Asset Cash Flows'!AF141&gt;=20,'Inputs &amp; Assumptions'!$C$37,IF('Asset Cash Flows'!AF141&gt;=10,'Inputs &amp; Assumptions'!$C$38,'Inputs &amp; Assumptions'!$C$39))</f>
        <v>1</v>
      </c>
      <c r="AG27" s="18" t="n">
        <f aca="false">IF('Asset Cash Flows'!AG141&gt;=20,'Inputs &amp; Assumptions'!$C$37,IF('Asset Cash Flows'!AG141&gt;=10,'Inputs &amp; Assumptions'!$C$38,'Inputs &amp; Assumptions'!$C$39))</f>
        <v>1</v>
      </c>
      <c r="AH27" s="18" t="n">
        <f aca="false">IF('Asset Cash Flows'!AH141&gt;=20,'Inputs &amp; Assumptions'!$C$37,IF('Asset Cash Flows'!AH141&gt;=10,'Inputs &amp; Assumptions'!$C$38,'Inputs &amp; Assumptions'!$C$39))</f>
        <v>1</v>
      </c>
      <c r="AI27" s="18" t="n">
        <f aca="false">IF('Asset Cash Flows'!AI141&gt;=20,'Inputs &amp; Assumptions'!$C$37,IF('Asset Cash Flows'!AI141&gt;=10,'Inputs &amp; Assumptions'!$C$38,'Inputs &amp; Assumptions'!$C$39))</f>
        <v>1</v>
      </c>
      <c r="AJ27" s="18" t="n">
        <f aca="false">IF('Asset Cash Flows'!AJ141&gt;=20,'Inputs &amp; Assumptions'!$C$37,IF('Asset Cash Flows'!AJ141&gt;=10,'Inputs &amp; Assumptions'!$C$38,'Inputs &amp; Assumptions'!$C$39))</f>
        <v>1</v>
      </c>
      <c r="AK27" s="18" t="n">
        <f aca="false">IF('Asset Cash Flows'!AK141&gt;=20,'Inputs &amp; Assumptions'!$C$37,IF('Asset Cash Flows'!AK141&gt;=10,'Inputs &amp; Assumptions'!$C$38,'Inputs &amp; Assumptions'!$C$39))</f>
        <v>1</v>
      </c>
      <c r="AL27" s="18" t="n">
        <f aca="false">IF('Asset Cash Flows'!AL141&gt;=20,'Inputs &amp; Assumptions'!$C$37,IF('Asset Cash Flows'!AL141&gt;=10,'Inputs &amp; Assumptions'!$C$38,'Inputs &amp; Assumptions'!$C$39))</f>
        <v>1</v>
      </c>
      <c r="AM27" s="18" t="n">
        <f aca="false">IF('Asset Cash Flows'!AM141&gt;=20,'Inputs &amp; Assumptions'!$C$37,IF('Asset Cash Flows'!AM141&gt;=10,'Inputs &amp; Assumptions'!$C$38,'Inputs &amp; Assumptions'!$C$39))</f>
        <v>1</v>
      </c>
      <c r="AN27" s="18" t="n">
        <f aca="false">IF('Asset Cash Flows'!AN141&gt;=20,'Inputs &amp; Assumptions'!$C$37,IF('Asset Cash Flows'!AN141&gt;=10,'Inputs &amp; Assumptions'!$C$38,'Inputs &amp; Assumptions'!$C$39))</f>
        <v>1</v>
      </c>
    </row>
    <row r="28" customFormat="false" ht="15" hidden="false" customHeight="false" outlineLevel="0" collapsed="false">
      <c r="A28" s="5" t="s">
        <v>168</v>
      </c>
      <c r="E28" s="39" t="n">
        <f aca="false">E6-E17-E25</f>
        <v>340424922.203496</v>
      </c>
      <c r="F28" s="39" t="n">
        <f aca="false">F6-F17-F25</f>
        <v>322760343.421729</v>
      </c>
      <c r="G28" s="39" t="n">
        <f aca="false">G6-G17-G25</f>
        <v>304957060.20328</v>
      </c>
      <c r="H28" s="39" t="n">
        <f aca="false">H6-H17-H25</f>
        <v>287096629.796262</v>
      </c>
      <c r="I28" s="39" t="n">
        <f aca="false">I6-I17-I25</f>
        <v>269250957.796296</v>
      </c>
      <c r="J28" s="39" t="n">
        <f aca="false">J6-J17-J25</f>
        <v>252188025.841688</v>
      </c>
      <c r="K28" s="39" t="n">
        <f aca="false">K6-K17-K25</f>
        <v>236215285.310205</v>
      </c>
      <c r="L28" s="39" t="n">
        <f aca="false">L6-L17-L25</f>
        <v>221256838.179282</v>
      </c>
      <c r="M28" s="39" t="n">
        <f aca="false">M6-M17-M25</f>
        <v>207241544.793043</v>
      </c>
      <c r="N28" s="39" t="n">
        <f aca="false">N6-N17-N25</f>
        <v>191855427.980295</v>
      </c>
      <c r="O28" s="39" t="n">
        <f aca="false">O6-O17-O25</f>
        <v>177372252.66229</v>
      </c>
      <c r="P28" s="39" t="n">
        <f aca="false">P6-P17-P25</f>
        <v>163761636.05238</v>
      </c>
      <c r="Q28" s="39" t="n">
        <f aca="false">Q6-Q17-Q25</f>
        <v>150981666.34856</v>
      </c>
      <c r="R28" s="39" t="n">
        <f aca="false">R6-R17-R25</f>
        <v>139023186.693111</v>
      </c>
      <c r="S28" s="39" t="n">
        <f aca="false">S6-S17-S25</f>
        <v>127852341.883172</v>
      </c>
      <c r="T28" s="39" t="n">
        <f aca="false">T6-T17-T25</f>
        <v>117430953.137723</v>
      </c>
      <c r="U28" s="39" t="n">
        <f aca="false">U6-U17-U25</f>
        <v>107714480.549879</v>
      </c>
      <c r="V28" s="39" t="n">
        <f aca="false">V6-V17-V25</f>
        <v>98641211.8278441</v>
      </c>
      <c r="W28" s="39" t="n">
        <f aca="false">W6-W17-W25</f>
        <v>82628548.0232657</v>
      </c>
      <c r="X28" s="39" t="n">
        <f aca="false">X6-X17-X25</f>
        <v>64224598.9860612</v>
      </c>
      <c r="Y28" s="39" t="n">
        <f aca="false">Y6-Y17-Y25</f>
        <v>47309170.2308545</v>
      </c>
      <c r="Z28" s="39" t="n">
        <f aca="false">Z6-Z17-Z25</f>
        <v>31774779.557593</v>
      </c>
      <c r="AA28" s="39" t="n">
        <f aca="false">AA6-AA17-AA25</f>
        <v>15480481.4704027</v>
      </c>
      <c r="AB28" s="39" t="n">
        <f aca="false">AB6-AB17-AB25</f>
        <v>550289.892536361</v>
      </c>
      <c r="AC28" s="39" t="n">
        <f aca="false">AC6-AC17-AC25</f>
        <v>0</v>
      </c>
      <c r="AD28" s="39" t="n">
        <f aca="false">AD6-AD17-AD25</f>
        <v>0</v>
      </c>
      <c r="AE28" s="39" t="n">
        <f aca="false">AE6-AE17-AE25</f>
        <v>0</v>
      </c>
      <c r="AF28" s="39" t="n">
        <f aca="false">AF6-AF17-AF25</f>
        <v>0</v>
      </c>
      <c r="AG28" s="39" t="n">
        <f aca="false">AG6-AG17-AG25</f>
        <v>0</v>
      </c>
      <c r="AH28" s="39" t="n">
        <f aca="false">AH6-AH17-AH25</f>
        <v>0</v>
      </c>
      <c r="AI28" s="39" t="n">
        <f aca="false">AI6-AI17-AI25</f>
        <v>0</v>
      </c>
      <c r="AJ28" s="39" t="n">
        <f aca="false">AJ6-AJ17-AJ25</f>
        <v>0</v>
      </c>
      <c r="AK28" s="39" t="n">
        <f aca="false">AK6-AK17-AK25</f>
        <v>0</v>
      </c>
      <c r="AL28" s="39" t="n">
        <f aca="false">AL6-AL17-AL25</f>
        <v>0</v>
      </c>
      <c r="AM28" s="39" t="n">
        <f aca="false">AM6-AM17-AM25</f>
        <v>0</v>
      </c>
      <c r="AN28" s="39" t="n">
        <f aca="false">AN6-AN17-AN25</f>
        <v>0</v>
      </c>
    </row>
    <row r="29" customFormat="false" ht="15" hidden="false" customHeight="false" outlineLevel="0" collapsed="false">
      <c r="A29" s="5" t="s">
        <v>169</v>
      </c>
      <c r="E29" s="39" t="n">
        <f aca="false">MIN(E27*E26,E28)</f>
        <v>17664578.7817665</v>
      </c>
      <c r="F29" s="39" t="n">
        <f aca="false">MIN(F27*F26,F28)</f>
        <v>17803283.2184492</v>
      </c>
      <c r="G29" s="39" t="n">
        <f aca="false">MIN(G27*G26,G28)</f>
        <v>17860430.4070183</v>
      </c>
      <c r="H29" s="39" t="n">
        <f aca="false">MIN(H27*H26,H28)</f>
        <v>17845671.9999663</v>
      </c>
      <c r="I29" s="39" t="n">
        <f aca="false">MIN(I27*I26,I28)</f>
        <v>17062931.9546074</v>
      </c>
      <c r="J29" s="39" t="n">
        <f aca="false">MIN(J27*J26,J28)</f>
        <v>15972740.531483</v>
      </c>
      <c r="K29" s="39" t="n">
        <f aca="false">MIN(K27*K26,K28)</f>
        <v>14958447.1309236</v>
      </c>
      <c r="L29" s="39" t="n">
        <f aca="false">MIN(L27*L26,L28)</f>
        <v>14015293.3862384</v>
      </c>
      <c r="M29" s="39" t="n">
        <f aca="false">MIN(M27*M26,M28)</f>
        <v>15386116.8127486</v>
      </c>
      <c r="N29" s="39" t="n">
        <f aca="false">MIN(N27*N26,N28)</f>
        <v>14483175.318005</v>
      </c>
      <c r="O29" s="39" t="n">
        <f aca="false">MIN(O27*O26,O28)</f>
        <v>13610616.6099097</v>
      </c>
      <c r="P29" s="39" t="n">
        <f aca="false">MIN(P27*P26,P28)</f>
        <v>12779969.7038198</v>
      </c>
      <c r="Q29" s="39" t="n">
        <f aca="false">MIN(Q27*Q26,Q28)</f>
        <v>11958479.6554486</v>
      </c>
      <c r="R29" s="39" t="n">
        <f aca="false">MIN(R27*R26,R28)</f>
        <v>11170844.8099397</v>
      </c>
      <c r="S29" s="39" t="n">
        <f aca="false">MIN(S27*S26,S28)</f>
        <v>10421388.7454492</v>
      </c>
      <c r="T29" s="39" t="n">
        <f aca="false">MIN(T27*T26,T28)</f>
        <v>9716472.58784364</v>
      </c>
      <c r="U29" s="39" t="n">
        <f aca="false">MIN(U27*U26,U28)</f>
        <v>9073268.72203491</v>
      </c>
      <c r="V29" s="39" t="n">
        <f aca="false">MIN(V27*V26,V28)</f>
        <v>16012663.8045783</v>
      </c>
      <c r="W29" s="39" t="n">
        <f aca="false">MIN(W27*W26,W28)</f>
        <v>18403949.0372045</v>
      </c>
      <c r="X29" s="39" t="n">
        <f aca="false">MIN(X27*X26,X28)</f>
        <v>16915428.7552067</v>
      </c>
      <c r="Y29" s="39" t="n">
        <f aca="false">MIN(Y27*Y26,Y28)</f>
        <v>15534390.6732614</v>
      </c>
      <c r="Z29" s="39" t="n">
        <f aca="false">MIN(Z27*Z26,Z28)</f>
        <v>16294298.0871903</v>
      </c>
      <c r="AA29" s="39" t="n">
        <f aca="false">MIN(AA27*AA26,AA28)</f>
        <v>14930191.5778664</v>
      </c>
      <c r="AB29" s="39" t="n">
        <f aca="false">MIN(AB27*AB26,AB28)</f>
        <v>550289.892536361</v>
      </c>
      <c r="AC29" s="39" t="n">
        <f aca="false">MIN(AC27*AC26,AC28)</f>
        <v>0</v>
      </c>
      <c r="AD29" s="39" t="n">
        <f aca="false">MIN(AD27*AD26,AD28)</f>
        <v>0</v>
      </c>
      <c r="AE29" s="39" t="n">
        <f aca="false">MIN(AE27*AE26,AE28)</f>
        <v>0</v>
      </c>
      <c r="AF29" s="39" t="n">
        <f aca="false">MIN(AF27*AF26,AF28)</f>
        <v>0</v>
      </c>
      <c r="AG29" s="39" t="n">
        <f aca="false">MIN(AG27*AG26,AG28)</f>
        <v>0</v>
      </c>
      <c r="AH29" s="39" t="n">
        <f aca="false">MIN(AH27*AH26,AH28)</f>
        <v>0</v>
      </c>
      <c r="AI29" s="39" t="n">
        <f aca="false">MIN(AI27*AI26,AI28)</f>
        <v>0</v>
      </c>
      <c r="AJ29" s="39" t="n">
        <f aca="false">MIN(AJ27*AJ26,AJ28)</f>
        <v>0</v>
      </c>
      <c r="AK29" s="39" t="n">
        <f aca="false">MIN(AK27*AK26,AK28)</f>
        <v>0</v>
      </c>
      <c r="AL29" s="39" t="n">
        <f aca="false">MIN(AL27*AL26,AL28)</f>
        <v>0</v>
      </c>
      <c r="AM29" s="39" t="n">
        <f aca="false">MIN(AM27*AM26,AM28)</f>
        <v>0</v>
      </c>
      <c r="AN29" s="39" t="n">
        <f aca="false">MIN(AN27*AN26,AN28)</f>
        <v>0</v>
      </c>
    </row>
    <row r="30" customFormat="false" ht="15" hidden="false" customHeight="false" outlineLevel="0" collapsed="false">
      <c r="A30" s="5" t="s">
        <v>170</v>
      </c>
      <c r="E30" s="39" t="n">
        <f aca="false">E26-E29</f>
        <v>7570533.76361422</v>
      </c>
      <c r="F30" s="39" t="n">
        <f aca="false">F26-F29</f>
        <v>7629978.52219254</v>
      </c>
      <c r="G30" s="39" t="n">
        <f aca="false">G26-G29</f>
        <v>7654470.17443641</v>
      </c>
      <c r="H30" s="39" t="n">
        <f aca="false">H26-H29</f>
        <v>7648145.1428427</v>
      </c>
      <c r="I30" s="39" t="n">
        <f aca="false">I26-I29</f>
        <v>7312685.12340316</v>
      </c>
      <c r="J30" s="39" t="n">
        <f aca="false">J26-J29</f>
        <v>6845460.22777841</v>
      </c>
      <c r="K30" s="39" t="n">
        <f aca="false">K26-K29</f>
        <v>6410763.05611013</v>
      </c>
      <c r="L30" s="39" t="n">
        <f aca="false">L26-L29</f>
        <v>6006554.30838788</v>
      </c>
      <c r="M30" s="39" t="n">
        <f aca="false">M26-M29</f>
        <v>6594050.06260655</v>
      </c>
      <c r="N30" s="39" t="n">
        <f aca="false">N26-N29</f>
        <v>6207075.13628785</v>
      </c>
      <c r="O30" s="39" t="n">
        <f aca="false">O26-O29</f>
        <v>5833121.40424702</v>
      </c>
      <c r="P30" s="39" t="n">
        <f aca="false">P26-P29</f>
        <v>5477129.87306562</v>
      </c>
      <c r="Q30" s="39" t="n">
        <f aca="false">Q26-Q29</f>
        <v>5125062.70947798</v>
      </c>
      <c r="R30" s="39" t="n">
        <f aca="false">R26-R29</f>
        <v>4787504.91854558</v>
      </c>
      <c r="S30" s="39" t="n">
        <f aca="false">S26-S29</f>
        <v>4466309.46233537</v>
      </c>
      <c r="T30" s="39" t="n">
        <f aca="false">T26-T29</f>
        <v>4164202.53764728</v>
      </c>
      <c r="U30" s="39" t="n">
        <f aca="false">U26-U29</f>
        <v>3888543.73801496</v>
      </c>
      <c r="V30" s="39" t="n">
        <f aca="false">V26-V29</f>
        <v>6862570.20196214</v>
      </c>
      <c r="W30" s="39" t="n">
        <f aca="false">W26-W29</f>
        <v>7887406.73023051</v>
      </c>
      <c r="X30" s="39" t="n">
        <f aca="false">X26-X29</f>
        <v>7249469.46651717</v>
      </c>
      <c r="Y30" s="39" t="n">
        <f aca="false">Y26-Y29</f>
        <v>6657596.00282634</v>
      </c>
      <c r="Z30" s="39" t="n">
        <f aca="false">Z26-Z29</f>
        <v>4073574.52179758</v>
      </c>
      <c r="AA30" s="39" t="n">
        <f aca="false">AA26-AA29</f>
        <v>3732547.89446659</v>
      </c>
      <c r="AB30" s="39" t="n">
        <f aca="false">AB26-AB29</f>
        <v>16523193.2333572</v>
      </c>
      <c r="AC30" s="39" t="n">
        <f aca="false">AC26-AC29</f>
        <v>15646732.8570852</v>
      </c>
      <c r="AD30" s="39" t="n">
        <f aca="false">AD26-AD29</f>
        <v>14326065.3604897</v>
      </c>
      <c r="AE30" s="39" t="n">
        <f aca="false">AE26-AE29</f>
        <v>13072374.8086461</v>
      </c>
      <c r="AF30" s="39" t="n">
        <f aca="false">AF26-AF29</f>
        <v>4367443.74580403</v>
      </c>
      <c r="AG30" s="39" t="n">
        <f aca="false">AG26-AG29</f>
        <v>275205.631024147</v>
      </c>
      <c r="AH30" s="39" t="n">
        <f aca="false">AH26-AH29</f>
        <v>214062.264108125</v>
      </c>
      <c r="AI30" s="39" t="n">
        <f aca="false">AI26-AI29</f>
        <v>158092.389932903</v>
      </c>
      <c r="AJ30" s="39" t="n">
        <f aca="false">AJ26-AJ29</f>
        <v>106932.500786706</v>
      </c>
      <c r="AK30" s="39" t="n">
        <f aca="false">AK26-AK29</f>
        <v>66141.4220464593</v>
      </c>
      <c r="AL30" s="39" t="n">
        <f aca="false">AL26-AL29</f>
        <v>31701.5527081401</v>
      </c>
      <c r="AM30" s="39" t="n">
        <f aca="false">AM26-AM29</f>
        <v>242.593229700156</v>
      </c>
      <c r="AN30" s="39" t="n">
        <f aca="false">AN26-AN29</f>
        <v>0</v>
      </c>
    </row>
    <row r="31" customFormat="false" ht="15" hidden="false" customHeight="false" outlineLevel="0" collapsed="false">
      <c r="A31" s="5" t="s">
        <v>171</v>
      </c>
      <c r="E31" s="39" t="n">
        <f aca="false">MIN(E30,E33)</f>
        <v>7570533.76361422</v>
      </c>
      <c r="F31" s="39" t="n">
        <f aca="false">MIN(F30,F33)</f>
        <v>7629978.52219254</v>
      </c>
      <c r="G31" s="39" t="n">
        <f aca="false">MIN(G30,G33)</f>
        <v>7654470.17443641</v>
      </c>
      <c r="H31" s="39" t="n">
        <f aca="false">MIN(H30,H33)</f>
        <v>7648145.1428427</v>
      </c>
      <c r="I31" s="39" t="n">
        <f aca="false">MIN(I30,I33)</f>
        <v>7312685.12340316</v>
      </c>
      <c r="J31" s="39" t="n">
        <f aca="false">MIN(J30,J33)</f>
        <v>6845460.22777841</v>
      </c>
      <c r="K31" s="39" t="n">
        <f aca="false">MIN(K30,K33)</f>
        <v>6410763.05611013</v>
      </c>
      <c r="L31" s="39" t="n">
        <f aca="false">MIN(L30,L33)</f>
        <v>6006554.30838788</v>
      </c>
      <c r="M31" s="39" t="n">
        <f aca="false">MIN(M30,M33)</f>
        <v>6594050.06260655</v>
      </c>
      <c r="N31" s="39" t="n">
        <f aca="false">MIN(N30,N33)</f>
        <v>6207075.13628785</v>
      </c>
      <c r="O31" s="39" t="n">
        <f aca="false">MIN(O30,O33)</f>
        <v>5833121.40424702</v>
      </c>
      <c r="P31" s="39" t="n">
        <f aca="false">MIN(P30,P33)</f>
        <v>5477129.87306562</v>
      </c>
      <c r="Q31" s="39" t="n">
        <f aca="false">MIN(Q30,Q33)</f>
        <v>5125062.70947798</v>
      </c>
      <c r="R31" s="39" t="n">
        <f aca="false">MIN(R30,R33)</f>
        <v>4787504.91854558</v>
      </c>
      <c r="S31" s="39" t="n">
        <f aca="false">MIN(S30,S33)</f>
        <v>4466309.46233537</v>
      </c>
      <c r="T31" s="39" t="n">
        <f aca="false">MIN(T30,T33)</f>
        <v>4164202.53764728</v>
      </c>
      <c r="U31" s="39" t="n">
        <f aca="false">MIN(U30,U33)</f>
        <v>3888543.73801496</v>
      </c>
      <c r="V31" s="39" t="n">
        <f aca="false">MIN(V30,V33)</f>
        <v>6862570.20196214</v>
      </c>
      <c r="W31" s="39" t="n">
        <f aca="false">MIN(W30,W33)</f>
        <v>7887406.73023051</v>
      </c>
      <c r="X31" s="39" t="n">
        <f aca="false">MIN(X30,X33)</f>
        <v>7249469.46651717</v>
      </c>
      <c r="Y31" s="39" t="n">
        <f aca="false">MIN(Y30,Y33)</f>
        <v>6657596.00282634</v>
      </c>
      <c r="Z31" s="39" t="n">
        <f aca="false">MIN(Z30,Z33)</f>
        <v>4073574.52179758</v>
      </c>
      <c r="AA31" s="39" t="n">
        <f aca="false">MIN(AA30,AA33)</f>
        <v>3732547.89446659</v>
      </c>
      <c r="AB31" s="39" t="n">
        <f aca="false">MIN(AB30,AB33)</f>
        <v>16523193.2333572</v>
      </c>
      <c r="AC31" s="39" t="n">
        <f aca="false">MIN(AC30,AC33)</f>
        <v>15646732.8570852</v>
      </c>
      <c r="AD31" s="39" t="n">
        <f aca="false">MIN(AD30,AD33)</f>
        <v>14326065.3604897</v>
      </c>
      <c r="AE31" s="39" t="n">
        <f aca="false">MIN(AE30,AE33)</f>
        <v>13072374.8086461</v>
      </c>
      <c r="AF31" s="39" t="n">
        <f aca="false">MIN(AF30,AF33)</f>
        <v>4367443.74580403</v>
      </c>
      <c r="AG31" s="39" t="n">
        <f aca="false">MIN(AG30,AG33)</f>
        <v>275205.631024147</v>
      </c>
      <c r="AH31" s="39" t="n">
        <f aca="false">MIN(AH30,AH33)</f>
        <v>214062.264108125</v>
      </c>
      <c r="AI31" s="39" t="n">
        <f aca="false">MIN(AI30,AI33)</f>
        <v>158092.389932903</v>
      </c>
      <c r="AJ31" s="39" t="n">
        <f aca="false">MIN(AJ30,AJ33)</f>
        <v>106932.500786706</v>
      </c>
      <c r="AK31" s="39" t="n">
        <f aca="false">MIN(AK30,AK33)</f>
        <v>66141.4220464593</v>
      </c>
      <c r="AL31" s="39" t="n">
        <f aca="false">MIN(AL30,AL33)</f>
        <v>31701.5527081401</v>
      </c>
      <c r="AM31" s="39" t="n">
        <f aca="false">MIN(AM30,AM33)</f>
        <v>242.593229700156</v>
      </c>
      <c r="AN31" s="39" t="n">
        <f aca="false">MIN(AN30,AN33)</f>
        <v>0</v>
      </c>
    </row>
    <row r="32" customFormat="false" ht="15" hidden="false" customHeight="false" outlineLevel="0" collapsed="false">
      <c r="A32" s="14" t="s">
        <v>172</v>
      </c>
      <c r="E32" s="39" t="n">
        <f aca="false">E6-E17-E25-E29</f>
        <v>322760343.421729</v>
      </c>
      <c r="F32" s="39" t="n">
        <f aca="false">F6-F17-F25-F29</f>
        <v>304957060.20328</v>
      </c>
      <c r="G32" s="39" t="n">
        <f aca="false">G6-G17-G25-G29</f>
        <v>287096629.796262</v>
      </c>
      <c r="H32" s="39" t="n">
        <f aca="false">H6-H17-H25-H29</f>
        <v>269250957.796296</v>
      </c>
      <c r="I32" s="39" t="n">
        <f aca="false">I6-I17-I25-I29</f>
        <v>252188025.841688</v>
      </c>
      <c r="J32" s="39" t="n">
        <f aca="false">J6-J17-J25-J29</f>
        <v>236215285.310205</v>
      </c>
      <c r="K32" s="39" t="n">
        <f aca="false">K6-K17-K25-K29</f>
        <v>221256838.179282</v>
      </c>
      <c r="L32" s="39" t="n">
        <f aca="false">L6-L17-L25-L29</f>
        <v>207241544.793043</v>
      </c>
      <c r="M32" s="39" t="n">
        <f aca="false">M6-M17-M25-M29</f>
        <v>191855427.980295</v>
      </c>
      <c r="N32" s="39" t="n">
        <f aca="false">N6-N17-N25-N29</f>
        <v>177372252.66229</v>
      </c>
      <c r="O32" s="39" t="n">
        <f aca="false">O6-O17-O25-O29</f>
        <v>163761636.05238</v>
      </c>
      <c r="P32" s="39" t="n">
        <f aca="false">P6-P17-P25-P29</f>
        <v>150981666.34856</v>
      </c>
      <c r="Q32" s="39" t="n">
        <f aca="false">Q6-Q17-Q25-Q29</f>
        <v>139023186.693111</v>
      </c>
      <c r="R32" s="39" t="n">
        <f aca="false">R6-R17-R25-R29</f>
        <v>127852341.883172</v>
      </c>
      <c r="S32" s="39" t="n">
        <f aca="false">S6-S17-S25-S29</f>
        <v>117430953.137723</v>
      </c>
      <c r="T32" s="39" t="n">
        <f aca="false">T6-T17-T25-T29</f>
        <v>107714480.549879</v>
      </c>
      <c r="U32" s="39" t="n">
        <f aca="false">U6-U17-U25-U29</f>
        <v>98641211.8278441</v>
      </c>
      <c r="V32" s="39" t="n">
        <f aca="false">V6-V17-V25-V29</f>
        <v>82628548.0232657</v>
      </c>
      <c r="W32" s="39" t="n">
        <f aca="false">W6-W17-W25-W29</f>
        <v>64224598.9860612</v>
      </c>
      <c r="X32" s="39" t="n">
        <f aca="false">X6-X17-X25-X29</f>
        <v>47309170.2308545</v>
      </c>
      <c r="Y32" s="39" t="n">
        <f aca="false">Y6-Y17-Y25-Y29</f>
        <v>31774779.557593</v>
      </c>
      <c r="Z32" s="39" t="n">
        <f aca="false">Z6-Z17-Z25-Z29</f>
        <v>15480481.4704027</v>
      </c>
      <c r="AA32" s="39" t="n">
        <f aca="false">AA6-AA17-AA25-AA29</f>
        <v>550289.892536361</v>
      </c>
      <c r="AB32" s="39" t="n">
        <f aca="false">AB6-AB17-AB25-AB29</f>
        <v>0</v>
      </c>
      <c r="AC32" s="39" t="n">
        <f aca="false">AC6-AC17-AC25-AC29</f>
        <v>0</v>
      </c>
      <c r="AD32" s="39" t="n">
        <f aca="false">AD6-AD17-AD25-AD29</f>
        <v>0</v>
      </c>
      <c r="AE32" s="39" t="n">
        <f aca="false">AE6-AE17-AE25-AE29</f>
        <v>0</v>
      </c>
      <c r="AF32" s="39" t="n">
        <f aca="false">AF6-AF17-AF25-AF29</f>
        <v>0</v>
      </c>
      <c r="AG32" s="39" t="n">
        <f aca="false">AG6-AG17-AG25-AG29</f>
        <v>0</v>
      </c>
      <c r="AH32" s="39" t="n">
        <f aca="false">AH6-AH17-AH25-AH29</f>
        <v>0</v>
      </c>
      <c r="AI32" s="39" t="n">
        <f aca="false">AI6-AI17-AI25-AI29</f>
        <v>0</v>
      </c>
      <c r="AJ32" s="39" t="n">
        <f aca="false">AJ6-AJ17-AJ25-AJ29</f>
        <v>0</v>
      </c>
      <c r="AK32" s="39" t="n">
        <f aca="false">AK6-AK17-AK25-AK29</f>
        <v>0</v>
      </c>
      <c r="AL32" s="39" t="n">
        <f aca="false">AL6-AL17-AL25-AL29</f>
        <v>0</v>
      </c>
      <c r="AM32" s="39" t="n">
        <f aca="false">AM6-AM17-AM25-AM29</f>
        <v>0</v>
      </c>
      <c r="AN32" s="39" t="n">
        <f aca="false">AN6-AN17-AN25-AN29</f>
        <v>0</v>
      </c>
    </row>
    <row r="33" customFormat="false" ht="15" hidden="false" customHeight="false" outlineLevel="0" collapsed="false">
      <c r="A33" s="14" t="s">
        <v>173</v>
      </c>
      <c r="E33" s="39" t="n">
        <f aca="false">'Inputs &amp; Assumptions'!$C$135</f>
        <v>226949948.135664</v>
      </c>
      <c r="F33" s="39" t="n">
        <f aca="false">E34</f>
        <v>219379414.37205</v>
      </c>
      <c r="G33" s="39" t="n">
        <f aca="false">F34</f>
        <v>211749435.849857</v>
      </c>
      <c r="H33" s="39" t="n">
        <f aca="false">G34</f>
        <v>204094965.675421</v>
      </c>
      <c r="I33" s="39" t="n">
        <f aca="false">H34</f>
        <v>196446820.532578</v>
      </c>
      <c r="J33" s="39" t="n">
        <f aca="false">I34</f>
        <v>189134135.409175</v>
      </c>
      <c r="K33" s="39" t="n">
        <f aca="false">J34</f>
        <v>182288675.181397</v>
      </c>
      <c r="L33" s="39" t="n">
        <f aca="false">K34</f>
        <v>175877912.125286</v>
      </c>
      <c r="M33" s="39" t="n">
        <f aca="false">L34</f>
        <v>169871357.816899</v>
      </c>
      <c r="N33" s="39" t="n">
        <f aca="false">M34</f>
        <v>163277307.754292</v>
      </c>
      <c r="O33" s="39" t="n">
        <f aca="false">N34</f>
        <v>157070232.618004</v>
      </c>
      <c r="P33" s="39" t="n">
        <f aca="false">O34</f>
        <v>151237111.213757</v>
      </c>
      <c r="Q33" s="39" t="n">
        <f aca="false">P34</f>
        <v>145759981.340691</v>
      </c>
      <c r="R33" s="39" t="n">
        <f aca="false">Q34</f>
        <v>140634918.631214</v>
      </c>
      <c r="S33" s="39" t="n">
        <f aca="false">R34</f>
        <v>135847413.712668</v>
      </c>
      <c r="T33" s="39" t="n">
        <f aca="false">S34</f>
        <v>131381104.250333</v>
      </c>
      <c r="U33" s="39" t="n">
        <f aca="false">T34</f>
        <v>127216901.712685</v>
      </c>
      <c r="V33" s="39" t="n">
        <f aca="false">U34</f>
        <v>123328357.97467</v>
      </c>
      <c r="W33" s="39" t="n">
        <f aca="false">V34</f>
        <v>116465787.772708</v>
      </c>
      <c r="X33" s="39" t="n">
        <f aca="false">W34</f>
        <v>108578381.042478</v>
      </c>
      <c r="Y33" s="39" t="n">
        <f aca="false">X34</f>
        <v>101328911.57596</v>
      </c>
      <c r="Z33" s="39" t="n">
        <f aca="false">Y34</f>
        <v>94671315.5731341</v>
      </c>
      <c r="AA33" s="39" t="n">
        <f aca="false">Z34</f>
        <v>90597741.0513366</v>
      </c>
      <c r="AB33" s="39" t="n">
        <f aca="false">AA34</f>
        <v>86865193.15687</v>
      </c>
      <c r="AC33" s="39" t="n">
        <f aca="false">AB34</f>
        <v>70341999.9235128</v>
      </c>
      <c r="AD33" s="39" t="n">
        <f aca="false">AC34</f>
        <v>54695267.0664276</v>
      </c>
      <c r="AE33" s="39" t="n">
        <f aca="false">AD34</f>
        <v>40369201.7059379</v>
      </c>
      <c r="AF33" s="39" t="n">
        <f aca="false">AE34</f>
        <v>27296826.8972918</v>
      </c>
      <c r="AG33" s="39" t="n">
        <f aca="false">AF34</f>
        <v>22929383.1514878</v>
      </c>
      <c r="AH33" s="39" t="n">
        <f aca="false">AG34</f>
        <v>22654177.5204636</v>
      </c>
      <c r="AI33" s="39" t="n">
        <f aca="false">AH34</f>
        <v>22440115.2563555</v>
      </c>
      <c r="AJ33" s="39" t="n">
        <f aca="false">AI34</f>
        <v>22282022.8664226</v>
      </c>
      <c r="AK33" s="39" t="n">
        <f aca="false">AJ34</f>
        <v>22175090.3656359</v>
      </c>
      <c r="AL33" s="39" t="n">
        <f aca="false">AK34</f>
        <v>22108948.9435894</v>
      </c>
      <c r="AM33" s="39" t="n">
        <f aca="false">AL34</f>
        <v>22077247.3908813</v>
      </c>
      <c r="AN33" s="39" t="n">
        <f aca="false">AM34</f>
        <v>22077004.7976516</v>
      </c>
    </row>
    <row r="34" customFormat="false" ht="15" hidden="false" customHeight="false" outlineLevel="0" collapsed="false">
      <c r="A34" s="14" t="s">
        <v>174</v>
      </c>
      <c r="E34" s="39" t="n">
        <f aca="false">E33-E31</f>
        <v>219379414.37205</v>
      </c>
      <c r="F34" s="39" t="n">
        <f aca="false">F33-F31</f>
        <v>211749435.849857</v>
      </c>
      <c r="G34" s="39" t="n">
        <f aca="false">G33-G31</f>
        <v>204094965.675421</v>
      </c>
      <c r="H34" s="39" t="n">
        <f aca="false">H33-H31</f>
        <v>196446820.532578</v>
      </c>
      <c r="I34" s="39" t="n">
        <f aca="false">I33-I31</f>
        <v>189134135.409175</v>
      </c>
      <c r="J34" s="39" t="n">
        <f aca="false">J33-J31</f>
        <v>182288675.181397</v>
      </c>
      <c r="K34" s="39" t="n">
        <f aca="false">K33-K31</f>
        <v>175877912.125286</v>
      </c>
      <c r="L34" s="39" t="n">
        <f aca="false">L33-L31</f>
        <v>169871357.816899</v>
      </c>
      <c r="M34" s="39" t="n">
        <f aca="false">M33-M31</f>
        <v>163277307.754292</v>
      </c>
      <c r="N34" s="39" t="n">
        <f aca="false">N33-N31</f>
        <v>157070232.618004</v>
      </c>
      <c r="O34" s="39" t="n">
        <f aca="false">O33-O31</f>
        <v>151237111.213757</v>
      </c>
      <c r="P34" s="39" t="n">
        <f aca="false">P33-P31</f>
        <v>145759981.340691</v>
      </c>
      <c r="Q34" s="39" t="n">
        <f aca="false">Q33-Q31</f>
        <v>140634918.631214</v>
      </c>
      <c r="R34" s="39" t="n">
        <f aca="false">R33-R31</f>
        <v>135847413.712668</v>
      </c>
      <c r="S34" s="39" t="n">
        <f aca="false">S33-S31</f>
        <v>131381104.250333</v>
      </c>
      <c r="T34" s="39" t="n">
        <f aca="false">T33-T31</f>
        <v>127216901.712685</v>
      </c>
      <c r="U34" s="39" t="n">
        <f aca="false">U33-U31</f>
        <v>123328357.97467</v>
      </c>
      <c r="V34" s="39" t="n">
        <f aca="false">V33-V31</f>
        <v>116465787.772708</v>
      </c>
      <c r="W34" s="39" t="n">
        <f aca="false">W33-W31</f>
        <v>108578381.042478</v>
      </c>
      <c r="X34" s="39" t="n">
        <f aca="false">X33-X31</f>
        <v>101328911.57596</v>
      </c>
      <c r="Y34" s="39" t="n">
        <f aca="false">Y33-Y31</f>
        <v>94671315.5731341</v>
      </c>
      <c r="Z34" s="39" t="n">
        <f aca="false">Z33-Z31</f>
        <v>90597741.0513366</v>
      </c>
      <c r="AA34" s="39" t="n">
        <f aca="false">AA33-AA31</f>
        <v>86865193.15687</v>
      </c>
      <c r="AB34" s="39" t="n">
        <f aca="false">AB33-AB31</f>
        <v>70341999.9235128</v>
      </c>
      <c r="AC34" s="39" t="n">
        <f aca="false">AC33-AC31</f>
        <v>54695267.0664276</v>
      </c>
      <c r="AD34" s="39" t="n">
        <f aca="false">AD33-AD31</f>
        <v>40369201.7059379</v>
      </c>
      <c r="AE34" s="39" t="n">
        <f aca="false">AE33-AE31</f>
        <v>27296826.8972918</v>
      </c>
      <c r="AF34" s="39" t="n">
        <f aca="false">AF33-AF31</f>
        <v>22929383.1514878</v>
      </c>
      <c r="AG34" s="39" t="n">
        <f aca="false">AG33-AG31</f>
        <v>22654177.5204636</v>
      </c>
      <c r="AH34" s="39" t="n">
        <f aca="false">AH33-AH31</f>
        <v>22440115.2563555</v>
      </c>
      <c r="AI34" s="39" t="n">
        <f aca="false">AI33-AI31</f>
        <v>22282022.8664226</v>
      </c>
      <c r="AJ34" s="39" t="n">
        <f aca="false">AJ33-AJ31</f>
        <v>22175090.3656359</v>
      </c>
      <c r="AK34" s="39" t="n">
        <f aca="false">AK33-AK31</f>
        <v>22108948.9435894</v>
      </c>
      <c r="AL34" s="39" t="n">
        <f aca="false">AL33-AL31</f>
        <v>22077247.3908813</v>
      </c>
      <c r="AM34" s="39" t="n">
        <f aca="false">AM33-AM31</f>
        <v>22077004.7976516</v>
      </c>
      <c r="AN34" s="39" t="n">
        <f aca="false">AN33-AN31</f>
        <v>22077004.7976516</v>
      </c>
    </row>
    <row r="35" customFormat="false" ht="15" hidden="false" customHeight="false" outlineLevel="0" collapsed="false">
      <c r="A35" s="14" t="s">
        <v>175</v>
      </c>
      <c r="E35" s="18" t="n">
        <f aca="false">IF(E33&gt;0,E19/E33*4,0)</f>
        <v>0.11585081038895</v>
      </c>
      <c r="F35" s="18" t="n">
        <f aca="false">IF(F33&gt;0,F19/F33*4,0)</f>
        <v>0.11318456028757</v>
      </c>
      <c r="G35" s="18" t="n">
        <f aca="false">IF(G33&gt;0,G19/G33*4,0)</f>
        <v>0.110408897198162</v>
      </c>
      <c r="H35" s="18" t="n">
        <f aca="false">IF(H33&gt;0,H19/H33*4,0)</f>
        <v>0.107524293262626</v>
      </c>
      <c r="I35" s="18" t="n">
        <f aca="false">IF(I33&gt;0,I19/I33*4,0)</f>
        <v>0.104556815198795</v>
      </c>
      <c r="J35" s="18" t="n">
        <f aca="false">IF(J33&gt;0,J19/J33*4,0)</f>
        <v>0.10157801230599</v>
      </c>
      <c r="K35" s="18" t="n">
        <f aca="false">IF(K33&gt;0,K19/K33*4,0)</f>
        <v>0.0986378509804027</v>
      </c>
      <c r="L35" s="18" t="n">
        <f aca="false">IF(L33&gt;0,L19/L33*4,0)</f>
        <v>0.0957493747778764</v>
      </c>
      <c r="M35" s="18" t="n">
        <f aca="false">IF(M33&gt;0,M19/M33*4,0)</f>
        <v>0.0929038576117919</v>
      </c>
      <c r="N35" s="18" t="n">
        <f aca="false">IF(N33&gt;0,N19/N33*4,0)</f>
        <v>0.0912269928593857</v>
      </c>
      <c r="O35" s="18" t="n">
        <f aca="false">IF(O33&gt;0,O19/O33*4,0)</f>
        <v>0.0896172975695956</v>
      </c>
      <c r="P35" s="18" t="n">
        <f aca="false">IF(P33&gt;0,P19/P33*4,0)</f>
        <v>0.0880662485558388</v>
      </c>
      <c r="Q35" s="18" t="n">
        <f aca="false">IF(Q33&gt;0,Q19/Q33*4,0)</f>
        <v>0.086547502647619</v>
      </c>
      <c r="R35" s="18" t="n">
        <f aca="false">IF(R33&gt;0,R19/R33*4,0)</f>
        <v>0.0850280206427664</v>
      </c>
      <c r="S35" s="18" t="n">
        <f aca="false">IF(S33&gt;0,S19/S33*4,0)</f>
        <v>0.0835062466628449</v>
      </c>
      <c r="T35" s="18" t="n">
        <f aca="false">IF(T33&gt;0,T19/T33*4,0)</f>
        <v>0.0819799150870449</v>
      </c>
      <c r="U35" s="18" t="n">
        <f aca="false">IF(U33&gt;0,U19/U33*4,0)</f>
        <v>0.0804327544596208</v>
      </c>
      <c r="V35" s="18" t="n">
        <f aca="false">IF(V33&gt;0,V19/V33*4,0)</f>
        <v>0.0788697058718517</v>
      </c>
      <c r="W35" s="18" t="n">
        <f aca="false">IF(W33&gt;0,W19/W33*4,0)</f>
        <v>0.0754965162151467</v>
      </c>
      <c r="X35" s="18" t="n">
        <f aca="false">IF(X33&gt;0,X19/X33*4,0)</f>
        <v>0.0710089030059257</v>
      </c>
      <c r="Y35" s="18" t="n">
        <f aca="false">IF(Y33&gt;0,Y19/Y33*4,0)</f>
        <v>0.0662747870339754</v>
      </c>
      <c r="Z35" s="18" t="n">
        <f aca="false">IF(Z33&gt;0,Z19/Z33*4,0)</f>
        <v>0.061308876559983</v>
      </c>
      <c r="AA35" s="18" t="n">
        <f aca="false">IF(AA33&gt;0,AA19/AA33*4,0)</f>
        <v>0.0558352586288562</v>
      </c>
      <c r="AB35" s="18" t="n">
        <f aca="false">IF(AB33&gt;0,AB19/AB33*4,0)</f>
        <v>0.0503935935360316</v>
      </c>
      <c r="AC35" s="18" t="n">
        <f aca="false">IF(AC33&gt;0,AC19/AC33*4,0)</f>
        <v>0.0453306740742288</v>
      </c>
      <c r="AD35" s="18" t="n">
        <f aca="false">IF(AD33&gt;0,AD19/AD33*4,0)</f>
        <v>0.0380146682219062</v>
      </c>
      <c r="AE35" s="18" t="n">
        <f aca="false">IF(AE33&gt;0,AE19/AE33*4,0)</f>
        <v>0.026401811459142</v>
      </c>
      <c r="AF35" s="18" t="n">
        <f aca="false">IF(AF33&gt;0,AF19/AF33*4,0)</f>
        <v>0.00519323953352146</v>
      </c>
      <c r="AG35" s="18" t="n">
        <f aca="false">IF(AG33&gt;0,AG19/AG33*4,0)</f>
        <v>0</v>
      </c>
      <c r="AH35" s="18" t="n">
        <f aca="false">IF(AH33&gt;0,AH19/AH33*4,0)</f>
        <v>0</v>
      </c>
      <c r="AI35" s="18" t="n">
        <f aca="false">IF(AI33&gt;0,AI19/AI33*4,0)</f>
        <v>0</v>
      </c>
      <c r="AJ35" s="18" t="n">
        <f aca="false">IF(AJ33&gt;0,AJ19/AJ33*4,0)</f>
        <v>0</v>
      </c>
      <c r="AK35" s="18" t="n">
        <f aca="false">IF(AK33&gt;0,AK19/AK33*4,0)</f>
        <v>0</v>
      </c>
      <c r="AL35" s="18" t="n">
        <f aca="false">IF(AL33&gt;0,AL19/AL33*4,0)</f>
        <v>0</v>
      </c>
      <c r="AM35" s="18" t="n">
        <f aca="false">IF(AM33&gt;0,AM19/AM33*4,0)</f>
        <v>0</v>
      </c>
      <c r="AN35" s="18" t="n">
        <f aca="false">IF(AN33&gt;0,AN19/AN33*4,0)</f>
        <v>0</v>
      </c>
    </row>
    <row r="36" customFormat="false" ht="15" hidden="false" customHeight="false" outlineLevel="0" collapsed="false">
      <c r="A36" s="14" t="s">
        <v>176</v>
      </c>
      <c r="E36" s="39" t="n">
        <f aca="false">E17+E25+E29</f>
        <v>17664578.7817665</v>
      </c>
      <c r="F36" s="39" t="n">
        <f aca="false">F17+F25+F29</f>
        <v>17803283.2184492</v>
      </c>
      <c r="G36" s="39" t="n">
        <f aca="false">G17+G25+G29</f>
        <v>17860430.4070183</v>
      </c>
      <c r="H36" s="39" t="n">
        <f aca="false">H17+H25+H29</f>
        <v>17845671.9999663</v>
      </c>
      <c r="I36" s="39" t="n">
        <f aca="false">I17+I25+I29</f>
        <v>17062931.9546074</v>
      </c>
      <c r="J36" s="39" t="n">
        <f aca="false">J17+J25+J29</f>
        <v>15972740.531483</v>
      </c>
      <c r="K36" s="39" t="n">
        <f aca="false">K17+K25+K29</f>
        <v>14958447.1309236</v>
      </c>
      <c r="L36" s="39" t="n">
        <f aca="false">L17+L25+L29</f>
        <v>14015293.3862384</v>
      </c>
      <c r="M36" s="39" t="n">
        <f aca="false">M17+M25+M29</f>
        <v>15386116.8127486</v>
      </c>
      <c r="N36" s="39" t="n">
        <f aca="false">N17+N25+N29</f>
        <v>14483175.318005</v>
      </c>
      <c r="O36" s="39" t="n">
        <f aca="false">O17+O25+O29</f>
        <v>13610616.6099097</v>
      </c>
      <c r="P36" s="39" t="n">
        <f aca="false">P17+P25+P29</f>
        <v>12779969.7038198</v>
      </c>
      <c r="Q36" s="39" t="n">
        <f aca="false">Q17+Q25+Q29</f>
        <v>11958479.6554486</v>
      </c>
      <c r="R36" s="39" t="n">
        <f aca="false">R17+R25+R29</f>
        <v>11170844.8099397</v>
      </c>
      <c r="S36" s="39" t="n">
        <f aca="false">S17+S25+S29</f>
        <v>10421388.7454492</v>
      </c>
      <c r="T36" s="39" t="n">
        <f aca="false">T17+T25+T29</f>
        <v>9716472.58784364</v>
      </c>
      <c r="U36" s="39" t="n">
        <f aca="false">U17+U25+U29</f>
        <v>9073268.72203491</v>
      </c>
      <c r="V36" s="39" t="n">
        <f aca="false">V17+V25+V29</f>
        <v>16012663.8045783</v>
      </c>
      <c r="W36" s="39" t="n">
        <f aca="false">W17+W25+W29</f>
        <v>18403949.0372045</v>
      </c>
      <c r="X36" s="39" t="n">
        <f aca="false">X17+X25+X29</f>
        <v>16915428.7552067</v>
      </c>
      <c r="Y36" s="39" t="n">
        <f aca="false">Y17+Y25+Y29</f>
        <v>15534390.6732614</v>
      </c>
      <c r="Z36" s="39" t="n">
        <f aca="false">Z17+Z25+Z29</f>
        <v>16294298.0871903</v>
      </c>
      <c r="AA36" s="39" t="n">
        <f aca="false">AA17+AA25+AA29</f>
        <v>14930191.5778664</v>
      </c>
      <c r="AB36" s="39" t="n">
        <f aca="false">AB17+AB25+AB29</f>
        <v>550289.892536361</v>
      </c>
      <c r="AC36" s="39" t="n">
        <f aca="false">AC17+AC25+AC29</f>
        <v>0</v>
      </c>
      <c r="AD36" s="39" t="n">
        <f aca="false">AD17+AD25+AD29</f>
        <v>0</v>
      </c>
      <c r="AE36" s="39" t="n">
        <f aca="false">AE17+AE25+AE29</f>
        <v>0</v>
      </c>
      <c r="AF36" s="39" t="n">
        <f aca="false">AF17+AF25+AF29</f>
        <v>0</v>
      </c>
      <c r="AG36" s="39" t="n">
        <f aca="false">AG17+AG25+AG29</f>
        <v>0</v>
      </c>
      <c r="AH36" s="39" t="n">
        <f aca="false">AH17+AH25+AH29</f>
        <v>0</v>
      </c>
      <c r="AI36" s="39" t="n">
        <f aca="false">AI17+AI25+AI29</f>
        <v>0</v>
      </c>
      <c r="AJ36" s="39" t="n">
        <f aca="false">AJ17+AJ25+AJ29</f>
        <v>0</v>
      </c>
      <c r="AK36" s="39" t="n">
        <f aca="false">AK17+AK25+AK29</f>
        <v>0</v>
      </c>
      <c r="AL36" s="39" t="n">
        <f aca="false">AL17+AL25+AL29</f>
        <v>0</v>
      </c>
      <c r="AM36" s="39" t="n">
        <f aca="false">AM17+AM25+AM29</f>
        <v>0</v>
      </c>
      <c r="AN36" s="39" t="n">
        <f aca="false">AN17+AN25+AN29</f>
        <v>0</v>
      </c>
    </row>
    <row r="37" customFormat="false" ht="15" hidden="false" customHeight="false" outlineLevel="0" collapsed="false">
      <c r="A37" s="14" t="s">
        <v>177</v>
      </c>
      <c r="D37" s="39" t="n">
        <f aca="false">-'Inputs &amp; Assumptions'!$C$134</f>
        <v>-340424922.203496</v>
      </c>
      <c r="E37" s="39" t="n">
        <f aca="false">E12+E23+E36</f>
        <v>21344572.1907863</v>
      </c>
      <c r="F37" s="39" t="n">
        <f aca="false">F12+F23+F36</f>
        <v>21292322.5308381</v>
      </c>
      <c r="G37" s="39" t="n">
        <f aca="false">G12+G23+G36</f>
        <v>21157016.2278157</v>
      </c>
      <c r="H37" s="39" t="n">
        <f aca="false">H12+H23+H36</f>
        <v>20949186.5680639</v>
      </c>
      <c r="I37" s="39" t="n">
        <f aca="false">I12+I23+I36</f>
        <v>19973534.8083853</v>
      </c>
      <c r="J37" s="39" t="n">
        <f aca="false">J12+J23+J36</f>
        <v>18698893.0908316</v>
      </c>
      <c r="K37" s="39" t="n">
        <f aca="false">K12+K23+K36</f>
        <v>17511934.365127</v>
      </c>
      <c r="L37" s="39" t="n">
        <f aca="false">L12+L23+L36</f>
        <v>16407079.8069564</v>
      </c>
      <c r="M37" s="39" t="n">
        <f aca="false">M12+M23+M36</f>
        <v>17626397.9119614</v>
      </c>
      <c r="N37" s="39" t="n">
        <f aca="false">N12+N23+N36</f>
        <v>16557132.494472</v>
      </c>
      <c r="O37" s="39" t="n">
        <f aca="false">O12+O23+O36</f>
        <v>15528010.6611891</v>
      </c>
      <c r="P37" s="39" t="n">
        <f aca="false">P12+P23+P36</f>
        <v>14550232.989546</v>
      </c>
      <c r="Q37" s="39" t="n">
        <f aca="false">Q12+Q23+Q36</f>
        <v>13590591.4686765</v>
      </c>
      <c r="R37" s="39" t="n">
        <f aca="false">R12+R23+R36</f>
        <v>12673685.4580922</v>
      </c>
      <c r="S37" s="39" t="n">
        <f aca="false">S12+S23+S36</f>
        <v>11803472.5612063</v>
      </c>
      <c r="T37" s="39" t="n">
        <f aca="false">T12+T23+T36</f>
        <v>10985901.1912624</v>
      </c>
      <c r="U37" s="39" t="n">
        <f aca="false">U12+U23+U36</f>
        <v>10237662.2567791</v>
      </c>
      <c r="V37" s="39" t="n">
        <f aca="false">V12+V23+V36</f>
        <v>17078975.3044373</v>
      </c>
      <c r="W37" s="39" t="n">
        <f aca="false">W12+W23+W36</f>
        <v>19297163.641336</v>
      </c>
      <c r="X37" s="39" t="n">
        <f aca="false">X12+X23+X36</f>
        <v>17609696.6702461</v>
      </c>
      <c r="Y37" s="39" t="n">
        <f aca="false">Y12+Y23+Y36</f>
        <v>16045802.803457</v>
      </c>
      <c r="Z37" s="39" t="n">
        <f aca="false">Z12+Z23+Z36</f>
        <v>16637783.4542079</v>
      </c>
      <c r="AA37" s="39" t="n">
        <f aca="false">AA12+AA23+AA36</f>
        <v>15097535.5825614</v>
      </c>
      <c r="AB37" s="39" t="n">
        <f aca="false">AB12+AB23+AB36</f>
        <v>556238.526274679</v>
      </c>
      <c r="AC37" s="39" t="n">
        <f aca="false">AC12+AC23+AC36</f>
        <v>0</v>
      </c>
      <c r="AD37" s="39" t="n">
        <f aca="false">AD12+AD23+AD36</f>
        <v>0</v>
      </c>
      <c r="AE37" s="39" t="n">
        <f aca="false">AE12+AE23+AE36</f>
        <v>0</v>
      </c>
      <c r="AF37" s="39" t="n">
        <f aca="false">AF12+AF23+AF36</f>
        <v>0</v>
      </c>
      <c r="AG37" s="39" t="n">
        <f aca="false">AG12+AG23+AG36</f>
        <v>0</v>
      </c>
      <c r="AH37" s="39" t="n">
        <f aca="false">AH12+AH23+AH36</f>
        <v>0</v>
      </c>
      <c r="AI37" s="39" t="n">
        <f aca="false">AI12+AI23+AI36</f>
        <v>0</v>
      </c>
      <c r="AJ37" s="39" t="n">
        <f aca="false">AJ12+AJ23+AJ36</f>
        <v>0</v>
      </c>
      <c r="AK37" s="39" t="n">
        <f aca="false">AK12+AK23+AK36</f>
        <v>0</v>
      </c>
      <c r="AL37" s="39" t="n">
        <f aca="false">AL12+AL23+AL36</f>
        <v>0</v>
      </c>
      <c r="AM37" s="39" t="n">
        <f aca="false">AM12+AM23+AM36</f>
        <v>0</v>
      </c>
      <c r="AN37" s="39" t="n">
        <f aca="false">AN12+AN23+AN36</f>
        <v>0</v>
      </c>
    </row>
    <row r="38" customFormat="false" ht="15" hidden="false" customHeight="false" outlineLevel="0" collapsed="false">
      <c r="A38" s="14" t="s">
        <v>178</v>
      </c>
      <c r="D38" s="39" t="n">
        <f aca="false">-'Inputs &amp; Assumptions'!$C$135</f>
        <v>-226949948.135664</v>
      </c>
      <c r="E38" s="39" t="n">
        <f aca="false">E19+E31</f>
        <v>14143617.6159259</v>
      </c>
      <c r="F38" s="39" t="n">
        <f aca="false">F19+F31</f>
        <v>13837569.1601538</v>
      </c>
      <c r="G38" s="39" t="n">
        <f aca="false">G19+G31</f>
        <v>13499225.5980653</v>
      </c>
      <c r="H38" s="39" t="n">
        <f aca="false">H19+H31</f>
        <v>13134436.8785201</v>
      </c>
      <c r="I38" s="39" t="n">
        <f aca="false">I19+I31</f>
        <v>12447648.601107</v>
      </c>
      <c r="J38" s="39" t="n">
        <f aca="false">J19+J31</f>
        <v>11648427.6112974</v>
      </c>
      <c r="K38" s="39" t="n">
        <f aca="false">K19+K31</f>
        <v>10905903.8505995</v>
      </c>
      <c r="L38" s="39" t="n">
        <f aca="false">L19+L31</f>
        <v>10216604.3391965</v>
      </c>
      <c r="M38" s="39" t="n">
        <f aca="false">M19+M31</f>
        <v>10539476.1723423</v>
      </c>
      <c r="N38" s="39" t="n">
        <f aca="false">N19+N31</f>
        <v>9930899.58343798</v>
      </c>
      <c r="O38" s="39" t="n">
        <f aca="false">O19+O31</f>
        <v>9352173.84821034</v>
      </c>
      <c r="P38" s="39" t="n">
        <f aca="false">P19+P31</f>
        <v>8806851.12982006</v>
      </c>
      <c r="Q38" s="39" t="n">
        <f aca="false">Q19+Q31</f>
        <v>8278853.30222807</v>
      </c>
      <c r="R38" s="39" t="n">
        <f aca="false">R19+R31</f>
        <v>7776982.10966273</v>
      </c>
      <c r="S38" s="39" t="n">
        <f aca="false">S19+S31</f>
        <v>7302336.37183527</v>
      </c>
      <c r="T38" s="39" t="n">
        <f aca="false">T19+T31</f>
        <v>6856855.48026839</v>
      </c>
      <c r="U38" s="39" t="n">
        <f aca="false">U19+U31</f>
        <v>6446645.1926575</v>
      </c>
      <c r="V38" s="39" t="n">
        <f aca="false">V19+V31</f>
        <v>9294288.03174231</v>
      </c>
      <c r="W38" s="39" t="n">
        <f aca="false">W19+W31</f>
        <v>10085597.0390035</v>
      </c>
      <c r="X38" s="39" t="n">
        <f aca="false">X19+X31</f>
        <v>9176977.3985136</v>
      </c>
      <c r="Y38" s="39" t="n">
        <f aca="false">Y19+Y31</f>
        <v>8336484.01159666</v>
      </c>
      <c r="Z38" s="39" t="n">
        <f aca="false">Z19+Z31</f>
        <v>5524622.5218587</v>
      </c>
      <c r="AA38" s="39" t="n">
        <f aca="false">AA19+AA31</f>
        <v>4997184.97016447</v>
      </c>
      <c r="AB38" s="39" t="n">
        <f aca="false">AB19+AB31</f>
        <v>17617555.5424512</v>
      </c>
      <c r="AC38" s="39" t="n">
        <f aca="false">AC19+AC31</f>
        <v>16443895.4251507</v>
      </c>
      <c r="AD38" s="39" t="n">
        <f aca="false">AD19+AD31</f>
        <v>14845870.9681994</v>
      </c>
      <c r="AE38" s="39" t="n">
        <f aca="false">AE19+AE31</f>
        <v>13338829.8216951</v>
      </c>
      <c r="AF38" s="39" t="n">
        <f aca="false">AF19+AF31</f>
        <v>4402883.48594971</v>
      </c>
      <c r="AG38" s="39" t="n">
        <f aca="false">AG19+AG31</f>
        <v>275205.631024147</v>
      </c>
      <c r="AH38" s="39" t="n">
        <f aca="false">AH19+AH31</f>
        <v>214062.264108125</v>
      </c>
      <c r="AI38" s="39" t="n">
        <f aca="false">AI19+AI31</f>
        <v>158092.389932903</v>
      </c>
      <c r="AJ38" s="39" t="n">
        <f aca="false">AJ19+AJ31</f>
        <v>106932.500786706</v>
      </c>
      <c r="AK38" s="39" t="n">
        <f aca="false">AK19+AK31</f>
        <v>66141.4220464593</v>
      </c>
      <c r="AL38" s="39" t="n">
        <f aca="false">AL19+AL31</f>
        <v>31701.5527081401</v>
      </c>
      <c r="AM38" s="39" t="n">
        <f aca="false">AM19+AM31</f>
        <v>242.593229700156</v>
      </c>
      <c r="AN38" s="39" t="n">
        <f aca="false">AN19+AN31</f>
        <v>0</v>
      </c>
    </row>
    <row r="39" customFormat="false" ht="15" hidden="false" customHeight="false" outlineLevel="0" collapsed="false">
      <c r="A39" s="14" t="s">
        <v>179</v>
      </c>
      <c r="E39" s="18" t="n">
        <f aca="false">IF('Asset Cash Flows'!E142&gt;0,E32/'Asset Cash Flows'!E142,0)</f>
        <v>0.60128488059812</v>
      </c>
      <c r="F39" s="18" t="n">
        <f aca="false">IF('Asset Cash Flows'!F142&gt;0,F32/'Asset Cash Flows'!F142,0)</f>
        <v>0.602448696720308</v>
      </c>
      <c r="G39" s="18" t="n">
        <f aca="false">IF('Asset Cash Flows'!G142&gt;0,G32/'Asset Cash Flows'!G142,0)</f>
        <v>0.603413956816919</v>
      </c>
      <c r="H39" s="18" t="n">
        <f aca="false">IF('Asset Cash Flows'!H142&gt;0,H32/'Asset Cash Flows'!H142,0)</f>
        <v>0.604126741036612</v>
      </c>
      <c r="I39" s="18" t="n">
        <f aca="false">IF('Asset Cash Flows'!I142&gt;0,I32/'Asset Cash Flows'!I142,0)</f>
        <v>0.604650340675249</v>
      </c>
      <c r="J39" s="18" t="n">
        <f aca="false">IF('Asset Cash Flows'!J142&gt;0,J32/'Asset Cash Flows'!J142,0)</f>
        <v>0.605009311806415</v>
      </c>
      <c r="K39" s="18" t="n">
        <f aca="false">IF('Asset Cash Flows'!K142&gt;0,K32/'Asset Cash Flows'!K142,0)</f>
        <v>0.605123041300763</v>
      </c>
      <c r="L39" s="18" t="n">
        <f aca="false">IF('Asset Cash Flows'!L142&gt;0,L32/'Asset Cash Flows'!L142,0)</f>
        <v>0.604934183575439</v>
      </c>
      <c r="M39" s="18" t="n">
        <f aca="false">IF('Asset Cash Flows'!M142&gt;0,M32/'Asset Cash Flows'!M142,0)</f>
        <v>0.597469598837228</v>
      </c>
      <c r="N39" s="18" t="n">
        <f aca="false">IF('Asset Cash Flows'!N142&gt;0,N32/'Asset Cash Flows'!N142,0)</f>
        <v>0.589087548874689</v>
      </c>
      <c r="O39" s="18" t="n">
        <f aca="false">IF('Asset Cash Flows'!O142&gt;0,O32/'Asset Cash Flows'!O142,0)</f>
        <v>0.579785838107794</v>
      </c>
      <c r="P39" s="18" t="n">
        <f aca="false">IF('Asset Cash Flows'!P142&gt;0,P32/'Asset Cash Flows'!P142,0)</f>
        <v>0.569547131308072</v>
      </c>
      <c r="Q39" s="18" t="n">
        <f aca="false">IF('Asset Cash Flows'!Q142&gt;0,Q32/'Asset Cash Flows'!Q142,0)</f>
        <v>0.558585587826773</v>
      </c>
      <c r="R39" s="18" t="n">
        <f aca="false">IF('Asset Cash Flows'!R142&gt;0,R32/'Asset Cash Flows'!R142,0)</f>
        <v>0.546995725242546</v>
      </c>
      <c r="S39" s="18" t="n">
        <f aca="false">IF('Asset Cash Flows'!S142&gt;0,S32/'Asset Cash Flows'!S142,0)</f>
        <v>0.534781867871539</v>
      </c>
      <c r="T39" s="18" t="n">
        <f aca="false">IF('Asset Cash Flows'!T142&gt;0,T32/'Asset Cash Flows'!T142,0)</f>
        <v>0.521933915232904</v>
      </c>
      <c r="U39" s="18" t="n">
        <f aca="false">IF('Asset Cash Flows'!U142&gt;0,U32/'Asset Cash Flows'!U142,0)</f>
        <v>0.508425255457898</v>
      </c>
      <c r="V39" s="18" t="n">
        <f aca="false">IF('Asset Cash Flows'!V142&gt;0,V32/'Asset Cash Flows'!V142,0)</f>
        <v>0.481323882960386</v>
      </c>
      <c r="W39" s="18" t="n">
        <f aca="false">IF('Asset Cash Flows'!W142&gt;0,W32/'Asset Cash Flows'!W142,0)</f>
        <v>0.44026846026148</v>
      </c>
      <c r="X39" s="18" t="n">
        <f aca="false">IF('Asset Cash Flows'!X142&gt;0,X32/'Asset Cash Flows'!X142,0)</f>
        <v>0.387169493592023</v>
      </c>
      <c r="Y39" s="18" t="n">
        <f aca="false">IF('Asset Cash Flows'!Y142&gt;0,Y32/'Asset Cash Flows'!Y142,0)</f>
        <v>0.316243401218541</v>
      </c>
      <c r="Z39" s="18" t="n">
        <f aca="false">IF('Asset Cash Flows'!Z142&gt;0,Z32/'Asset Cash Flows'!Z142,0)</f>
        <v>0.192109277418125</v>
      </c>
      <c r="AA39" s="18" t="n">
        <f aca="false">IF('Asset Cash Flows'!AA142&gt;0,AA32/'Asset Cash Flows'!AA142,0)</f>
        <v>0.00882126105284846</v>
      </c>
      <c r="AB39" s="18" t="n">
        <f aca="false">IF('Asset Cash Flows'!AB142&gt;0,AB32/'Asset Cash Flows'!AB142,0)</f>
        <v>0</v>
      </c>
      <c r="AC39" s="18" t="n">
        <f aca="false">IF('Asset Cash Flows'!AC142&gt;0,AC32/'Asset Cash Flows'!AC142,0)</f>
        <v>0</v>
      </c>
      <c r="AD39" s="18" t="n">
        <f aca="false">IF('Asset Cash Flows'!AD142&gt;0,AD32/'Asset Cash Flows'!AD142,0)</f>
        <v>0</v>
      </c>
      <c r="AE39" s="18" t="n">
        <f aca="false">IF('Asset Cash Flows'!AE142&gt;0,AE32/'Asset Cash Flows'!AE142,0)</f>
        <v>0</v>
      </c>
      <c r="AF39" s="18" t="n">
        <f aca="false">IF('Asset Cash Flows'!AF142&gt;0,AF32/'Asset Cash Flows'!AF142,0)</f>
        <v>0</v>
      </c>
      <c r="AG39" s="18" t="n">
        <f aca="false">IF('Asset Cash Flows'!AG142&gt;0,AG32/'Asset Cash Flows'!AG142,0)</f>
        <v>0</v>
      </c>
      <c r="AH39" s="18" t="n">
        <f aca="false">IF('Asset Cash Flows'!AH142&gt;0,AH32/'Asset Cash Flows'!AH142,0)</f>
        <v>0</v>
      </c>
      <c r="AI39" s="18" t="n">
        <f aca="false">IF('Asset Cash Flows'!AI142&gt;0,AI32/'Asset Cash Flows'!AI142,0)</f>
        <v>0</v>
      </c>
      <c r="AJ39" s="18" t="n">
        <f aca="false">IF('Asset Cash Flows'!AJ142&gt;0,AJ32/'Asset Cash Flows'!AJ142,0)</f>
        <v>0</v>
      </c>
      <c r="AK39" s="18" t="n">
        <f aca="false">IF('Asset Cash Flows'!AK142&gt;0,AK32/'Asset Cash Flows'!AK142,0)</f>
        <v>0</v>
      </c>
      <c r="AL39" s="18" t="n">
        <f aca="false">IF('Asset Cash Flows'!AL142&gt;0,AL32/'Asset Cash Flows'!AL142,0)</f>
        <v>0</v>
      </c>
      <c r="AM39" s="18" t="n">
        <f aca="false">IF('Asset Cash Flows'!AM142&gt;0,AM32/'Asset Cash Flows'!AM142,0)</f>
        <v>0</v>
      </c>
      <c r="AN39" s="18" t="n">
        <f aca="false">IF('Asset Cash Flows'!AN142&gt;0,AN32/'Asset Cash Flows'!AN142,0)</f>
        <v>0</v>
      </c>
    </row>
    <row r="41" customFormat="false" ht="15" hidden="false" customHeight="false" outlineLevel="0" collapsed="false">
      <c r="A41" s="12" t="s">
        <v>180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 customFormat="false" ht="15" hidden="false" customHeight="false" outlineLevel="0" collapsed="false">
      <c r="A42" s="14" t="s">
        <v>181</v>
      </c>
      <c r="C42" s="41" t="n">
        <f aca="false">IFERROR(SUMPRODUCT(E36:AN36,'Inputs &amp; Assumptions'!E$48:AN$48)/SUM(E36:AN36),0)</f>
        <v>2.90665604564292</v>
      </c>
    </row>
    <row r="43" customFormat="false" ht="15" hidden="false" customHeight="false" outlineLevel="0" collapsed="false">
      <c r="A43" s="14" t="s">
        <v>182</v>
      </c>
      <c r="C43" s="41" t="n">
        <f aca="false">IFERROR(SUMPRODUCT(E31:AN31,'Inputs &amp; Assumptions'!E$48:AN$48)/SUM(E31:AN31),0)</f>
        <v>3.93747508220945</v>
      </c>
    </row>
    <row r="44" customFormat="false" ht="15" hidden="false" customHeight="false" outlineLevel="0" collapsed="false">
      <c r="A44" s="14" t="s">
        <v>183</v>
      </c>
      <c r="C44" s="41" t="n">
        <f aca="false">IFERROR(SUMPRODUCT('Asset Cash Flows'!E138:AN138,'Inputs &amp; Assumptions'!E$48:AN$48)/SUM('Asset Cash Flows'!E138:AN138),0)</f>
        <v>3.29630237067737</v>
      </c>
    </row>
    <row r="45" customFormat="false" ht="15" hidden="false" customHeight="false" outlineLevel="0" collapsed="false">
      <c r="A45" s="14" t="s">
        <v>184</v>
      </c>
      <c r="C45" s="44" t="n">
        <f aca="false">IFERROR((1+IRR(D37:AN37))^4-1,"n/a")</f>
        <v>0.0439462031131122</v>
      </c>
    </row>
    <row r="46" customFormat="false" ht="15" hidden="false" customHeight="false" outlineLevel="0" collapsed="false">
      <c r="A46" s="14" t="s">
        <v>185</v>
      </c>
      <c r="C46" s="44" t="n">
        <f aca="false">IFERROR((1+IRR(D38:AN38))^4-1,"n/a")</f>
        <v>0.0765693624107737</v>
      </c>
    </row>
    <row r="47" customFormat="false" ht="15" hidden="false" customHeight="false" outlineLevel="0" collapsed="false">
      <c r="A47" s="14" t="s">
        <v>186</v>
      </c>
      <c r="C47" s="45" t="n">
        <f aca="false">SUM(E38:AN38)/'Inputs &amp; Assumptions'!$C$135</f>
        <v>1.27799577306848</v>
      </c>
    </row>
    <row r="48" customFormat="false" ht="15" hidden="false" customHeight="false" outlineLevel="0" collapsed="false">
      <c r="A48" s="14" t="s">
        <v>187</v>
      </c>
      <c r="C48" s="34" t="n">
        <f aca="false">SUM(E19:AN19)</f>
        <v>85168131.0774776</v>
      </c>
    </row>
    <row r="49" customFormat="false" ht="15" hidden="false" customHeight="false" outlineLevel="0" collapsed="false">
      <c r="A49" s="14" t="s">
        <v>188</v>
      </c>
      <c r="C49" s="34" t="n">
        <f aca="false">AN34</f>
        <v>22077004.7976516</v>
      </c>
    </row>
    <row r="50" customFormat="false" ht="15" hidden="false" customHeight="false" outlineLevel="0" collapsed="false">
      <c r="A50" s="14" t="s">
        <v>189</v>
      </c>
      <c r="C50" s="34" t="n">
        <f aca="false">SUMPRODUCT(--(E6:AN6&gt;1))</f>
        <v>24</v>
      </c>
    </row>
    <row r="51" customFormat="false" ht="15" hidden="false" customHeight="false" outlineLevel="0" collapsed="false">
      <c r="A51" s="14" t="s">
        <v>190</v>
      </c>
      <c r="C51" s="34" t="n">
        <f aca="false">SUM('Asset Cash Flows'!E136:AN136)</f>
        <v>54513619.3757777</v>
      </c>
    </row>
    <row r="52" customFormat="false" ht="15" hidden="false" customHeight="false" outlineLevel="0" collapsed="false">
      <c r="A52" s="14" t="s">
        <v>191</v>
      </c>
      <c r="C52" s="34" t="n">
        <f aca="false">SUM('Asset Cash Flows'!E137:AN137)</f>
        <v>32708171.6254666</v>
      </c>
    </row>
    <row r="53" customFormat="false" ht="15" hidden="false" customHeight="false" outlineLevel="0" collapsed="false">
      <c r="A53" s="14" t="s">
        <v>192</v>
      </c>
      <c r="C53" s="34" t="n">
        <f aca="false">SUM('Asset Cash Flows'!E136:AN136)-SUM('Asset Cash Flows'!E137:AN137)</f>
        <v>21805447.7503111</v>
      </c>
    </row>
    <row r="54" customFormat="false" ht="15" hidden="false" customHeight="false" outlineLevel="0" collapsed="false">
      <c r="A54" s="14" t="s">
        <v>193</v>
      </c>
      <c r="C54" s="44" t="n">
        <f aca="false">(SUM('Asset Cash Flows'!E136:AN136)-SUM('Asset Cash Flows'!E137:AN137))/'Inputs &amp; Assumptions'!$C$7</f>
        <v>0.0363424129171851</v>
      </c>
    </row>
    <row r="55" customFormat="false" ht="15" hidden="false" customHeight="false" outlineLevel="0" collapsed="false">
      <c r="A55" s="14" t="s">
        <v>194</v>
      </c>
      <c r="C55" s="46" t="n">
        <f aca="false">MAX(E39:AN39)</f>
        <v>0.605123041300763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4" min="3" style="0" width="11"/>
    <col collapsed="false" customWidth="true" hidden="false" outlineLevel="0" max="40" min="5" style="0" width="9.3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A4" s="3" t="s">
        <v>197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customFormat="false" ht="15" hidden="false" customHeight="false" outlineLevel="0" collapsed="false">
      <c r="A5" s="47" t="s">
        <v>198</v>
      </c>
      <c r="C5" s="22" t="s">
        <v>199</v>
      </c>
      <c r="D5" s="22" t="s">
        <v>200</v>
      </c>
      <c r="E5" s="22" t="s">
        <v>201</v>
      </c>
      <c r="F5" s="22" t="s">
        <v>202</v>
      </c>
    </row>
    <row r="6" customFormat="false" ht="15" hidden="false" customHeight="false" outlineLevel="0" collapsed="false">
      <c r="A6" s="48" t="s">
        <v>193</v>
      </c>
      <c r="C6" s="27" t="n">
        <f aca="false">'Scenario Analysis'!$C$163</f>
        <v>0.0363424129171851</v>
      </c>
      <c r="D6" s="27" t="n">
        <f aca="false">'Scenario Analysis'!$C$289</f>
        <v>0.0580653665730202</v>
      </c>
      <c r="E6" s="27" t="n">
        <f aca="false">'Scenario Analysis'!$C$415</f>
        <v>0.0765533104967579</v>
      </c>
      <c r="F6" s="27" t="n">
        <f aca="false">'Scenario Analysis'!$C$541</f>
        <v>0.100471907835711</v>
      </c>
    </row>
    <row r="7" customFormat="false" ht="15" hidden="false" customHeight="false" outlineLevel="0" collapsed="false">
      <c r="A7" s="48" t="s">
        <v>181</v>
      </c>
      <c r="C7" s="49" t="n">
        <f aca="false">'Scenario Analysis'!$C$151</f>
        <v>2.90665604564292</v>
      </c>
      <c r="D7" s="49" t="n">
        <f aca="false">'Scenario Analysis'!$C$277</f>
        <v>3.12156560419574</v>
      </c>
      <c r="E7" s="49" t="n">
        <f aca="false">'Scenario Analysis'!$C$403</f>
        <v>2.83737723233007</v>
      </c>
      <c r="F7" s="49" t="n">
        <f aca="false">'Scenario Analysis'!$C$529</f>
        <v>2.35380458872804</v>
      </c>
    </row>
    <row r="8" customFormat="false" ht="15" hidden="false" customHeight="false" outlineLevel="0" collapsed="false">
      <c r="A8" s="48" t="s">
        <v>182</v>
      </c>
      <c r="C8" s="49" t="n">
        <f aca="false">'Scenario Analysis'!$C$152</f>
        <v>3.93747508220945</v>
      </c>
      <c r="D8" s="49" t="n">
        <f aca="false">'Scenario Analysis'!$C$278</f>
        <v>3.97495263363661</v>
      </c>
      <c r="E8" s="49" t="n">
        <f aca="false">'Scenario Analysis'!$C$404</f>
        <v>3.57369859091535</v>
      </c>
      <c r="F8" s="49" t="n">
        <f aca="false">'Scenario Analysis'!$C$530</f>
        <v>2.87360088992431</v>
      </c>
    </row>
    <row r="9" customFormat="false" ht="15" hidden="false" customHeight="false" outlineLevel="0" collapsed="false">
      <c r="A9" s="48" t="s">
        <v>184</v>
      </c>
      <c r="C9" s="27" t="n">
        <f aca="false">'Scenario Analysis'!$C$154</f>
        <v>0.0439462031131122</v>
      </c>
      <c r="D9" s="27" t="n">
        <f aca="false">'Scenario Analysis'!$C$280</f>
        <v>0.043946203113111</v>
      </c>
      <c r="E9" s="27" t="n">
        <f aca="false">'Scenario Analysis'!$C$406</f>
        <v>0.0439462031131122</v>
      </c>
      <c r="F9" s="27" t="n">
        <f aca="false">'Scenario Analysis'!$C$532</f>
        <v>0.0439462031131122</v>
      </c>
    </row>
    <row r="10" customFormat="false" ht="15" hidden="false" customHeight="false" outlineLevel="0" collapsed="false">
      <c r="A10" s="48" t="s">
        <v>185</v>
      </c>
      <c r="C10" s="27" t="n">
        <f aca="false">'Scenario Analysis'!$C$155</f>
        <v>0.0765693624107737</v>
      </c>
      <c r="D10" s="27" t="n">
        <f aca="false">'Scenario Analysis'!$C$281</f>
        <v>0.0613544156668537</v>
      </c>
      <c r="E10" s="27" t="n">
        <f aca="false">'Scenario Analysis'!$C$407</f>
        <v>0.0401575892955539</v>
      </c>
      <c r="F10" s="27" t="n">
        <f aca="false">'Scenario Analysis'!$C$533</f>
        <v>-0.000703287111852524</v>
      </c>
    </row>
    <row r="11" customFormat="false" ht="15" hidden="false" customHeight="false" outlineLevel="0" collapsed="false">
      <c r="A11" s="48" t="s">
        <v>186</v>
      </c>
      <c r="C11" s="50" t="n">
        <f aca="false">'Scenario Analysis'!$C$156</f>
        <v>1.27799577306848</v>
      </c>
      <c r="D11" s="50" t="n">
        <f aca="false">'Scenario Analysis'!$C$282</f>
        <v>1.22183242377711</v>
      </c>
      <c r="E11" s="50" t="n">
        <f aca="false">'Scenario Analysis'!$C$408</f>
        <v>1.13018238049198</v>
      </c>
      <c r="F11" s="50" t="n">
        <f aca="false">'Scenario Analysis'!$C$534</f>
        <v>0.998140737466267</v>
      </c>
    </row>
    <row r="12" customFormat="false" ht="15" hidden="false" customHeight="false" outlineLevel="0" collapsed="false">
      <c r="A12" s="48" t="s">
        <v>194</v>
      </c>
      <c r="C12" s="51" t="n">
        <f aca="false">'Scenario Analysis'!$C$164</f>
        <v>0.605123041300763</v>
      </c>
      <c r="D12" s="51" t="n">
        <f aca="false">'Scenario Analysis'!$C$290</f>
        <v>0.625326756295661</v>
      </c>
      <c r="E12" s="51" t="n">
        <f aca="false">'Scenario Analysis'!$C$416</f>
        <v>0.631456133977736</v>
      </c>
      <c r="F12" s="51" t="n">
        <f aca="false">'Scenario Analysis'!$C$542</f>
        <v>0.645294621189884</v>
      </c>
    </row>
    <row r="13" customFormat="false" ht="15" hidden="false" customHeight="false" outlineLevel="0" collapsed="false">
      <c r="A13" s="48" t="s">
        <v>188</v>
      </c>
      <c r="C13" s="30" t="n">
        <f aca="false">'Scenario Analysis'!$C$158</f>
        <v>22077004.7976516</v>
      </c>
      <c r="D13" s="30" t="n">
        <f aca="false">'Scenario Analysis'!$C$284</f>
        <v>35112132.0411396</v>
      </c>
      <c r="E13" s="30" t="n">
        <f aca="false">'Scenario Analysis'!$C$410</f>
        <v>46193654.6524567</v>
      </c>
      <c r="F13" s="30" t="n">
        <f aca="false">'Scenario Analysis'!$C$536</f>
        <v>60526598.7141179</v>
      </c>
    </row>
    <row r="14" customFormat="false" ht="15" hidden="false" customHeight="false" outlineLevel="0" collapsed="false">
      <c r="A14" s="48" t="s">
        <v>189</v>
      </c>
      <c r="C14" s="30" t="n">
        <f aca="false">'Scenario Analysis'!$C$159</f>
        <v>24</v>
      </c>
      <c r="D14" s="30" t="n">
        <f aca="false">'Scenario Analysis'!$C$285</f>
        <v>24</v>
      </c>
      <c r="E14" s="30" t="n">
        <f aca="false">'Scenario Analysis'!$C$411</f>
        <v>24</v>
      </c>
      <c r="F14" s="30" t="n">
        <f aca="false">'Scenario Analysis'!$C$537</f>
        <v>24</v>
      </c>
    </row>
    <row r="16" customFormat="false" ht="15" hidden="false" customHeight="false" outlineLevel="0" collapsed="false">
      <c r="A16" s="2" t="s">
        <v>203</v>
      </c>
    </row>
    <row r="18" customFormat="false" ht="15" hidden="false" customHeight="false" outlineLevel="0" collapsed="false">
      <c r="A18" s="36" t="s">
        <v>204</v>
      </c>
      <c r="E18" s="37" t="n">
        <v>1</v>
      </c>
      <c r="F18" s="37" t="n">
        <v>2</v>
      </c>
      <c r="G18" s="37" t="n">
        <v>3</v>
      </c>
      <c r="H18" s="37" t="n">
        <v>4</v>
      </c>
      <c r="I18" s="37" t="n">
        <v>5</v>
      </c>
      <c r="J18" s="37" t="n">
        <v>6</v>
      </c>
      <c r="K18" s="37" t="n">
        <v>7</v>
      </c>
      <c r="L18" s="37" t="n">
        <v>8</v>
      </c>
      <c r="M18" s="37" t="n">
        <v>9</v>
      </c>
      <c r="N18" s="37" t="n">
        <v>10</v>
      </c>
      <c r="O18" s="37" t="n">
        <v>11</v>
      </c>
      <c r="P18" s="37" t="n">
        <v>12</v>
      </c>
      <c r="Q18" s="37" t="n">
        <v>13</v>
      </c>
      <c r="R18" s="37" t="n">
        <v>14</v>
      </c>
      <c r="S18" s="37" t="n">
        <v>15</v>
      </c>
      <c r="T18" s="37" t="n">
        <v>16</v>
      </c>
      <c r="U18" s="37" t="n">
        <v>17</v>
      </c>
      <c r="V18" s="37" t="n">
        <v>18</v>
      </c>
      <c r="W18" s="37" t="n">
        <v>19</v>
      </c>
      <c r="X18" s="37" t="n">
        <v>20</v>
      </c>
      <c r="Y18" s="37" t="n">
        <v>21</v>
      </c>
      <c r="Z18" s="37" t="n">
        <v>22</v>
      </c>
      <c r="AA18" s="37" t="n">
        <v>23</v>
      </c>
      <c r="AB18" s="37" t="n">
        <v>24</v>
      </c>
      <c r="AC18" s="37" t="n">
        <v>25</v>
      </c>
      <c r="AD18" s="37" t="n">
        <v>26</v>
      </c>
      <c r="AE18" s="37" t="n">
        <v>27</v>
      </c>
      <c r="AF18" s="37" t="n">
        <v>28</v>
      </c>
      <c r="AG18" s="37" t="n">
        <v>29</v>
      </c>
      <c r="AH18" s="37" t="n">
        <v>30</v>
      </c>
      <c r="AI18" s="37" t="n">
        <v>31</v>
      </c>
      <c r="AJ18" s="37" t="n">
        <v>32</v>
      </c>
      <c r="AK18" s="37" t="n">
        <v>33</v>
      </c>
      <c r="AL18" s="37" t="n">
        <v>34</v>
      </c>
      <c r="AM18" s="37" t="n">
        <v>35</v>
      </c>
      <c r="AN18" s="37" t="n">
        <v>36</v>
      </c>
    </row>
    <row r="19" customFormat="false" ht="15" hidden="false" customHeight="false" outlineLevel="0" collapsed="false">
      <c r="A19" s="5" t="s">
        <v>205</v>
      </c>
      <c r="E19" s="8" t="n">
        <f aca="false">'Scenario Analysis'!E109/1000000</f>
        <v>536.784399269557</v>
      </c>
      <c r="F19" s="8" t="n">
        <f aca="false">'Scenario Analysis'!F109/1000000</f>
        <v>506.195899938778</v>
      </c>
      <c r="G19" s="8" t="n">
        <f aca="false">'Scenario Analysis'!G109/1000000</f>
        <v>475.787188136534</v>
      </c>
      <c r="H19" s="8" t="n">
        <f aca="false">'Scenario Analysis'!H109/1000000</f>
        <v>445.686210370844</v>
      </c>
      <c r="I19" s="8" t="n">
        <f aca="false">'Scenario Analysis'!I109/1000000</f>
        <v>417.080763669223</v>
      </c>
      <c r="J19" s="8" t="n">
        <f aca="false">'Scenario Analysis'!J109/1000000</f>
        <v>390.432478807512</v>
      </c>
      <c r="K19" s="8" t="n">
        <f aca="false">'Scenario Analysis'!K109/1000000</f>
        <v>365.639420544409</v>
      </c>
      <c r="L19" s="8" t="n">
        <f aca="false">'Scenario Analysis'!L109/1000000</f>
        <v>342.585276910871</v>
      </c>
      <c r="M19" s="8" t="n">
        <f aca="false">'Scenario Analysis'!M109/1000000</f>
        <v>321.113289033745</v>
      </c>
      <c r="N19" s="8" t="n">
        <f aca="false">'Scenario Analysis'!N109/1000000</f>
        <v>301.096590822734</v>
      </c>
      <c r="O19" s="8" t="n">
        <f aca="false">'Scenario Analysis'!O109/1000000</f>
        <v>282.451942232389</v>
      </c>
      <c r="P19" s="8" t="n">
        <f aca="false">'Scenario Analysis'!P109/1000000</f>
        <v>265.090732705127</v>
      </c>
      <c r="Q19" s="8" t="n">
        <f aca="false">'Scenario Analysis'!Q109/1000000</f>
        <v>248.884306582262</v>
      </c>
      <c r="R19" s="8" t="n">
        <f aca="false">'Scenario Analysis'!R109/1000000</f>
        <v>233.735541217402</v>
      </c>
      <c r="S19" s="8" t="n">
        <f aca="false">'Scenario Analysis'!S109/1000000</f>
        <v>219.586639324748</v>
      </c>
      <c r="T19" s="8" t="n">
        <f aca="false">'Scenario Analysis'!T109/1000000</f>
        <v>206.375706590773</v>
      </c>
      <c r="U19" s="8" t="n">
        <f aca="false">'Scenario Analysis'!U109/1000000</f>
        <v>194.013202076293</v>
      </c>
      <c r="V19" s="8" t="n">
        <f aca="false">'Scenario Analysis'!V109/1000000</f>
        <v>171.669329007857</v>
      </c>
      <c r="W19" s="8" t="n">
        <f aca="false">'Scenario Analysis'!W109/1000000</f>
        <v>145.875993360773</v>
      </c>
      <c r="X19" s="8" t="n">
        <f aca="false">'Scenario Analysis'!X109/1000000</f>
        <v>122.192401555031</v>
      </c>
      <c r="Y19" s="8" t="n">
        <f aca="false">'Scenario Analysis'!Y109/1000000</f>
        <v>100.475707746499</v>
      </c>
      <c r="Z19" s="8" t="n">
        <f aca="false">'Scenario Analysis'!Z109/1000000</f>
        <v>80.5816443560378</v>
      </c>
      <c r="AA19" s="8" t="n">
        <f aca="false">'Scenario Analysis'!AA109/1000000</f>
        <v>62.3822250854562</v>
      </c>
      <c r="AB19" s="8" t="n">
        <f aca="false">'Scenario Analysis'!AB109/1000000</f>
        <v>45.7578022280173</v>
      </c>
      <c r="AC19" s="8" t="n">
        <f aca="false">'Scenario Analysis'!AC109/1000000</f>
        <v>30.5525619020486</v>
      </c>
      <c r="AD19" s="8" t="n">
        <f aca="false">'Scenario Analysis'!AD109/1000000</f>
        <v>16.663396569404</v>
      </c>
      <c r="AE19" s="8" t="n">
        <f aca="false">'Scenario Analysis'!AE109/1000000</f>
        <v>3.99869639761629</v>
      </c>
      <c r="AF19" s="8" t="n">
        <f aca="false">'Scenario Analysis'!AF109/1000000</f>
        <v>2.25554686039686E-016</v>
      </c>
      <c r="AG19" s="8" t="n">
        <f aca="false">'Scenario Analysis'!AG109/1000000</f>
        <v>0</v>
      </c>
      <c r="AH19" s="8" t="n">
        <f aca="false">'Scenario Analysis'!AH109/1000000</f>
        <v>0</v>
      </c>
      <c r="AI19" s="8" t="n">
        <f aca="false">'Scenario Analysis'!AI109/1000000</f>
        <v>0</v>
      </c>
      <c r="AJ19" s="8" t="n">
        <f aca="false">'Scenario Analysis'!AJ109/1000000</f>
        <v>0</v>
      </c>
      <c r="AK19" s="8" t="n">
        <f aca="false">'Scenario Analysis'!AK109/1000000</f>
        <v>0</v>
      </c>
      <c r="AL19" s="8" t="n">
        <f aca="false">'Scenario Analysis'!AL109/1000000</f>
        <v>0</v>
      </c>
      <c r="AM19" s="8" t="n">
        <f aca="false">'Scenario Analysis'!AM109/1000000</f>
        <v>0</v>
      </c>
      <c r="AN19" s="8" t="n">
        <f aca="false">'Scenario Analysis'!AN109/1000000</f>
        <v>0</v>
      </c>
    </row>
    <row r="20" customFormat="false" ht="15" hidden="false" customHeight="false" outlineLevel="0" collapsed="false">
      <c r="A20" s="5" t="s">
        <v>206</v>
      </c>
      <c r="E20" s="8" t="n">
        <f aca="false">'Scenario Analysis'!E141/1000000</f>
        <v>322.760343421729</v>
      </c>
      <c r="F20" s="8" t="n">
        <f aca="false">'Scenario Analysis'!F141/1000000</f>
        <v>304.95706020328</v>
      </c>
      <c r="G20" s="8" t="n">
        <f aca="false">'Scenario Analysis'!G141/1000000</f>
        <v>287.096629796262</v>
      </c>
      <c r="H20" s="8" t="n">
        <f aca="false">'Scenario Analysis'!H141/1000000</f>
        <v>269.250957796296</v>
      </c>
      <c r="I20" s="8" t="n">
        <f aca="false">'Scenario Analysis'!I141/1000000</f>
        <v>252.188025841688</v>
      </c>
      <c r="J20" s="8" t="n">
        <f aca="false">'Scenario Analysis'!J141/1000000</f>
        <v>236.215285310205</v>
      </c>
      <c r="K20" s="8" t="n">
        <f aca="false">'Scenario Analysis'!K141/1000000</f>
        <v>221.256838179282</v>
      </c>
      <c r="L20" s="8" t="n">
        <f aca="false">'Scenario Analysis'!L141/1000000</f>
        <v>207.241544793043</v>
      </c>
      <c r="M20" s="8" t="n">
        <f aca="false">'Scenario Analysis'!M141/1000000</f>
        <v>191.855427980295</v>
      </c>
      <c r="N20" s="8" t="n">
        <f aca="false">'Scenario Analysis'!N141/1000000</f>
        <v>177.37225266229</v>
      </c>
      <c r="O20" s="8" t="n">
        <f aca="false">'Scenario Analysis'!O141/1000000</f>
        <v>163.76163605238</v>
      </c>
      <c r="P20" s="8" t="n">
        <f aca="false">'Scenario Analysis'!P141/1000000</f>
        <v>150.98166634856</v>
      </c>
      <c r="Q20" s="8" t="n">
        <f aca="false">'Scenario Analysis'!Q141/1000000</f>
        <v>139.023186693111</v>
      </c>
      <c r="R20" s="8" t="n">
        <f aca="false">'Scenario Analysis'!R141/1000000</f>
        <v>127.852341883172</v>
      </c>
      <c r="S20" s="8" t="n">
        <f aca="false">'Scenario Analysis'!S141/1000000</f>
        <v>117.430953137723</v>
      </c>
      <c r="T20" s="8" t="n">
        <f aca="false">'Scenario Analysis'!T141/1000000</f>
        <v>107.714480549879</v>
      </c>
      <c r="U20" s="8" t="n">
        <f aca="false">'Scenario Analysis'!U141/1000000</f>
        <v>98.6412118278441</v>
      </c>
      <c r="V20" s="8" t="n">
        <f aca="false">'Scenario Analysis'!V141/1000000</f>
        <v>82.6285480232657</v>
      </c>
      <c r="W20" s="8" t="n">
        <f aca="false">'Scenario Analysis'!W141/1000000</f>
        <v>64.2245989860612</v>
      </c>
      <c r="X20" s="8" t="n">
        <f aca="false">'Scenario Analysis'!X141/1000000</f>
        <v>47.3091702308545</v>
      </c>
      <c r="Y20" s="8" t="n">
        <f aca="false">'Scenario Analysis'!Y141/1000000</f>
        <v>31.774779557593</v>
      </c>
      <c r="Z20" s="8" t="n">
        <f aca="false">'Scenario Analysis'!Z141/1000000</f>
        <v>15.4804814704027</v>
      </c>
      <c r="AA20" s="8" t="n">
        <f aca="false">'Scenario Analysis'!AA141/1000000</f>
        <v>0.550289892536361</v>
      </c>
      <c r="AB20" s="8" t="n">
        <f aca="false">'Scenario Analysis'!AB141/1000000</f>
        <v>0</v>
      </c>
      <c r="AC20" s="8" t="n">
        <f aca="false">'Scenario Analysis'!AC141/1000000</f>
        <v>0</v>
      </c>
      <c r="AD20" s="8" t="n">
        <f aca="false">'Scenario Analysis'!AD141/1000000</f>
        <v>0</v>
      </c>
      <c r="AE20" s="8" t="n">
        <f aca="false">'Scenario Analysis'!AE141/1000000</f>
        <v>0</v>
      </c>
      <c r="AF20" s="8" t="n">
        <f aca="false">'Scenario Analysis'!AF141/1000000</f>
        <v>0</v>
      </c>
      <c r="AG20" s="8" t="n">
        <f aca="false">'Scenario Analysis'!AG141/1000000</f>
        <v>0</v>
      </c>
      <c r="AH20" s="8" t="n">
        <f aca="false">'Scenario Analysis'!AH141/1000000</f>
        <v>0</v>
      </c>
      <c r="AI20" s="8" t="n">
        <f aca="false">'Scenario Analysis'!AI141/1000000</f>
        <v>0</v>
      </c>
      <c r="AJ20" s="8" t="n">
        <f aca="false">'Scenario Analysis'!AJ141/1000000</f>
        <v>0</v>
      </c>
      <c r="AK20" s="8" t="n">
        <f aca="false">'Scenario Analysis'!AK141/1000000</f>
        <v>0</v>
      </c>
      <c r="AL20" s="8" t="n">
        <f aca="false">'Scenario Analysis'!AL141/1000000</f>
        <v>0</v>
      </c>
      <c r="AM20" s="8" t="n">
        <f aca="false">'Scenario Analysis'!AM141/1000000</f>
        <v>0</v>
      </c>
      <c r="AN20" s="8" t="n">
        <f aca="false">'Scenario Analysis'!AN141/1000000</f>
        <v>0</v>
      </c>
    </row>
    <row r="21" customFormat="false" ht="15" hidden="false" customHeight="false" outlineLevel="0" collapsed="false">
      <c r="A21" s="5" t="s">
        <v>207</v>
      </c>
      <c r="E21" s="8" t="n">
        <f aca="false">'Scenario Analysis'!E143/1000000</f>
        <v>219.37941437205</v>
      </c>
      <c r="F21" s="8" t="n">
        <f aca="false">'Scenario Analysis'!F143/1000000</f>
        <v>211.749435849857</v>
      </c>
      <c r="G21" s="8" t="n">
        <f aca="false">'Scenario Analysis'!G143/1000000</f>
        <v>204.094965675421</v>
      </c>
      <c r="H21" s="8" t="n">
        <f aca="false">'Scenario Analysis'!H143/1000000</f>
        <v>196.446820532578</v>
      </c>
      <c r="I21" s="8" t="n">
        <f aca="false">'Scenario Analysis'!I143/1000000</f>
        <v>189.134135409175</v>
      </c>
      <c r="J21" s="8" t="n">
        <f aca="false">'Scenario Analysis'!J143/1000000</f>
        <v>182.288675181397</v>
      </c>
      <c r="K21" s="8" t="n">
        <f aca="false">'Scenario Analysis'!K143/1000000</f>
        <v>175.877912125286</v>
      </c>
      <c r="L21" s="8" t="n">
        <f aca="false">'Scenario Analysis'!L143/1000000</f>
        <v>169.871357816899</v>
      </c>
      <c r="M21" s="8" t="n">
        <f aca="false">'Scenario Analysis'!M143/1000000</f>
        <v>163.277307754292</v>
      </c>
      <c r="N21" s="8" t="n">
        <f aca="false">'Scenario Analysis'!N143/1000000</f>
        <v>157.070232618004</v>
      </c>
      <c r="O21" s="8" t="n">
        <f aca="false">'Scenario Analysis'!O143/1000000</f>
        <v>151.237111213757</v>
      </c>
      <c r="P21" s="8" t="n">
        <f aca="false">'Scenario Analysis'!P143/1000000</f>
        <v>145.759981340691</v>
      </c>
      <c r="Q21" s="8" t="n">
        <f aca="false">'Scenario Analysis'!Q143/1000000</f>
        <v>140.634918631213</v>
      </c>
      <c r="R21" s="8" t="n">
        <f aca="false">'Scenario Analysis'!R143/1000000</f>
        <v>135.847413712668</v>
      </c>
      <c r="S21" s="8" t="n">
        <f aca="false">'Scenario Analysis'!S143/1000000</f>
        <v>131.381104250333</v>
      </c>
      <c r="T21" s="8" t="n">
        <f aca="false">'Scenario Analysis'!T143/1000000</f>
        <v>127.216901712685</v>
      </c>
      <c r="U21" s="8" t="n">
        <f aca="false">'Scenario Analysis'!U143/1000000</f>
        <v>123.32835797467</v>
      </c>
      <c r="V21" s="8" t="n">
        <f aca="false">'Scenario Analysis'!V143/1000000</f>
        <v>116.465787772708</v>
      </c>
      <c r="W21" s="8" t="n">
        <f aca="false">'Scenario Analysis'!W143/1000000</f>
        <v>108.578381042478</v>
      </c>
      <c r="X21" s="8" t="n">
        <f aca="false">'Scenario Analysis'!X143/1000000</f>
        <v>101.32891157596</v>
      </c>
      <c r="Y21" s="8" t="n">
        <f aca="false">'Scenario Analysis'!Y143/1000000</f>
        <v>94.6713155731341</v>
      </c>
      <c r="Z21" s="8" t="n">
        <f aca="false">'Scenario Analysis'!Z143/1000000</f>
        <v>90.5977410513366</v>
      </c>
      <c r="AA21" s="8" t="n">
        <f aca="false">'Scenario Analysis'!AA143/1000000</f>
        <v>86.86519315687</v>
      </c>
      <c r="AB21" s="8" t="n">
        <f aca="false">'Scenario Analysis'!AB143/1000000</f>
        <v>70.3419999235128</v>
      </c>
      <c r="AC21" s="8" t="n">
        <f aca="false">'Scenario Analysis'!AC143/1000000</f>
        <v>54.6952670664276</v>
      </c>
      <c r="AD21" s="8" t="n">
        <f aca="false">'Scenario Analysis'!AD143/1000000</f>
        <v>40.3692017059379</v>
      </c>
      <c r="AE21" s="8" t="n">
        <f aca="false">'Scenario Analysis'!AE143/1000000</f>
        <v>27.2968268972918</v>
      </c>
      <c r="AF21" s="8" t="n">
        <f aca="false">'Scenario Analysis'!AF143/1000000</f>
        <v>22.9293831514878</v>
      </c>
      <c r="AG21" s="8" t="n">
        <f aca="false">'Scenario Analysis'!AG143/1000000</f>
        <v>22.6541775204636</v>
      </c>
      <c r="AH21" s="8" t="n">
        <f aca="false">'Scenario Analysis'!AH143/1000000</f>
        <v>22.4401152563555</v>
      </c>
      <c r="AI21" s="8" t="n">
        <f aca="false">'Scenario Analysis'!AI143/1000000</f>
        <v>22.2820228664226</v>
      </c>
      <c r="AJ21" s="8" t="n">
        <f aca="false">'Scenario Analysis'!AJ143/1000000</f>
        <v>22.1750903656359</v>
      </c>
      <c r="AK21" s="8" t="n">
        <f aca="false">'Scenario Analysis'!AK143/1000000</f>
        <v>22.1089489435894</v>
      </c>
      <c r="AL21" s="8" t="n">
        <f aca="false">'Scenario Analysis'!AL143/1000000</f>
        <v>22.0772473908813</v>
      </c>
      <c r="AM21" s="8" t="n">
        <f aca="false">'Scenario Analysis'!AM143/1000000</f>
        <v>22.0770047976516</v>
      </c>
      <c r="AN21" s="8" t="n">
        <f aca="false">'Scenario Analysis'!AN143/1000000</f>
        <v>22.0770047976516</v>
      </c>
    </row>
    <row r="22" customFormat="false" ht="15" hidden="false" customHeight="false" outlineLevel="0" collapsed="false">
      <c r="A22" s="5" t="s">
        <v>208</v>
      </c>
      <c r="E22" s="8" t="n">
        <f aca="false">'Scenario Analysis'!E106/1000000</f>
        <v>10.2905772613315</v>
      </c>
      <c r="F22" s="8" t="n">
        <f aca="false">'Scenario Analysis'!F106/1000000</f>
        <v>9.73412995035017</v>
      </c>
      <c r="G22" s="8" t="n">
        <f aca="false">'Scenario Analysis'!G106/1000000</f>
        <v>9.17884124442638</v>
      </c>
      <c r="H22" s="8" t="n">
        <f aca="false">'Scenario Analysis'!H106/1000000</f>
        <v>8.62730630377498</v>
      </c>
      <c r="I22" s="8" t="n">
        <f aca="false">'Scenario Analysis'!I106/1000000</f>
        <v>8.08306633148184</v>
      </c>
      <c r="J22" s="8" t="n">
        <f aca="false">'Scenario Analysis'!J106/1000000</f>
        <v>7.56661994286761</v>
      </c>
      <c r="K22" s="8" t="n">
        <f aca="false">'Scenario Analysis'!K106/1000000</f>
        <v>7.08612802869272</v>
      </c>
      <c r="L22" s="8" t="n">
        <f aca="false">'Scenario Analysis'!L106/1000000</f>
        <v>6.63933645152665</v>
      </c>
      <c r="M22" s="8" t="n">
        <f aca="false">'Scenario Analysis'!M106/1000000</f>
        <v>6.22320720894852</v>
      </c>
      <c r="N22" s="8" t="n">
        <f aca="false">'Scenario Analysis'!N106/1000000</f>
        <v>5.83528162361711</v>
      </c>
      <c r="O22" s="8" t="n">
        <f aca="false">'Scenario Analysis'!O106/1000000</f>
        <v>5.47394649524267</v>
      </c>
      <c r="P22" s="8" t="n">
        <f aca="false">'Scenario Analysis'!P106/1000000</f>
        <v>5.13748454248067</v>
      </c>
      <c r="Q22" s="8" t="n">
        <f aca="false">'Scenario Analysis'!Q106/1000000</f>
        <v>4.82340240597803</v>
      </c>
      <c r="R22" s="8" t="n">
        <f aca="false">'Scenario Analysis'!R106/1000000</f>
        <v>4.52981783926968</v>
      </c>
      <c r="S22" s="8" t="n">
        <f aca="false">'Scenario Analysis'!S106/1000000</f>
        <v>4.25561072525698</v>
      </c>
      <c r="T22" s="8" t="n">
        <f aca="false">'Scenario Analysis'!T106/1000000</f>
        <v>3.99958154603989</v>
      </c>
      <c r="U22" s="8" t="n">
        <f aca="false">'Scenario Analysis'!U106/1000000</f>
        <v>3.75999498938672</v>
      </c>
      <c r="V22" s="8" t="n">
        <f aca="false">'Scenario Analysis'!V106/1000000</f>
        <v>3.53552932963916</v>
      </c>
      <c r="W22" s="8" t="n">
        <f aca="false">'Scenario Analysis'!W106/1000000</f>
        <v>3.12890491290453</v>
      </c>
      <c r="X22" s="8" t="n">
        <f aca="false">'Scenario Analysis'!X106/1000000</f>
        <v>2.65927584703576</v>
      </c>
      <c r="Y22" s="8" t="n">
        <f aca="false">'Scenario Analysis'!Y106/1000000</f>
        <v>2.22780013896586</v>
      </c>
      <c r="Z22" s="8" t="n">
        <f aca="false">'Scenario Analysis'!Z106/1000000</f>
        <v>1.8320333670787</v>
      </c>
      <c r="AA22" s="8" t="n">
        <f aca="false">'Scenario Analysis'!AA106/1000000</f>
        <v>1.46948108039293</v>
      </c>
      <c r="AB22" s="8" t="n">
        <f aca="false">'Scenario Analysis'!AB106/1000000</f>
        <v>1.13781094283236</v>
      </c>
      <c r="AC22" s="8" t="n">
        <f aca="false">'Scenario Analysis'!AC106/1000000</f>
        <v>0.834662568065546</v>
      </c>
      <c r="AD22" s="8" t="n">
        <f aca="false">'Scenario Analysis'!AD106/1000000</f>
        <v>0.5573056077097</v>
      </c>
      <c r="AE22" s="8" t="n">
        <f aca="false">'Scenario Analysis'!AE106/1000000</f>
        <v>0.303955013049062</v>
      </c>
      <c r="AF22" s="8" t="n">
        <f aca="false">'Scenario Analysis'!AF106/1000000</f>
        <v>0.0729397401456769</v>
      </c>
      <c r="AG22" s="8" t="n">
        <f aca="false">'Scenario Analysis'!AG106/1000000</f>
        <v>0</v>
      </c>
      <c r="AH22" s="8" t="n">
        <f aca="false">'Scenario Analysis'!AH106/1000000</f>
        <v>0</v>
      </c>
      <c r="AI22" s="8" t="n">
        <f aca="false">'Scenario Analysis'!AI106/1000000</f>
        <v>0</v>
      </c>
      <c r="AJ22" s="8" t="n">
        <f aca="false">'Scenario Analysis'!AJ106/1000000</f>
        <v>0</v>
      </c>
      <c r="AK22" s="8" t="n">
        <f aca="false">'Scenario Analysis'!AK106/1000000</f>
        <v>0</v>
      </c>
      <c r="AL22" s="8" t="n">
        <f aca="false">'Scenario Analysis'!AL106/1000000</f>
        <v>0</v>
      </c>
      <c r="AM22" s="8" t="n">
        <f aca="false">'Scenario Analysis'!AM106/1000000</f>
        <v>0</v>
      </c>
      <c r="AN22" s="8" t="n">
        <f aca="false">'Scenario Analysis'!AN106/1000000</f>
        <v>0</v>
      </c>
    </row>
    <row r="23" customFormat="false" ht="15" hidden="false" customHeight="false" outlineLevel="0" collapsed="false">
      <c r="A23" s="5" t="s">
        <v>209</v>
      </c>
      <c r="E23" s="8" t="n">
        <f aca="false">'Scenario Analysis'!E105/1000000</f>
        <v>25.2351125453807</v>
      </c>
      <c r="F23" s="8" t="n">
        <f aca="false">'Scenario Analysis'!F105/1000000</f>
        <v>25.4332617406418</v>
      </c>
      <c r="G23" s="8" t="n">
        <f aca="false">'Scenario Analysis'!G105/1000000</f>
        <v>25.5149005814547</v>
      </c>
      <c r="H23" s="8" t="n">
        <f aca="false">'Scenario Analysis'!H105/1000000</f>
        <v>25.493817142809</v>
      </c>
      <c r="I23" s="8" t="n">
        <f aca="false">'Scenario Analysis'!I105/1000000</f>
        <v>24.3756170780105</v>
      </c>
      <c r="J23" s="8" t="n">
        <f aca="false">'Scenario Analysis'!J105/1000000</f>
        <v>22.8182007592614</v>
      </c>
      <c r="K23" s="8" t="n">
        <f aca="false">'Scenario Analysis'!K105/1000000</f>
        <v>21.3692101870338</v>
      </c>
      <c r="L23" s="8" t="n">
        <f aca="false">'Scenario Analysis'!L105/1000000</f>
        <v>20.0218476946263</v>
      </c>
      <c r="M23" s="8" t="n">
        <f aca="false">'Scenario Analysis'!M105/1000000</f>
        <v>21.9801668753552</v>
      </c>
      <c r="N23" s="8" t="n">
        <f aca="false">'Scenario Analysis'!N105/1000000</f>
        <v>20.6902504542928</v>
      </c>
      <c r="O23" s="8" t="n">
        <f aca="false">'Scenario Analysis'!O105/1000000</f>
        <v>19.4437380141567</v>
      </c>
      <c r="P23" s="8" t="n">
        <f aca="false">'Scenario Analysis'!P105/1000000</f>
        <v>18.2570995768854</v>
      </c>
      <c r="Q23" s="8" t="n">
        <f aca="false">'Scenario Analysis'!Q105/1000000</f>
        <v>17.0835423649266</v>
      </c>
      <c r="R23" s="8" t="n">
        <f aca="false">'Scenario Analysis'!R105/1000000</f>
        <v>15.9583497284853</v>
      </c>
      <c r="S23" s="8" t="n">
        <f aca="false">'Scenario Analysis'!S105/1000000</f>
        <v>14.8876982077846</v>
      </c>
      <c r="T23" s="8" t="n">
        <f aca="false">'Scenario Analysis'!T105/1000000</f>
        <v>13.8806751254909</v>
      </c>
      <c r="U23" s="8" t="n">
        <f aca="false">'Scenario Analysis'!U105/1000000</f>
        <v>12.9618124600499</v>
      </c>
      <c r="V23" s="8" t="n">
        <f aca="false">'Scenario Analysis'!V105/1000000</f>
        <v>22.8752340065405</v>
      </c>
      <c r="W23" s="8" t="n">
        <f aca="false">'Scenario Analysis'!W105/1000000</f>
        <v>26.291355767435</v>
      </c>
      <c r="X23" s="8" t="n">
        <f aca="false">'Scenario Analysis'!X105/1000000</f>
        <v>24.1648982217239</v>
      </c>
      <c r="Y23" s="8" t="n">
        <f aca="false">'Scenario Analysis'!Y105/1000000</f>
        <v>22.1919866760878</v>
      </c>
      <c r="Z23" s="8" t="n">
        <f aca="false">'Scenario Analysis'!Z105/1000000</f>
        <v>20.3678726089879</v>
      </c>
      <c r="AA23" s="8" t="n">
        <f aca="false">'Scenario Analysis'!AA105/1000000</f>
        <v>18.662739472333</v>
      </c>
      <c r="AB23" s="8" t="n">
        <f aca="false">'Scenario Analysis'!AB105/1000000</f>
        <v>17.0734831258935</v>
      </c>
      <c r="AC23" s="8" t="n">
        <f aca="false">'Scenario Analysis'!AC105/1000000</f>
        <v>15.6467328570852</v>
      </c>
      <c r="AD23" s="8" t="n">
        <f aca="false">'Scenario Analysis'!AD105/1000000</f>
        <v>14.3260653604897</v>
      </c>
      <c r="AE23" s="8" t="n">
        <f aca="false">'Scenario Analysis'!AE105/1000000</f>
        <v>13.0723748086461</v>
      </c>
      <c r="AF23" s="8" t="n">
        <f aca="false">'Scenario Analysis'!AF105/1000000</f>
        <v>4.36744374580403</v>
      </c>
      <c r="AG23" s="8" t="n">
        <f aca="false">'Scenario Analysis'!AG105/1000000</f>
        <v>0.312705631024147</v>
      </c>
      <c r="AH23" s="8" t="n">
        <f aca="false">'Scenario Analysis'!AH105/1000000</f>
        <v>0.251562264108125</v>
      </c>
      <c r="AI23" s="8" t="n">
        <f aca="false">'Scenario Analysis'!AI105/1000000</f>
        <v>0.195592389932903</v>
      </c>
      <c r="AJ23" s="8" t="n">
        <f aca="false">'Scenario Analysis'!AJ105/1000000</f>
        <v>0.144432500786706</v>
      </c>
      <c r="AK23" s="8" t="n">
        <f aca="false">'Scenario Analysis'!AK105/1000000</f>
        <v>0.103641422046459</v>
      </c>
      <c r="AL23" s="8" t="n">
        <f aca="false">'Scenario Analysis'!AL105/1000000</f>
        <v>0.0692015527081401</v>
      </c>
      <c r="AM23" s="8" t="n">
        <f aca="false">'Scenario Analysis'!AM105/1000000</f>
        <v>0.0377425932297002</v>
      </c>
      <c r="AN23" s="8" t="n">
        <f aca="false">'Scenario Analysis'!AN105/1000000</f>
        <v>0.0090570473406009</v>
      </c>
    </row>
    <row r="24" customFormat="false" ht="15" hidden="false" customHeight="false" outlineLevel="0" collapsed="false">
      <c r="A24" s="5" t="s">
        <v>179</v>
      </c>
      <c r="E24" s="18" t="n">
        <f aca="false">'Scenario Analysis'!E148</f>
        <v>0.60128488059812</v>
      </c>
      <c r="F24" s="18" t="n">
        <f aca="false">'Scenario Analysis'!F148</f>
        <v>0.602448696720308</v>
      </c>
      <c r="G24" s="18" t="n">
        <f aca="false">'Scenario Analysis'!G148</f>
        <v>0.603413956816919</v>
      </c>
      <c r="H24" s="18" t="n">
        <f aca="false">'Scenario Analysis'!H148</f>
        <v>0.604126741036612</v>
      </c>
      <c r="I24" s="18" t="n">
        <f aca="false">'Scenario Analysis'!I148</f>
        <v>0.604650340675249</v>
      </c>
      <c r="J24" s="18" t="n">
        <f aca="false">'Scenario Analysis'!J148</f>
        <v>0.605009311806415</v>
      </c>
      <c r="K24" s="18" t="n">
        <f aca="false">'Scenario Analysis'!K148</f>
        <v>0.605123041300763</v>
      </c>
      <c r="L24" s="18" t="n">
        <f aca="false">'Scenario Analysis'!L148</f>
        <v>0.604934183575439</v>
      </c>
      <c r="M24" s="18" t="n">
        <f aca="false">'Scenario Analysis'!M148</f>
        <v>0.597469598837228</v>
      </c>
      <c r="N24" s="18" t="n">
        <f aca="false">'Scenario Analysis'!N148</f>
        <v>0.589087548874689</v>
      </c>
      <c r="O24" s="18" t="n">
        <f aca="false">'Scenario Analysis'!O148</f>
        <v>0.579785838107794</v>
      </c>
      <c r="P24" s="18" t="n">
        <f aca="false">'Scenario Analysis'!P148</f>
        <v>0.569547131308072</v>
      </c>
      <c r="Q24" s="18" t="n">
        <f aca="false">'Scenario Analysis'!Q148</f>
        <v>0.558585587826773</v>
      </c>
      <c r="R24" s="18" t="n">
        <f aca="false">'Scenario Analysis'!R148</f>
        <v>0.546995725242546</v>
      </c>
      <c r="S24" s="18" t="n">
        <f aca="false">'Scenario Analysis'!S148</f>
        <v>0.534781867871539</v>
      </c>
      <c r="T24" s="18" t="n">
        <f aca="false">'Scenario Analysis'!T148</f>
        <v>0.521933915232904</v>
      </c>
      <c r="U24" s="18" t="n">
        <f aca="false">'Scenario Analysis'!U148</f>
        <v>0.508425255457898</v>
      </c>
      <c r="V24" s="18" t="n">
        <f aca="false">'Scenario Analysis'!V148</f>
        <v>0.481323882960386</v>
      </c>
      <c r="W24" s="18" t="n">
        <f aca="false">'Scenario Analysis'!W148</f>
        <v>0.44026846026148</v>
      </c>
      <c r="X24" s="18" t="n">
        <f aca="false">'Scenario Analysis'!X148</f>
        <v>0.387169493592023</v>
      </c>
      <c r="Y24" s="18" t="n">
        <f aca="false">'Scenario Analysis'!Y148</f>
        <v>0.316243401218541</v>
      </c>
      <c r="Z24" s="18" t="n">
        <f aca="false">'Scenario Analysis'!Z148</f>
        <v>0.192109277418125</v>
      </c>
      <c r="AA24" s="18" t="n">
        <f aca="false">'Scenario Analysis'!AA148</f>
        <v>0.00882126105284846</v>
      </c>
      <c r="AB24" s="18" t="n">
        <f aca="false">'Scenario Analysis'!AB148</f>
        <v>0</v>
      </c>
      <c r="AC24" s="18" t="n">
        <f aca="false">'Scenario Analysis'!AC148</f>
        <v>0</v>
      </c>
      <c r="AD24" s="18" t="n">
        <f aca="false">'Scenario Analysis'!AD148</f>
        <v>0</v>
      </c>
      <c r="AE24" s="18" t="n">
        <f aca="false">'Scenario Analysis'!AE148</f>
        <v>0</v>
      </c>
      <c r="AF24" s="18" t="n">
        <f aca="false">'Scenario Analysis'!AF148</f>
        <v>0</v>
      </c>
      <c r="AG24" s="18" t="n">
        <f aca="false">'Scenario Analysis'!AG148</f>
        <v>0</v>
      </c>
      <c r="AH24" s="18" t="n">
        <f aca="false">'Scenario Analysis'!AH148</f>
        <v>0</v>
      </c>
      <c r="AI24" s="18" t="n">
        <f aca="false">'Scenario Analysis'!AI148</f>
        <v>0</v>
      </c>
      <c r="AJ24" s="18" t="n">
        <f aca="false">'Scenario Analysis'!AJ148</f>
        <v>0</v>
      </c>
      <c r="AK24" s="18" t="n">
        <f aca="false">'Scenario Analysis'!AK148</f>
        <v>0</v>
      </c>
      <c r="AL24" s="18" t="n">
        <f aca="false">'Scenario Analysis'!AL148</f>
        <v>0</v>
      </c>
      <c r="AM24" s="18" t="n">
        <f aca="false">'Scenario Analysis'!AM148</f>
        <v>0</v>
      </c>
      <c r="AN24" s="18" t="n">
        <f aca="false">'Scenario Analysis'!AN148</f>
        <v>0</v>
      </c>
    </row>
    <row r="25" customFormat="false" ht="15" hidden="false" customHeight="false" outlineLevel="0" collapsed="false">
      <c r="A25" s="5" t="s">
        <v>210</v>
      </c>
      <c r="E25" s="18" t="n">
        <f aca="false">'Inputs &amp; Assumptions'!$C$31</f>
        <v>0.65</v>
      </c>
      <c r="F25" s="18" t="n">
        <f aca="false">'Inputs &amp; Assumptions'!$C$31</f>
        <v>0.65</v>
      </c>
      <c r="G25" s="18" t="n">
        <f aca="false">'Inputs &amp; Assumptions'!$C$31</f>
        <v>0.65</v>
      </c>
      <c r="H25" s="18" t="n">
        <f aca="false">'Inputs &amp; Assumptions'!$C$31</f>
        <v>0.65</v>
      </c>
      <c r="I25" s="18" t="n">
        <f aca="false">'Inputs &amp; Assumptions'!$C$31</f>
        <v>0.65</v>
      </c>
      <c r="J25" s="18" t="n">
        <f aca="false">'Inputs &amp; Assumptions'!$C$31</f>
        <v>0.65</v>
      </c>
      <c r="K25" s="18" t="n">
        <f aca="false">'Inputs &amp; Assumptions'!$C$31</f>
        <v>0.65</v>
      </c>
      <c r="L25" s="18" t="n">
        <f aca="false">'Inputs &amp; Assumptions'!$C$31</f>
        <v>0.65</v>
      </c>
      <c r="M25" s="18" t="n">
        <f aca="false">'Inputs &amp; Assumptions'!$C$31</f>
        <v>0.65</v>
      </c>
      <c r="N25" s="18" t="n">
        <f aca="false">'Inputs &amp; Assumptions'!$C$31</f>
        <v>0.65</v>
      </c>
      <c r="O25" s="18" t="n">
        <f aca="false">'Inputs &amp; Assumptions'!$C$31</f>
        <v>0.65</v>
      </c>
      <c r="P25" s="18" t="n">
        <f aca="false">'Inputs &amp; Assumptions'!$C$31</f>
        <v>0.65</v>
      </c>
      <c r="Q25" s="18" t="n">
        <f aca="false">'Inputs &amp; Assumptions'!$C$31</f>
        <v>0.65</v>
      </c>
      <c r="R25" s="18" t="n">
        <f aca="false">'Inputs &amp; Assumptions'!$C$31</f>
        <v>0.65</v>
      </c>
      <c r="S25" s="18" t="n">
        <f aca="false">'Inputs &amp; Assumptions'!$C$31</f>
        <v>0.65</v>
      </c>
      <c r="T25" s="18" t="n">
        <f aca="false">'Inputs &amp; Assumptions'!$C$31</f>
        <v>0.65</v>
      </c>
      <c r="U25" s="18" t="n">
        <f aca="false">'Inputs &amp; Assumptions'!$C$31</f>
        <v>0.65</v>
      </c>
      <c r="V25" s="18" t="n">
        <f aca="false">'Inputs &amp; Assumptions'!$C$31</f>
        <v>0.65</v>
      </c>
      <c r="W25" s="18" t="n">
        <f aca="false">'Inputs &amp; Assumptions'!$C$31</f>
        <v>0.65</v>
      </c>
      <c r="X25" s="18" t="n">
        <f aca="false">'Inputs &amp; Assumptions'!$C$31</f>
        <v>0.65</v>
      </c>
      <c r="Y25" s="18" t="n">
        <f aca="false">'Inputs &amp; Assumptions'!$C$31</f>
        <v>0.65</v>
      </c>
      <c r="Z25" s="18" t="n">
        <f aca="false">'Inputs &amp; Assumptions'!$C$31</f>
        <v>0.65</v>
      </c>
      <c r="AA25" s="18" t="n">
        <f aca="false">'Inputs &amp; Assumptions'!$C$31</f>
        <v>0.65</v>
      </c>
      <c r="AB25" s="18" t="n">
        <f aca="false">'Inputs &amp; Assumptions'!$C$31</f>
        <v>0.65</v>
      </c>
      <c r="AC25" s="18" t="n">
        <f aca="false">'Inputs &amp; Assumptions'!$C$31</f>
        <v>0.65</v>
      </c>
      <c r="AD25" s="18" t="n">
        <f aca="false">'Inputs &amp; Assumptions'!$C$31</f>
        <v>0.65</v>
      </c>
      <c r="AE25" s="18" t="n">
        <f aca="false">'Inputs &amp; Assumptions'!$C$31</f>
        <v>0.65</v>
      </c>
      <c r="AF25" s="18" t="n">
        <f aca="false">'Inputs &amp; Assumptions'!$C$31</f>
        <v>0.65</v>
      </c>
      <c r="AG25" s="18" t="n">
        <f aca="false">'Inputs &amp; Assumptions'!$C$31</f>
        <v>0.65</v>
      </c>
      <c r="AH25" s="18" t="n">
        <f aca="false">'Inputs &amp; Assumptions'!$C$31</f>
        <v>0.65</v>
      </c>
      <c r="AI25" s="18" t="n">
        <f aca="false">'Inputs &amp; Assumptions'!$C$31</f>
        <v>0.65</v>
      </c>
      <c r="AJ25" s="18" t="n">
        <f aca="false">'Inputs &amp; Assumptions'!$C$31</f>
        <v>0.65</v>
      </c>
      <c r="AK25" s="18" t="n">
        <f aca="false">'Inputs &amp; Assumptions'!$C$31</f>
        <v>0.65</v>
      </c>
      <c r="AL25" s="18" t="n">
        <f aca="false">'Inputs &amp; Assumptions'!$C$31</f>
        <v>0.65</v>
      </c>
      <c r="AM25" s="18" t="n">
        <f aca="false">'Inputs &amp; Assumptions'!$C$31</f>
        <v>0.65</v>
      </c>
      <c r="AN25" s="18" t="n">
        <f aca="false">'Inputs &amp; Assumptions'!$C$31</f>
        <v>0.65</v>
      </c>
    </row>
    <row r="41" customFormat="false" ht="15" hidden="false" customHeight="false" outlineLevel="0" collapsed="false">
      <c r="A41" s="3" t="s">
        <v>211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customFormat="false" ht="15" hidden="false" customHeight="false" outlineLevel="0" collapsed="false">
      <c r="A42" s="12" t="s">
        <v>212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customFormat="false" ht="15" hidden="false" customHeight="false" outlineLevel="0" collapsed="false">
      <c r="A43" s="2" t="s">
        <v>124</v>
      </c>
      <c r="B43" s="37" t="s">
        <v>125</v>
      </c>
      <c r="C43" s="37" t="s">
        <v>126</v>
      </c>
      <c r="D43" s="37" t="s">
        <v>127</v>
      </c>
      <c r="E43" s="37" t="n">
        <v>1</v>
      </c>
      <c r="F43" s="37" t="n">
        <v>2</v>
      </c>
      <c r="G43" s="37" t="n">
        <v>3</v>
      </c>
      <c r="H43" s="37" t="n">
        <v>4</v>
      </c>
      <c r="I43" s="37" t="n">
        <v>5</v>
      </c>
      <c r="J43" s="37" t="n">
        <v>6</v>
      </c>
      <c r="K43" s="37" t="n">
        <v>7</v>
      </c>
      <c r="L43" s="37" t="n">
        <v>8</v>
      </c>
      <c r="M43" s="37" t="n">
        <v>9</v>
      </c>
      <c r="N43" s="37" t="n">
        <v>10</v>
      </c>
      <c r="O43" s="37" t="n">
        <v>11</v>
      </c>
      <c r="P43" s="37" t="n">
        <v>12</v>
      </c>
      <c r="Q43" s="37" t="n">
        <v>13</v>
      </c>
      <c r="R43" s="37" t="n">
        <v>14</v>
      </c>
      <c r="S43" s="37" t="n">
        <v>15</v>
      </c>
      <c r="T43" s="37" t="n">
        <v>16</v>
      </c>
      <c r="U43" s="37" t="n">
        <v>17</v>
      </c>
      <c r="V43" s="37" t="n">
        <v>18</v>
      </c>
      <c r="W43" s="37" t="n">
        <v>19</v>
      </c>
      <c r="X43" s="37" t="n">
        <v>20</v>
      </c>
      <c r="Y43" s="37" t="n">
        <v>21</v>
      </c>
      <c r="Z43" s="37" t="n">
        <v>22</v>
      </c>
      <c r="AA43" s="37" t="n">
        <v>23</v>
      </c>
      <c r="AB43" s="37" t="n">
        <v>24</v>
      </c>
      <c r="AC43" s="37" t="n">
        <v>25</v>
      </c>
      <c r="AD43" s="37" t="n">
        <v>26</v>
      </c>
      <c r="AE43" s="37" t="n">
        <v>27</v>
      </c>
      <c r="AF43" s="37" t="n">
        <v>28</v>
      </c>
      <c r="AG43" s="37" t="n">
        <v>29</v>
      </c>
      <c r="AH43" s="37" t="n">
        <v>30</v>
      </c>
      <c r="AI43" s="37" t="n">
        <v>31</v>
      </c>
      <c r="AJ43" s="37" t="n">
        <v>32</v>
      </c>
      <c r="AK43" s="37" t="n">
        <v>33</v>
      </c>
      <c r="AL43" s="37" t="n">
        <v>34</v>
      </c>
      <c r="AM43" s="37" t="n">
        <v>35</v>
      </c>
      <c r="AN43" s="37" t="n">
        <v>36</v>
      </c>
    </row>
    <row r="44" customFormat="false" ht="15" hidden="false" customHeight="false" outlineLevel="0" collapsed="false">
      <c r="A44" s="14" t="s">
        <v>82</v>
      </c>
      <c r="B44" s="37" t="n">
        <v>1</v>
      </c>
      <c r="C44" s="38" t="n">
        <f aca="false">'Inputs &amp; Assumptions'!$C$140</f>
        <v>0</v>
      </c>
      <c r="D44" s="38" t="n">
        <f aca="false">'Inputs &amp; Assumptions'!$D$140</f>
        <v>1</v>
      </c>
      <c r="E44" s="39" t="n">
        <f aca="false">'Inputs &amp; Assumptions'!$G$140</f>
        <v>20000000</v>
      </c>
      <c r="F44" s="39" t="n">
        <f aca="false">E44-E55-E66-E77</f>
        <v>19325208.3328243</v>
      </c>
      <c r="G44" s="39" t="n">
        <f aca="false">F44-F55-F66-F77</f>
        <v>18673183.8553531</v>
      </c>
      <c r="H44" s="39" t="n">
        <f aca="false">G44-G55-G66-G77</f>
        <v>18043158.4120915</v>
      </c>
      <c r="I44" s="39" t="n">
        <f aca="false">H44-H55-H66-H77</f>
        <v>17434389.764791</v>
      </c>
      <c r="J44" s="39" t="n">
        <f aca="false">I44-I55-I66-I77</f>
        <v>16295478.6496444</v>
      </c>
      <c r="K44" s="39" t="n">
        <f aca="false">J44-J55-J66-J77</f>
        <v>15230967.5304657</v>
      </c>
      <c r="L44" s="39" t="n">
        <f aca="false">K44-K55-K66-K77</f>
        <v>14235996.186535</v>
      </c>
      <c r="M44" s="39" t="n">
        <f aca="false">L44-L55-L66-L77</f>
        <v>13306021.8937282</v>
      </c>
      <c r="N44" s="39" t="n">
        <f aca="false">M44-M55-M66-M77</f>
        <v>12451884.2579399</v>
      </c>
      <c r="O44" s="39" t="n">
        <f aca="false">N44-N55-N66-N77</f>
        <v>11652575.2634012</v>
      </c>
      <c r="P44" s="39" t="n">
        <f aca="false">O44-O55-O66-O77</f>
        <v>10904575.3603635</v>
      </c>
      <c r="Q44" s="39" t="n">
        <f aca="false">P44-P55-P66-P77</f>
        <v>10204590.9253488</v>
      </c>
      <c r="R44" s="39" t="n">
        <f aca="false">Q44-Q55-Q66-Q77</f>
        <v>9567857.90647963</v>
      </c>
      <c r="S44" s="39" t="n">
        <f aca="false">R44-R55-R66-R77</f>
        <v>8970854.94051356</v>
      </c>
      <c r="T44" s="39" t="n">
        <f aca="false">S44-S55-S66-S77</f>
        <v>8411103.00240096</v>
      </c>
      <c r="U44" s="39" t="n">
        <f aca="false">T44-T55-T66-T77</f>
        <v>7886277.75012806</v>
      </c>
      <c r="V44" s="39" t="n">
        <f aca="false">U44-U55-U66-U77</f>
        <v>7406680.00680678</v>
      </c>
      <c r="W44" s="39" t="n">
        <f aca="false">V44-V55-V66-V77</f>
        <v>6956248.62088335</v>
      </c>
      <c r="X44" s="39" t="n">
        <f aca="false">W44-W55-W66-W77</f>
        <v>6533209.86340321</v>
      </c>
      <c r="Y44" s="39" t="n">
        <f aca="false">X44-X55-X66-X77</f>
        <v>6135897.87333519</v>
      </c>
      <c r="Z44" s="39" t="n">
        <f aca="false">Y44-Y55-Y66-Y77</f>
        <v>5769269.8305462</v>
      </c>
      <c r="AA44" s="39" t="n">
        <f aca="false">Z44-Z55-Z66-Z77</f>
        <v>5424548.29997988</v>
      </c>
      <c r="AB44" s="39" t="n">
        <f aca="false">AA44-AA55-AA66-AA77</f>
        <v>5100424.33845198</v>
      </c>
      <c r="AC44" s="39" t="n">
        <f aca="false">AB44-AB55-AB66-AB77</f>
        <v>4795667.21387103</v>
      </c>
      <c r="AD44" s="39" t="n">
        <f aca="false">AC44-AC55-AC66-AC77</f>
        <v>4513763.87161707</v>
      </c>
      <c r="AE44" s="39" t="n">
        <f aca="false">AD44-AD55-AD66-AD77</f>
        <v>4248431.6321586</v>
      </c>
      <c r="AF44" s="39" t="n">
        <f aca="false">AE44-AE55-AE66-AE77</f>
        <v>3998696.39761629</v>
      </c>
      <c r="AG44" s="39" t="n">
        <f aca="false">AF44-AF55-AF66-AF77</f>
        <v>0</v>
      </c>
      <c r="AH44" s="39" t="n">
        <f aca="false">AG44-AG55-AG66-AG77</f>
        <v>0</v>
      </c>
      <c r="AI44" s="39" t="n">
        <f aca="false">AH44-AH55-AH66-AH77</f>
        <v>0</v>
      </c>
      <c r="AJ44" s="39" t="n">
        <f aca="false">AI44-AI55-AI66-AI77</f>
        <v>0</v>
      </c>
      <c r="AK44" s="39" t="n">
        <f aca="false">AJ44-AJ55-AJ66-AJ77</f>
        <v>0</v>
      </c>
      <c r="AL44" s="39" t="n">
        <f aca="false">AK44-AK55-AK66-AK77</f>
        <v>0</v>
      </c>
      <c r="AM44" s="39" t="n">
        <f aca="false">AL44-AL55-AL66-AL77</f>
        <v>0</v>
      </c>
      <c r="AN44" s="39" t="n">
        <f aca="false">AM44-AM55-AM66-AM77</f>
        <v>0</v>
      </c>
    </row>
    <row r="45" customFormat="false" ht="15" hidden="false" customHeight="false" outlineLevel="0" collapsed="false">
      <c r="B45" s="37" t="n">
        <v>2</v>
      </c>
      <c r="C45" s="38" t="n">
        <f aca="false">'Inputs &amp; Assumptions'!$C$141</f>
        <v>1</v>
      </c>
      <c r="D45" s="38" t="n">
        <f aca="false">'Inputs &amp; Assumptions'!$D$141</f>
        <v>3</v>
      </c>
      <c r="E45" s="39" t="n">
        <f aca="false">'Inputs &amp; Assumptions'!$G$141</f>
        <v>60000000</v>
      </c>
      <c r="F45" s="39" t="n">
        <f aca="false">E45-E56-E67-E78</f>
        <v>57975624.9984729</v>
      </c>
      <c r="G45" s="39" t="n">
        <f aca="false">F45-F56-F67-F78</f>
        <v>56019551.5660593</v>
      </c>
      <c r="H45" s="39" t="n">
        <f aca="false">G45-G56-G67-G78</f>
        <v>54129475.2362746</v>
      </c>
      <c r="I45" s="39" t="n">
        <f aca="false">H45-H56-H67-H78</f>
        <v>50593437.4491563</v>
      </c>
      <c r="J45" s="39" t="n">
        <f aca="false">I45-I56-I67-I78</f>
        <v>47288393.2783137</v>
      </c>
      <c r="K45" s="39" t="n">
        <f aca="false">J45-J56-J67-J78</f>
        <v>44199252.9385203</v>
      </c>
      <c r="L45" s="39" t="n">
        <f aca="false">K45-K56-K67-K78</f>
        <v>41311912.3930818</v>
      </c>
      <c r="M45" s="39" t="n">
        <f aca="false">L45-L56-L67-L78</f>
        <v>38660025.9417337</v>
      </c>
      <c r="N45" s="39" t="n">
        <f aca="false">M45-M56-M67-M78</f>
        <v>36178368.8829136</v>
      </c>
      <c r="O45" s="39" t="n">
        <f aca="false">N45-N56-N67-N78</f>
        <v>33856013.8837164</v>
      </c>
      <c r="P45" s="39" t="n">
        <f aca="false">O45-O56-O67-O78</f>
        <v>31682735.05652</v>
      </c>
      <c r="Q45" s="39" t="n">
        <f aca="false">P45-P56-P67-P78</f>
        <v>29705836.2581118</v>
      </c>
      <c r="R45" s="39" t="n">
        <f aca="false">Q45-Q56-Q67-Q78</f>
        <v>27852289.4636319</v>
      </c>
      <c r="S45" s="39" t="n">
        <f aca="false">R45-R56-R67-R78</f>
        <v>26114397.9124339</v>
      </c>
      <c r="T45" s="39" t="n">
        <f aca="false">S45-S56-S67-S78</f>
        <v>24484945.0965029</v>
      </c>
      <c r="U45" s="39" t="n">
        <f aca="false">T45-T56-T67-T78</f>
        <v>22995912.5280726</v>
      </c>
      <c r="V45" s="39" t="n">
        <f aca="false">U45-U56-U67-U78</f>
        <v>21597434.2974652</v>
      </c>
      <c r="W45" s="39" t="n">
        <f aca="false">V45-V56-V67-V78</f>
        <v>20284003.4142547</v>
      </c>
      <c r="X45" s="39" t="n">
        <f aca="false">W45-W56-W67-W78</f>
        <v>19050447.7912817</v>
      </c>
      <c r="Y45" s="39" t="n">
        <f aca="false">X45-X56-X67-X78</f>
        <v>17912158.2479821</v>
      </c>
      <c r="Z45" s="39" t="n">
        <f aca="false">Y45-Y56-Y67-Y78</f>
        <v>16841883.0158726</v>
      </c>
      <c r="AA45" s="39" t="n">
        <f aca="false">Z45-Z56-Z67-Z78</f>
        <v>15835558.1495765</v>
      </c>
      <c r="AB45" s="39" t="n">
        <f aca="false">AA45-AA56-AA67-AA78</f>
        <v>14889362.5298481</v>
      </c>
      <c r="AC45" s="39" t="n">
        <f aca="false">AB45-AB56-AB67-AB78</f>
        <v>14014122.2610791</v>
      </c>
      <c r="AD45" s="39" t="n">
        <f aca="false">AC45-AC56-AC67-AC78</f>
        <v>13190331.1746737</v>
      </c>
      <c r="AE45" s="39" t="n">
        <f aca="false">AD45-AD56-AD67-AD78</f>
        <v>12414964.9372454</v>
      </c>
      <c r="AF45" s="39" t="n">
        <f aca="false">AE45-AE56-AE67-AE78</f>
        <v>0</v>
      </c>
      <c r="AG45" s="39" t="n">
        <f aca="false">AF45-AF56-AF67-AF78</f>
        <v>0</v>
      </c>
      <c r="AH45" s="39" t="n">
        <f aca="false">AG45-AG56-AG67-AG78</f>
        <v>0</v>
      </c>
      <c r="AI45" s="39" t="n">
        <f aca="false">AH45-AH56-AH67-AH78</f>
        <v>0</v>
      </c>
      <c r="AJ45" s="39" t="n">
        <f aca="false">AI45-AI56-AI67-AI78</f>
        <v>0</v>
      </c>
      <c r="AK45" s="39" t="n">
        <f aca="false">AJ45-AJ56-AJ67-AJ78</f>
        <v>0</v>
      </c>
      <c r="AL45" s="39" t="n">
        <f aca="false">AK45-AK56-AK67-AK78</f>
        <v>0</v>
      </c>
      <c r="AM45" s="39" t="n">
        <f aca="false">AL45-AL56-AL67-AL78</f>
        <v>0</v>
      </c>
      <c r="AN45" s="39" t="n">
        <f aca="false">AM45-AM56-AM67-AM78</f>
        <v>0</v>
      </c>
    </row>
    <row r="46" customFormat="false" ht="15" hidden="false" customHeight="false" outlineLevel="0" collapsed="false">
      <c r="B46" s="37" t="n">
        <v>3</v>
      </c>
      <c r="C46" s="38" t="n">
        <f aca="false">'Inputs &amp; Assumptions'!$C$142</f>
        <v>2</v>
      </c>
      <c r="D46" s="38" t="n">
        <f aca="false">'Inputs &amp; Assumptions'!$D$142</f>
        <v>3</v>
      </c>
      <c r="E46" s="39" t="n">
        <f aca="false">'Inputs &amp; Assumptions'!$G$142</f>
        <v>60000000</v>
      </c>
      <c r="F46" s="39" t="n">
        <f aca="false">E46-E57-E68-E79</f>
        <v>57975624.9984729</v>
      </c>
      <c r="G46" s="39" t="n">
        <f aca="false">F46-F57-F68-F79</f>
        <v>56019551.5660593</v>
      </c>
      <c r="H46" s="39" t="n">
        <f aca="false">G46-G57-G68-G79</f>
        <v>52360043.5015463</v>
      </c>
      <c r="I46" s="39" t="n">
        <f aca="false">H46-H57-H68-H79</f>
        <v>48939594.8171935</v>
      </c>
      <c r="J46" s="39" t="n">
        <f aca="false">I46-I57-I68-I79</f>
        <v>45742588.8273058</v>
      </c>
      <c r="K46" s="39" t="n">
        <f aca="false">J46-J57-J68-J79</f>
        <v>42754429.0147833</v>
      </c>
      <c r="L46" s="39" t="n">
        <f aca="false">K46-K57-K68-K79</f>
        <v>40009944.8098252</v>
      </c>
      <c r="M46" s="39" t="n">
        <f aca="false">L46-L57-L68-L79</f>
        <v>37441634.0148467</v>
      </c>
      <c r="N46" s="39" t="n">
        <f aca="false">M46-M57-M68-M79</f>
        <v>35038187.7397008</v>
      </c>
      <c r="O46" s="39" t="n">
        <f aca="false">N46-N57-N68-N79</f>
        <v>32789023.0323739</v>
      </c>
      <c r="P46" s="39" t="n">
        <f aca="false">O46-O57-O68-O79</f>
        <v>30743095.4911423</v>
      </c>
      <c r="Q46" s="39" t="n">
        <f aca="false">P46-P57-P68-P79</f>
        <v>28824827.1210863</v>
      </c>
      <c r="R46" s="39" t="n">
        <f aca="false">Q46-Q57-Q68-Q79</f>
        <v>27026252.4084442</v>
      </c>
      <c r="S46" s="39" t="n">
        <f aca="false">R46-R57-R68-R79</f>
        <v>25339902.8613986</v>
      </c>
      <c r="T46" s="39" t="n">
        <f aca="false">S46-S57-S68-S79</f>
        <v>23798876.7127684</v>
      </c>
      <c r="U46" s="39" t="n">
        <f aca="false">T46-T57-T68-T79</f>
        <v>22351566.8504142</v>
      </c>
      <c r="V46" s="39" t="n">
        <f aca="false">U46-U57-U68-U79</f>
        <v>20992273.9925157</v>
      </c>
      <c r="W46" s="39" t="n">
        <f aca="false">V46-V57-V68-V79</f>
        <v>19715645.4545683</v>
      </c>
      <c r="X46" s="39" t="n">
        <f aca="false">W46-W57-W68-W79</f>
        <v>18537609.4678968</v>
      </c>
      <c r="Y46" s="39" t="n">
        <f aca="false">X46-X57-X68-X79</f>
        <v>17429962.6951666</v>
      </c>
      <c r="Z46" s="39" t="n">
        <f aca="false">Y46-Y57-Y68-Y79</f>
        <v>16388499.2874094</v>
      </c>
      <c r="AA46" s="39" t="n">
        <f aca="false">Z46-Z57-Z68-Z79</f>
        <v>15409264.7007154</v>
      </c>
      <c r="AB46" s="39" t="n">
        <f aca="false">AA46-AA57-AA68-AA79</f>
        <v>14503463.0620523</v>
      </c>
      <c r="AC46" s="39" t="n">
        <f aca="false">AB46-AB57-AB68-AB79</f>
        <v>13650907.0924421</v>
      </c>
      <c r="AD46" s="39" t="n">
        <f aca="false">AC46-AC57-AC68-AC79</f>
        <v>12848466.8557579</v>
      </c>
      <c r="AE46" s="39" t="n">
        <f aca="false">AD46-AD57-AD68-AD79</f>
        <v>0</v>
      </c>
      <c r="AF46" s="39" t="n">
        <f aca="false">AE46-AE57-AE68-AE79</f>
        <v>0</v>
      </c>
      <c r="AG46" s="39" t="n">
        <f aca="false">AF46-AF57-AF68-AF79</f>
        <v>0</v>
      </c>
      <c r="AH46" s="39" t="n">
        <f aca="false">AG46-AG57-AG68-AG79</f>
        <v>0</v>
      </c>
      <c r="AI46" s="39" t="n">
        <f aca="false">AH46-AH57-AH68-AH79</f>
        <v>0</v>
      </c>
      <c r="AJ46" s="39" t="n">
        <f aca="false">AI46-AI57-AI68-AI79</f>
        <v>0</v>
      </c>
      <c r="AK46" s="39" t="n">
        <f aca="false">AJ46-AJ57-AJ68-AJ79</f>
        <v>0</v>
      </c>
      <c r="AL46" s="39" t="n">
        <f aca="false">AK46-AK57-AK68-AK79</f>
        <v>0</v>
      </c>
      <c r="AM46" s="39" t="n">
        <f aca="false">AL46-AL57-AL68-AL79</f>
        <v>0</v>
      </c>
      <c r="AN46" s="39" t="n">
        <f aca="false">AM46-AM57-AM68-AM79</f>
        <v>0</v>
      </c>
    </row>
    <row r="47" customFormat="false" ht="15" hidden="false" customHeight="false" outlineLevel="0" collapsed="false">
      <c r="B47" s="37" t="n">
        <v>4</v>
      </c>
      <c r="C47" s="38" t="n">
        <f aca="false">'Inputs &amp; Assumptions'!$C$143</f>
        <v>3</v>
      </c>
      <c r="D47" s="38" t="n">
        <f aca="false">'Inputs &amp; Assumptions'!$D$143</f>
        <v>3</v>
      </c>
      <c r="E47" s="39" t="n">
        <f aca="false">'Inputs &amp; Assumptions'!$G$143</f>
        <v>60000000</v>
      </c>
      <c r="F47" s="39" t="n">
        <f aca="false">E47-E58-E69-E80</f>
        <v>57975624.9984729</v>
      </c>
      <c r="G47" s="39" t="n">
        <f aca="false">F47-F58-F69-F80</f>
        <v>54188335.3594813</v>
      </c>
      <c r="H47" s="39" t="n">
        <f aca="false">G47-G58-G69-G80</f>
        <v>50648452.5023914</v>
      </c>
      <c r="I47" s="39" t="n">
        <f aca="false">H47-H58-H69-H80</f>
        <v>47339814.4428911</v>
      </c>
      <c r="J47" s="39" t="n">
        <f aca="false">I47-I58-I69-I80</f>
        <v>44247314.9871962</v>
      </c>
      <c r="K47" s="39" t="n">
        <f aca="false">J47-J58-J69-J80</f>
        <v>41406999.7288126</v>
      </c>
      <c r="L47" s="39" t="n">
        <f aca="false">K47-K58-K69-K80</f>
        <v>38749009.4492293</v>
      </c>
      <c r="M47" s="39" t="n">
        <f aca="false">L47-L58-L69-L80</f>
        <v>36261640.3779592</v>
      </c>
      <c r="N47" s="39" t="n">
        <f aca="false">M47-M58-M69-M80</f>
        <v>33933940.0307328</v>
      </c>
      <c r="O47" s="39" t="n">
        <f aca="false">N47-N58-N69-N80</f>
        <v>31816573.4223154</v>
      </c>
      <c r="P47" s="39" t="n">
        <f aca="false">O47-O58-O69-O80</f>
        <v>29831323.5486592</v>
      </c>
      <c r="Q47" s="39" t="n">
        <f aca="false">P47-P58-P69-P80</f>
        <v>27969946.7586483</v>
      </c>
      <c r="R47" s="39" t="n">
        <f aca="false">Q47-Q58-Q69-Q80</f>
        <v>26224713.7779707</v>
      </c>
      <c r="S47" s="39" t="n">
        <f aca="false">R47-R58-R69-R80</f>
        <v>24629878.5533354</v>
      </c>
      <c r="T47" s="39" t="n">
        <f aca="false">S47-S58-S69-S80</f>
        <v>23132031.9713703</v>
      </c>
      <c r="U47" s="39" t="n">
        <f aca="false">T47-T58-T69-T80</f>
        <v>21725275.7444894</v>
      </c>
      <c r="V47" s="39" t="n">
        <f aca="false">U47-U58-U69-U80</f>
        <v>20404070.2848009</v>
      </c>
      <c r="W47" s="39" t="n">
        <f aca="false">V47-V58-V69-V80</f>
        <v>19184900.0007004</v>
      </c>
      <c r="X47" s="39" t="n">
        <f aca="false">W47-W58-W69-W80</f>
        <v>18038576.7594147</v>
      </c>
      <c r="Y47" s="39" t="n">
        <f aca="false">X47-X58-X69-X80</f>
        <v>16960747.8534378</v>
      </c>
      <c r="Z47" s="39" t="n">
        <f aca="false">Y47-Y58-Y69-Y80</f>
        <v>15947320.6553147</v>
      </c>
      <c r="AA47" s="39" t="n">
        <f aca="false">Z47-Z58-Z69-Z80</f>
        <v>15009890.5142645</v>
      </c>
      <c r="AB47" s="39" t="n">
        <f aca="false">AA47-AA58-AA69-AA80</f>
        <v>14127565.2581253</v>
      </c>
      <c r="AC47" s="39" t="n">
        <f aca="false">AB47-AB58-AB69-AB80</f>
        <v>13297105.6606251</v>
      </c>
      <c r="AD47" s="39" t="n">
        <f aca="false">AC47-AC58-AC69-AC80</f>
        <v>0</v>
      </c>
      <c r="AE47" s="39" t="n">
        <f aca="false">AD47-AD58-AD69-AD80</f>
        <v>0</v>
      </c>
      <c r="AF47" s="39" t="n">
        <f aca="false">AE47-AE58-AE69-AE80</f>
        <v>0</v>
      </c>
      <c r="AG47" s="39" t="n">
        <f aca="false">AF47-AF58-AF69-AF80</f>
        <v>0</v>
      </c>
      <c r="AH47" s="39" t="n">
        <f aca="false">AG47-AG58-AG69-AG80</f>
        <v>0</v>
      </c>
      <c r="AI47" s="39" t="n">
        <f aca="false">AH47-AH58-AH69-AH80</f>
        <v>0</v>
      </c>
      <c r="AJ47" s="39" t="n">
        <f aca="false">AI47-AI58-AI69-AI80</f>
        <v>0</v>
      </c>
      <c r="AK47" s="39" t="n">
        <f aca="false">AJ47-AJ58-AJ69-AJ80</f>
        <v>0</v>
      </c>
      <c r="AL47" s="39" t="n">
        <f aca="false">AK47-AK58-AK69-AK80</f>
        <v>0</v>
      </c>
      <c r="AM47" s="39" t="n">
        <f aca="false">AL47-AL58-AL69-AL80</f>
        <v>0</v>
      </c>
      <c r="AN47" s="39" t="n">
        <f aca="false">AM47-AM58-AM69-AM80</f>
        <v>0</v>
      </c>
    </row>
    <row r="48" customFormat="false" ht="15" hidden="false" customHeight="false" outlineLevel="0" collapsed="false">
      <c r="B48" s="37" t="n">
        <v>5</v>
      </c>
      <c r="C48" s="38" t="n">
        <f aca="false">'Inputs &amp; Assumptions'!$C$144</f>
        <v>4</v>
      </c>
      <c r="D48" s="38" t="n">
        <f aca="false">'Inputs &amp; Assumptions'!$D$144</f>
        <v>3</v>
      </c>
      <c r="E48" s="39" t="n">
        <f aca="false">'Inputs &amp; Assumptions'!$G$144</f>
        <v>60000000</v>
      </c>
      <c r="F48" s="39" t="n">
        <f aca="false">E48-E59-E70-E81</f>
        <v>56080466.9489034</v>
      </c>
      <c r="G48" s="39" t="n">
        <f aca="false">F48-F59-F70-F81</f>
        <v>52416979.5534507</v>
      </c>
      <c r="H48" s="39" t="n">
        <f aca="false">G48-G59-G70-G81</f>
        <v>48992811.490144</v>
      </c>
      <c r="I48" s="39" t="n">
        <f aca="false">H48-H59-H70-H81</f>
        <v>45792329.0917812</v>
      </c>
      <c r="J48" s="39" t="n">
        <f aca="false">I48-I59-I70-I81</f>
        <v>42852836.5807906</v>
      </c>
      <c r="K48" s="39" t="n">
        <f aca="false">J48-J59-J70-J81</f>
        <v>40102035.4160045</v>
      </c>
      <c r="L48" s="39" t="n">
        <f aca="false">K48-K59-K70-K81</f>
        <v>37527813.1582861</v>
      </c>
      <c r="M48" s="39" t="n">
        <f aca="false">L48-L59-L70-L81</f>
        <v>35118834.8878963</v>
      </c>
      <c r="N48" s="39" t="n">
        <f aca="false">M48-M59-M70-M81</f>
        <v>32927534.7249677</v>
      </c>
      <c r="O48" s="39" t="n">
        <f aca="false">N48-N59-N70-N81</f>
        <v>30872964.508217</v>
      </c>
      <c r="P48" s="39" t="n">
        <f aca="false">O48-O59-O70-O81</f>
        <v>28946592.7372599</v>
      </c>
      <c r="Q48" s="39" t="n">
        <f aca="false">P48-P59-P70-P81</f>
        <v>27140420.2493666</v>
      </c>
      <c r="R48" s="39" t="n">
        <f aca="false">Q48-Q59-Q70-Q81</f>
        <v>25489897.0599981</v>
      </c>
      <c r="S48" s="39" t="n">
        <f aca="false">R48-R59-R70-R81</f>
        <v>23939749.1328257</v>
      </c>
      <c r="T48" s="39" t="n">
        <f aca="false">S48-S59-S70-S81</f>
        <v>22483872.2256759</v>
      </c>
      <c r="U48" s="39" t="n">
        <f aca="false">T48-T59-T70-T81</f>
        <v>21116533.3210345</v>
      </c>
      <c r="V48" s="39" t="n">
        <f aca="false">U48-U59-U70-U81</f>
        <v>19854792.4247879</v>
      </c>
      <c r="W48" s="39" t="n">
        <f aca="false">V48-V59-V70-V81</f>
        <v>18668442.2219405</v>
      </c>
      <c r="X48" s="39" t="n">
        <f aca="false">W48-W59-W70-W81</f>
        <v>17552978.0184874</v>
      </c>
      <c r="Y48" s="39" t="n">
        <f aca="false">X48-X59-X70-X81</f>
        <v>16504164.2818699</v>
      </c>
      <c r="Z48" s="39" t="n">
        <f aca="false">Y48-Y59-Y70-Y81</f>
        <v>15534001.2441365</v>
      </c>
      <c r="AA48" s="39" t="n">
        <f aca="false">Z48-Z59-Z70-Z81</f>
        <v>14620867.2266982</v>
      </c>
      <c r="AB48" s="39" t="n">
        <f aca="false">AA48-AA59-AA70-AA81</f>
        <v>13761409.8969786</v>
      </c>
      <c r="AC48" s="39" t="n">
        <f aca="false">AB48-AB59-AB70-AB81</f>
        <v>0</v>
      </c>
      <c r="AD48" s="39" t="n">
        <f aca="false">AC48-AC59-AC70-AC81</f>
        <v>0</v>
      </c>
      <c r="AE48" s="39" t="n">
        <f aca="false">AD48-AD59-AD70-AD81</f>
        <v>0</v>
      </c>
      <c r="AF48" s="39" t="n">
        <f aca="false">AE48-AE59-AE70-AE81</f>
        <v>0</v>
      </c>
      <c r="AG48" s="39" t="n">
        <f aca="false">AF48-AF59-AF70-AF81</f>
        <v>0</v>
      </c>
      <c r="AH48" s="39" t="n">
        <f aca="false">AG48-AG59-AG70-AG81</f>
        <v>0</v>
      </c>
      <c r="AI48" s="39" t="n">
        <f aca="false">AH48-AH59-AH70-AH81</f>
        <v>0</v>
      </c>
      <c r="AJ48" s="39" t="n">
        <f aca="false">AI48-AI59-AI70-AI81</f>
        <v>0</v>
      </c>
      <c r="AK48" s="39" t="n">
        <f aca="false">AJ48-AJ59-AJ70-AJ81</f>
        <v>0</v>
      </c>
      <c r="AL48" s="39" t="n">
        <f aca="false">AK48-AK59-AK70-AK81</f>
        <v>0</v>
      </c>
      <c r="AM48" s="39" t="n">
        <f aca="false">AL48-AL59-AL70-AL81</f>
        <v>0</v>
      </c>
      <c r="AN48" s="39" t="n">
        <f aca="false">AM48-AM59-AM70-AM81</f>
        <v>0</v>
      </c>
    </row>
    <row r="49" customFormat="false" ht="15" hidden="false" customHeight="false" outlineLevel="0" collapsed="false">
      <c r="B49" s="37" t="n">
        <v>6</v>
      </c>
      <c r="C49" s="38" t="n">
        <f aca="false">'Inputs &amp; Assumptions'!$C$145</f>
        <v>5</v>
      </c>
      <c r="D49" s="38" t="n">
        <f aca="false">'Inputs &amp; Assumptions'!$D$145</f>
        <v>3</v>
      </c>
      <c r="E49" s="39" t="n">
        <f aca="false">'Inputs &amp; Assumptions'!$G$145</f>
        <v>58200000</v>
      </c>
      <c r="F49" s="39" t="n">
        <f aca="false">E49-E60-E71-E82</f>
        <v>54398052.9404363</v>
      </c>
      <c r="G49" s="39" t="n">
        <f aca="false">F49-F60-F71-F82</f>
        <v>50844470.1668472</v>
      </c>
      <c r="H49" s="39" t="n">
        <f aca="false">G49-G60-G71-G82</f>
        <v>47523027.1454397</v>
      </c>
      <c r="I49" s="39" t="n">
        <f aca="false">H49-H60-H71-H82</f>
        <v>44472437.9929718</v>
      </c>
      <c r="J49" s="39" t="n">
        <f aca="false">I49-I60-I71-I82</f>
        <v>41617671.6812644</v>
      </c>
      <c r="K49" s="39" t="n">
        <f aca="false">J49-J60-J71-J82</f>
        <v>38946157.9876335</v>
      </c>
      <c r="L49" s="39" t="n">
        <f aca="false">K49-K60-K71-K82</f>
        <v>36446133.5947477</v>
      </c>
      <c r="M49" s="39" t="n">
        <f aca="false">L49-L60-L71-L82</f>
        <v>34172014.3439461</v>
      </c>
      <c r="N49" s="39" t="n">
        <f aca="false">M49-M60-M71-M82</f>
        <v>32039792.6788904</v>
      </c>
      <c r="O49" s="39" t="n">
        <f aca="false">N49-N60-N71-N82</f>
        <v>30040614.655429</v>
      </c>
      <c r="P49" s="39" t="n">
        <f aca="false">O49-O60-O71-O82</f>
        <v>28166178.7864986</v>
      </c>
      <c r="Q49" s="39" t="n">
        <f aca="false">P49-P60-P71-P82</f>
        <v>26453274.9030703</v>
      </c>
      <c r="R49" s="39" t="n">
        <f aca="false">Q49-Q60-Q71-Q82</f>
        <v>24844539.9144042</v>
      </c>
      <c r="S49" s="39" t="n">
        <f aca="false">R49-R60-R71-R82</f>
        <v>23333638.871563</v>
      </c>
      <c r="T49" s="39" t="n">
        <f aca="false">S49-S60-S71-S82</f>
        <v>21914622.0805181</v>
      </c>
      <c r="U49" s="39" t="n">
        <f aca="false">T49-T60-T71-T82</f>
        <v>20605194.3215008</v>
      </c>
      <c r="V49" s="39" t="n">
        <f aca="false">U49-U60-U71-U82</f>
        <v>19374006.6092332</v>
      </c>
      <c r="W49" s="39" t="n">
        <f aca="false">V49-V60-V71-V82</f>
        <v>18216383.9970656</v>
      </c>
      <c r="X49" s="39" t="n">
        <f aca="false">W49-W60-W71-W82</f>
        <v>17127930.8726157</v>
      </c>
      <c r="Y49" s="39" t="n">
        <f aca="false">X49-X60-X71-X82</f>
        <v>16121101.0106688</v>
      </c>
      <c r="Z49" s="39" t="n">
        <f aca="false">Y49-Y60-Y71-Y82</f>
        <v>15173455.5521649</v>
      </c>
      <c r="AA49" s="39" t="n">
        <f aca="false">Z49-Z60-Z71-Z82</f>
        <v>14281515.4648033</v>
      </c>
      <c r="AB49" s="39" t="n">
        <f aca="false">AA49-AA60-AA71-AA82</f>
        <v>0</v>
      </c>
      <c r="AC49" s="39" t="n">
        <f aca="false">AB49-AB60-AB71-AB82</f>
        <v>0</v>
      </c>
      <c r="AD49" s="39" t="n">
        <f aca="false">AC49-AC60-AC71-AC82</f>
        <v>0</v>
      </c>
      <c r="AE49" s="39" t="n">
        <f aca="false">AD49-AD60-AD71-AD82</f>
        <v>0</v>
      </c>
      <c r="AF49" s="39" t="n">
        <f aca="false">AE49-AE60-AE71-AE82</f>
        <v>0</v>
      </c>
      <c r="AG49" s="39" t="n">
        <f aca="false">AF49-AF60-AF71-AF82</f>
        <v>0</v>
      </c>
      <c r="AH49" s="39" t="n">
        <f aca="false">AG49-AG60-AG71-AG82</f>
        <v>0</v>
      </c>
      <c r="AI49" s="39" t="n">
        <f aca="false">AH49-AH60-AH71-AH82</f>
        <v>0</v>
      </c>
      <c r="AJ49" s="39" t="n">
        <f aca="false">AI49-AI60-AI71-AI82</f>
        <v>0</v>
      </c>
      <c r="AK49" s="39" t="n">
        <f aca="false">AJ49-AJ60-AJ71-AJ82</f>
        <v>0</v>
      </c>
      <c r="AL49" s="39" t="n">
        <f aca="false">AK49-AK60-AK71-AK82</f>
        <v>0</v>
      </c>
      <c r="AM49" s="39" t="n">
        <f aca="false">AL49-AL60-AL71-AL82</f>
        <v>0</v>
      </c>
      <c r="AN49" s="39" t="n">
        <f aca="false">AM49-AM60-AM71-AM82</f>
        <v>0</v>
      </c>
    </row>
    <row r="50" customFormat="false" ht="15" hidden="false" customHeight="false" outlineLevel="0" collapsed="false">
      <c r="B50" s="37" t="n">
        <v>7</v>
      </c>
      <c r="C50" s="38" t="n">
        <f aca="false">'Inputs &amp; Assumptions'!$C$146</f>
        <v>6</v>
      </c>
      <c r="D50" s="38" t="n">
        <f aca="false">'Inputs &amp; Assumptions'!$D$146</f>
        <v>3</v>
      </c>
      <c r="E50" s="39" t="n">
        <f aca="false">'Inputs &amp; Assumptions'!$G$146</f>
        <v>56454000</v>
      </c>
      <c r="F50" s="39" t="n">
        <f aca="false">E50-E61-E72-E83</f>
        <v>52766111.3522232</v>
      </c>
      <c r="G50" s="39" t="n">
        <f aca="false">F50-F61-F72-F83</f>
        <v>49319136.0618418</v>
      </c>
      <c r="H50" s="39" t="n">
        <f aca="false">G50-G61-G72-G83</f>
        <v>46153251.4261915</v>
      </c>
      <c r="I50" s="39" t="n">
        <f aca="false">H50-H61-H72-H83</f>
        <v>43190590.6571085</v>
      </c>
      <c r="J50" s="39" t="n">
        <f aca="false">I50-I61-I72-I83</f>
        <v>40418108.4466629</v>
      </c>
      <c r="K50" s="39" t="n">
        <f aca="false">J50-J61-J72-J83</f>
        <v>37823596.8888593</v>
      </c>
      <c r="L50" s="39" t="n">
        <f aca="false">K50-K61-K72-K83</f>
        <v>35463528.4443999</v>
      </c>
      <c r="M50" s="39" t="n">
        <f aca="false">L50-L61-L72-L83</f>
        <v>33250720.5335936</v>
      </c>
      <c r="N50" s="39" t="n">
        <f aca="false">M50-M61-M72-M83</f>
        <v>31175984.5819214</v>
      </c>
      <c r="O50" s="39" t="n">
        <f aca="false">N50-N61-N72-N83</f>
        <v>29230705.3517904</v>
      </c>
      <c r="P50" s="39" t="n">
        <f aca="false">O50-O61-O72-O83</f>
        <v>27453063.1273354</v>
      </c>
      <c r="Q50" s="39" t="n">
        <f aca="false">P50-P61-P72-P83</f>
        <v>25783526.808644</v>
      </c>
      <c r="R50" s="39" t="n">
        <f aca="false">Q50-Q61-Q72-Q83</f>
        <v>24215522.0205691</v>
      </c>
      <c r="S50" s="39" t="n">
        <f aca="false">R50-R61-R72-R83</f>
        <v>22742874.2033878</v>
      </c>
      <c r="T50" s="39" t="n">
        <f aca="false">S50-S61-S72-S83</f>
        <v>21383957.2805981</v>
      </c>
      <c r="U50" s="39" t="n">
        <f aca="false">T50-T61-T72-T83</f>
        <v>20106237.4477861</v>
      </c>
      <c r="V50" s="39" t="n">
        <f aca="false">U50-U61-U72-U83</f>
        <v>18904863.0710438</v>
      </c>
      <c r="W50" s="39" t="n">
        <f aca="false">V50-V61-V72-V83</f>
        <v>17775272.4080292</v>
      </c>
      <c r="X50" s="39" t="n">
        <f aca="false">W50-W61-W72-W83</f>
        <v>16730389.9176836</v>
      </c>
      <c r="Y50" s="39" t="n">
        <f aca="false">X50-X61-X72-X83</f>
        <v>15746928.6755513</v>
      </c>
      <c r="Z50" s="39" t="n">
        <f aca="false">Y50-Y61-Y72-Y83</f>
        <v>14821278.1610551</v>
      </c>
      <c r="AA50" s="39" t="n">
        <f aca="false">Z50-Z61-Z72-Z83</f>
        <v>0</v>
      </c>
      <c r="AB50" s="39" t="n">
        <f aca="false">AA50-AA61-AA72-AA83</f>
        <v>0</v>
      </c>
      <c r="AC50" s="39" t="n">
        <f aca="false">AB50-AB61-AB72-AB83</f>
        <v>0</v>
      </c>
      <c r="AD50" s="39" t="n">
        <f aca="false">AC50-AC61-AC72-AC83</f>
        <v>0</v>
      </c>
      <c r="AE50" s="39" t="n">
        <f aca="false">AD50-AD61-AD72-AD83</f>
        <v>0</v>
      </c>
      <c r="AF50" s="39" t="n">
        <f aca="false">AE50-AE61-AE72-AE83</f>
        <v>0</v>
      </c>
      <c r="AG50" s="39" t="n">
        <f aca="false">AF50-AF61-AF72-AF83</f>
        <v>0</v>
      </c>
      <c r="AH50" s="39" t="n">
        <f aca="false">AG50-AG61-AG72-AG83</f>
        <v>0</v>
      </c>
      <c r="AI50" s="39" t="n">
        <f aca="false">AH50-AH61-AH72-AH83</f>
        <v>0</v>
      </c>
      <c r="AJ50" s="39" t="n">
        <f aca="false">AI50-AI61-AI72-AI83</f>
        <v>0</v>
      </c>
      <c r="AK50" s="39" t="n">
        <f aca="false">AJ50-AJ61-AJ72-AJ83</f>
        <v>0</v>
      </c>
      <c r="AL50" s="39" t="n">
        <f aca="false">AK50-AK61-AK72-AK83</f>
        <v>0</v>
      </c>
      <c r="AM50" s="39" t="n">
        <f aca="false">AL50-AL61-AL72-AL83</f>
        <v>0</v>
      </c>
      <c r="AN50" s="39" t="n">
        <f aca="false">AM50-AM61-AM72-AM83</f>
        <v>0</v>
      </c>
    </row>
    <row r="51" customFormat="false" ht="15" hidden="false" customHeight="false" outlineLevel="0" collapsed="false">
      <c r="B51" s="37" t="n">
        <v>8</v>
      </c>
      <c r="C51" s="38" t="n">
        <f aca="false">'Inputs &amp; Assumptions'!$C$147</f>
        <v>7</v>
      </c>
      <c r="D51" s="38" t="n">
        <f aca="false">'Inputs &amp; Assumptions'!$D$147</f>
        <v>3</v>
      </c>
      <c r="E51" s="39" t="n">
        <f aca="false">'Inputs &amp; Assumptions'!$G$147</f>
        <v>54760380</v>
      </c>
      <c r="F51" s="39" t="n">
        <f aca="false">E51-E62-E73-E84</f>
        <v>51183128.0116565</v>
      </c>
      <c r="G51" s="39" t="n">
        <f aca="false">F51-F62-F73-F84</f>
        <v>47897590.3580074</v>
      </c>
      <c r="H51" s="39" t="n">
        <f aca="false">G51-G62-G73-G84</f>
        <v>44822957.3147816</v>
      </c>
      <c r="I51" s="39" t="n">
        <f aca="false">H51-H62-H73-H84</f>
        <v>41945690.5331952</v>
      </c>
      <c r="J51" s="39" t="n">
        <f aca="false">I51-I62-I73-I84</f>
        <v>39253120.7155838</v>
      </c>
      <c r="K51" s="39" t="n">
        <f aca="false">J51-J62-J73-J84</f>
        <v>36803854.6709075</v>
      </c>
      <c r="L51" s="39" t="n">
        <f aca="false">K51-K62-K73-K84</f>
        <v>34507414.7977113</v>
      </c>
      <c r="M51" s="39" t="n">
        <f aca="false">L51-L62-L73-L84</f>
        <v>32354265.2439221</v>
      </c>
      <c r="N51" s="39" t="n">
        <f aca="false">M51-M62-M73-M84</f>
        <v>30335465.163374</v>
      </c>
      <c r="O51" s="39" t="n">
        <f aca="false">N51-N62-N73-N84</f>
        <v>28490637.8448435</v>
      </c>
      <c r="P51" s="39" t="n">
        <f aca="false">O51-O62-O73-O84</f>
        <v>26758002.2404293</v>
      </c>
      <c r="Q51" s="39" t="n">
        <f aca="false">P51-P62-P73-P84</f>
        <v>25130735.4997814</v>
      </c>
      <c r="R51" s="39" t="n">
        <f aca="false">Q51-Q62-Q73-Q84</f>
        <v>23602429.6987964</v>
      </c>
      <c r="S51" s="39" t="n">
        <f aca="false">R51-R62-R73-R84</f>
        <v>22192153.1941728</v>
      </c>
      <c r="T51" s="39" t="n">
        <f aca="false">S51-S62-S73-S84</f>
        <v>20866142.5827168</v>
      </c>
      <c r="U51" s="39" t="n">
        <f aca="false">T51-T62-T73-T84</f>
        <v>19619362.865456</v>
      </c>
      <c r="V51" s="39" t="n">
        <f aca="false">U51-U62-U73-U84</f>
        <v>18447079.8912905</v>
      </c>
      <c r="W51" s="39" t="n">
        <f aca="false">V51-V62-V73-V84</f>
        <v>17362706.5925889</v>
      </c>
      <c r="X51" s="39" t="n">
        <f aca="false">W51-W62-W73-W84</f>
        <v>16342075.9272941</v>
      </c>
      <c r="Y51" s="39" t="n">
        <f aca="false">X51-X62-X73-X84</f>
        <v>15381440.9170192</v>
      </c>
      <c r="Z51" s="39" t="n">
        <f aca="false">Y51-Y62-Y73-Y84</f>
        <v>0</v>
      </c>
      <c r="AA51" s="39" t="n">
        <f aca="false">Z51-Z62-Z73-Z84</f>
        <v>0</v>
      </c>
      <c r="AB51" s="39" t="n">
        <f aca="false">AA51-AA62-AA73-AA84</f>
        <v>0</v>
      </c>
      <c r="AC51" s="39" t="n">
        <f aca="false">AB51-AB62-AB73-AB84</f>
        <v>0</v>
      </c>
      <c r="AD51" s="39" t="n">
        <f aca="false">AC51-AC62-AC73-AC84</f>
        <v>0</v>
      </c>
      <c r="AE51" s="39" t="n">
        <f aca="false">AD51-AD62-AD73-AD84</f>
        <v>0</v>
      </c>
      <c r="AF51" s="39" t="n">
        <f aca="false">AE51-AE62-AE73-AE84</f>
        <v>0</v>
      </c>
      <c r="AG51" s="39" t="n">
        <f aca="false">AF51-AF62-AF73-AF84</f>
        <v>0</v>
      </c>
      <c r="AH51" s="39" t="n">
        <f aca="false">AG51-AG62-AG73-AG84</f>
        <v>0</v>
      </c>
      <c r="AI51" s="39" t="n">
        <f aca="false">AH51-AH62-AH73-AH84</f>
        <v>0</v>
      </c>
      <c r="AJ51" s="39" t="n">
        <f aca="false">AI51-AI62-AI73-AI84</f>
        <v>0</v>
      </c>
      <c r="AK51" s="39" t="n">
        <f aca="false">AJ51-AJ62-AJ73-AJ84</f>
        <v>0</v>
      </c>
      <c r="AL51" s="39" t="n">
        <f aca="false">AK51-AK62-AK73-AK84</f>
        <v>0</v>
      </c>
      <c r="AM51" s="39" t="n">
        <f aca="false">AL51-AL62-AL73-AL84</f>
        <v>0</v>
      </c>
      <c r="AN51" s="39" t="n">
        <f aca="false">AM51-AM62-AM73-AM84</f>
        <v>0</v>
      </c>
    </row>
    <row r="52" customFormat="false" ht="15" hidden="false" customHeight="false" outlineLevel="0" collapsed="false">
      <c r="B52" s="37" t="n">
        <v>9</v>
      </c>
      <c r="C52" s="38" t="n">
        <f aca="false">'Inputs &amp; Assumptions'!$C$148</f>
        <v>8</v>
      </c>
      <c r="D52" s="38" t="n">
        <f aca="false">'Inputs &amp; Assumptions'!$D$148</f>
        <v>3</v>
      </c>
      <c r="E52" s="39" t="n">
        <f aca="false">'Inputs &amp; Assumptions'!$G$148</f>
        <v>53117568.6</v>
      </c>
      <c r="F52" s="39" t="n">
        <f aca="false">E52-E63-E74-E85</f>
        <v>49707855.7026983</v>
      </c>
      <c r="G52" s="39" t="n">
        <f aca="false">F52-F63-F74-F85</f>
        <v>46517018.449528</v>
      </c>
      <c r="H52" s="39" t="n">
        <f aca="false">G52-G63-G74-G85</f>
        <v>43531006.8166202</v>
      </c>
      <c r="I52" s="39" t="n">
        <f aca="false">H52-H63-H74-H85</f>
        <v>40736672.6765753</v>
      </c>
      <c r="J52" s="39" t="n">
        <f aca="false">I52-I63-I74-I85</f>
        <v>38194837.8532305</v>
      </c>
      <c r="K52" s="39" t="n">
        <f aca="false">J52-J63-J74-J85</f>
        <v>35811605.1896759</v>
      </c>
      <c r="L52" s="39" t="n">
        <f aca="false">K52-K63-K74-K85</f>
        <v>33577078.431104</v>
      </c>
      <c r="M52" s="39" t="n">
        <f aca="false">L52-L63-L74-L85</f>
        <v>31481978.8165635</v>
      </c>
      <c r="N52" s="39" t="n">
        <f aca="false">M52-M63-M74-M85</f>
        <v>29567427.1771076</v>
      </c>
      <c r="O52" s="39" t="n">
        <f aca="false">N52-N63-N74-N85</f>
        <v>27769307.4811932</v>
      </c>
      <c r="P52" s="39" t="n">
        <f aca="false">O52-O63-O74-O85</f>
        <v>26080539.0122715</v>
      </c>
      <c r="Q52" s="39" t="n">
        <f aca="false">P52-P63-P74-P85</f>
        <v>24494471.6619699</v>
      </c>
      <c r="R52" s="39" t="n">
        <f aca="false">Q52-Q63-Q74-Q85</f>
        <v>23030894.4659405</v>
      </c>
      <c r="S52" s="39" t="n">
        <f aca="false">R52-R63-R74-R85</f>
        <v>21654767.9501421</v>
      </c>
      <c r="T52" s="39" t="n">
        <f aca="false">S52-S63-S74-S85</f>
        <v>20360866.8203479</v>
      </c>
      <c r="U52" s="39" t="n">
        <f aca="false">T52-T63-T74-T85</f>
        <v>19144278.0005972</v>
      </c>
      <c r="V52" s="39" t="n">
        <f aca="false">U52-U63-U74-U85</f>
        <v>18018921.3582936</v>
      </c>
      <c r="W52" s="39" t="n">
        <f aca="false">V52-V63-V74-V85</f>
        <v>16959716.4701767</v>
      </c>
      <c r="X52" s="39" t="n">
        <f aca="false">W52-W63-W74-W85</f>
        <v>15962774.7426954</v>
      </c>
      <c r="Y52" s="39" t="n">
        <f aca="false">X52-X63-X74-X85</f>
        <v>0</v>
      </c>
      <c r="Z52" s="39" t="n">
        <f aca="false">Y52-Y63-Y74-Y85</f>
        <v>0</v>
      </c>
      <c r="AA52" s="39" t="n">
        <f aca="false">Z52-Z63-Z74-Z85</f>
        <v>0</v>
      </c>
      <c r="AB52" s="39" t="n">
        <f aca="false">AA52-AA63-AA74-AA85</f>
        <v>0</v>
      </c>
      <c r="AC52" s="39" t="n">
        <f aca="false">AB52-AB63-AB74-AB85</f>
        <v>0</v>
      </c>
      <c r="AD52" s="39" t="n">
        <f aca="false">AC52-AC63-AC74-AC85</f>
        <v>0</v>
      </c>
      <c r="AE52" s="39" t="n">
        <f aca="false">AD52-AD63-AD74-AD85</f>
        <v>0</v>
      </c>
      <c r="AF52" s="39" t="n">
        <f aca="false">AE52-AE63-AE74-AE85</f>
        <v>0</v>
      </c>
      <c r="AG52" s="39" t="n">
        <f aca="false">AF52-AF63-AF74-AF85</f>
        <v>0</v>
      </c>
      <c r="AH52" s="39" t="n">
        <f aca="false">AG52-AG63-AG74-AG85</f>
        <v>0</v>
      </c>
      <c r="AI52" s="39" t="n">
        <f aca="false">AH52-AH63-AH74-AH85</f>
        <v>0</v>
      </c>
      <c r="AJ52" s="39" t="n">
        <f aca="false">AI52-AI63-AI74-AI85</f>
        <v>0</v>
      </c>
      <c r="AK52" s="39" t="n">
        <f aca="false">AJ52-AJ63-AJ74-AJ85</f>
        <v>0</v>
      </c>
      <c r="AL52" s="39" t="n">
        <f aca="false">AK52-AK63-AK74-AK85</f>
        <v>0</v>
      </c>
      <c r="AM52" s="39" t="n">
        <f aca="false">AL52-AL63-AL74-AL85</f>
        <v>0</v>
      </c>
      <c r="AN52" s="39" t="n">
        <f aca="false">AM52-AM63-AM74-AM85</f>
        <v>0</v>
      </c>
    </row>
    <row r="53" customFormat="false" ht="15" hidden="false" customHeight="false" outlineLevel="0" collapsed="false">
      <c r="B53" s="37" t="n">
        <v>10</v>
      </c>
      <c r="C53" s="38" t="n">
        <f aca="false">'Inputs &amp; Assumptions'!$C$149</f>
        <v>9</v>
      </c>
      <c r="D53" s="38" t="n">
        <f aca="false">'Inputs &amp; Assumptions'!$D$149</f>
        <v>3</v>
      </c>
      <c r="E53" s="39" t="n">
        <f aca="false">'Inputs &amp; Assumptions'!$G$149</f>
        <v>51524041.542</v>
      </c>
      <c r="F53" s="39" t="n">
        <f aca="false">E53-E64-E75-E86</f>
        <v>48216620.0316173</v>
      </c>
      <c r="G53" s="39" t="n">
        <f aca="false">F53-F64-F75-F86</f>
        <v>45121507.8960422</v>
      </c>
      <c r="H53" s="39" t="n">
        <f aca="false">G53-G64-G75-G86</f>
        <v>42225076.6121216</v>
      </c>
      <c r="I53" s="39" t="n">
        <f aca="false">H53-H64-H75-H86</f>
        <v>39590370.2628029</v>
      </c>
      <c r="J53" s="39" t="n">
        <f aca="false">I53-I64-I75-I86</f>
        <v>37120060.9520238</v>
      </c>
      <c r="K53" s="39" t="n">
        <f aca="false">J53-J64-J75-J86</f>
        <v>34803890.843541</v>
      </c>
      <c r="L53" s="39" t="n">
        <f aca="false">K53-K64-K75-K86</f>
        <v>32632242.1564632</v>
      </c>
      <c r="M53" s="39" t="n">
        <f aca="false">L53-L64-L75-L86</f>
        <v>30647738.1618507</v>
      </c>
      <c r="N53" s="39" t="n">
        <f aca="false">M53-M64-M75-M86</f>
        <v>28783920.207926</v>
      </c>
      <c r="O53" s="39" t="n">
        <f aca="false">N53-N64-N75-N86</f>
        <v>27033448.8685877</v>
      </c>
      <c r="P53" s="39" t="n">
        <f aca="false">O53-O64-O75-O86</f>
        <v>25389431.0591267</v>
      </c>
      <c r="Q53" s="39" t="n">
        <f aca="false">P53-P64-P75-P86</f>
        <v>23872378.8511385</v>
      </c>
      <c r="R53" s="39" t="n">
        <f aca="false">Q53-Q64-Q75-Q86</f>
        <v>22445972.526329</v>
      </c>
      <c r="S53" s="39" t="n">
        <f aca="false">R53-R64-R75-R86</f>
        <v>21104795.8728541</v>
      </c>
      <c r="T53" s="39" t="n">
        <f aca="false">S53-S64-S75-S86</f>
        <v>19843756.3047167</v>
      </c>
      <c r="U53" s="39" t="n">
        <f aca="false">T53-T64-T75-T86</f>
        <v>18677282.2822924</v>
      </c>
      <c r="V53" s="39" t="n">
        <f aca="false">U53-U64-U75-U86</f>
        <v>17579377.0138931</v>
      </c>
      <c r="W53" s="39" t="n">
        <f aca="false">V53-V64-V75-V86</f>
        <v>16546009.8276494</v>
      </c>
      <c r="X53" s="39" t="n">
        <f aca="false">W53-W64-W75-W86</f>
        <v>0</v>
      </c>
      <c r="Y53" s="39" t="n">
        <f aca="false">X53-X64-X75-X86</f>
        <v>0</v>
      </c>
      <c r="Z53" s="39" t="n">
        <f aca="false">Y53-Y64-Y75-Y86</f>
        <v>0</v>
      </c>
      <c r="AA53" s="39" t="n">
        <f aca="false">Z53-Z64-Z75-Z86</f>
        <v>0</v>
      </c>
      <c r="AB53" s="39" t="n">
        <f aca="false">AA53-AA64-AA75-AA86</f>
        <v>0</v>
      </c>
      <c r="AC53" s="39" t="n">
        <f aca="false">AB53-AB64-AB75-AB86</f>
        <v>0</v>
      </c>
      <c r="AD53" s="39" t="n">
        <f aca="false">AC53-AC64-AC75-AC86</f>
        <v>0</v>
      </c>
      <c r="AE53" s="39" t="n">
        <f aca="false">AD53-AD64-AD75-AD86</f>
        <v>0</v>
      </c>
      <c r="AF53" s="39" t="n">
        <f aca="false">AE53-AE64-AE75-AE86</f>
        <v>0</v>
      </c>
      <c r="AG53" s="39" t="n">
        <f aca="false">AF53-AF64-AF75-AF86</f>
        <v>0</v>
      </c>
      <c r="AH53" s="39" t="n">
        <f aca="false">AG53-AG64-AG75-AG86</f>
        <v>0</v>
      </c>
      <c r="AI53" s="39" t="n">
        <f aca="false">AH53-AH64-AH75-AH86</f>
        <v>0</v>
      </c>
      <c r="AJ53" s="39" t="n">
        <f aca="false">AI53-AI64-AI75-AI86</f>
        <v>0</v>
      </c>
      <c r="AK53" s="39" t="n">
        <f aca="false">AJ53-AJ64-AJ75-AJ86</f>
        <v>0</v>
      </c>
      <c r="AL53" s="39" t="n">
        <f aca="false">AK53-AK64-AK75-AK86</f>
        <v>0</v>
      </c>
      <c r="AM53" s="39" t="n">
        <f aca="false">AL53-AL64-AL75-AL86</f>
        <v>0</v>
      </c>
      <c r="AN53" s="39" t="n">
        <f aca="false">AM53-AM64-AM75-AM86</f>
        <v>0</v>
      </c>
    </row>
    <row r="54" customFormat="false" ht="15" hidden="false" customHeight="false" outlineLevel="0" collapsed="false">
      <c r="B54" s="37" t="n">
        <v>11</v>
      </c>
      <c r="C54" s="38" t="n">
        <f aca="false">'Inputs &amp; Assumptions'!$C$150</f>
        <v>10</v>
      </c>
      <c r="D54" s="38" t="n">
        <f aca="false">'Inputs &amp; Assumptions'!$D$150</f>
        <v>2</v>
      </c>
      <c r="E54" s="39" t="n">
        <f aca="false">'Inputs &amp; Assumptions'!$G$150</f>
        <v>33318880.19716</v>
      </c>
      <c r="F54" s="39" t="n">
        <f aca="false">E54-E65-E76-E87</f>
        <v>31180080.9537792</v>
      </c>
      <c r="G54" s="39" t="n">
        <f aca="false">F54-F65-F76-F87</f>
        <v>29178575.1061073</v>
      </c>
      <c r="H54" s="39" t="n">
        <f aca="false">G54-G65-G76-G87</f>
        <v>27357927.6789321</v>
      </c>
      <c r="I54" s="39" t="n">
        <f aca="false">H54-H65-H76-H87</f>
        <v>25650882.6823769</v>
      </c>
      <c r="J54" s="39" t="n">
        <f aca="false">I54-I65-I76-I87</f>
        <v>24050351.6972067</v>
      </c>
      <c r="K54" s="39" t="n">
        <f aca="false">J54-J65-J76-J87</f>
        <v>22549688.598308</v>
      </c>
      <c r="L54" s="39" t="n">
        <f aca="false">K54-K65-K76-K87</f>
        <v>21178347.1230258</v>
      </c>
      <c r="M54" s="39" t="n">
        <f aca="false">L54-L65-L76-L87</f>
        <v>19890402.6948305</v>
      </c>
      <c r="N54" s="39" t="n">
        <f aca="false">M54-M65-M76-M87</f>
        <v>18680783.5882707</v>
      </c>
      <c r="O54" s="39" t="n">
        <f aca="false">N54-N65-N76-N87</f>
        <v>17544726.5108666</v>
      </c>
      <c r="P54" s="39" t="n">
        <f aca="false">O54-O65-O76-O87</f>
        <v>16496405.8127825</v>
      </c>
      <c r="Q54" s="39" t="n">
        <f aca="false">P54-P65-P76-P87</f>
        <v>15510723.6679612</v>
      </c>
      <c r="R54" s="39" t="n">
        <f aca="false">Q54-Q65-Q76-Q87</f>
        <v>14583937.3396982</v>
      </c>
      <c r="S54" s="39" t="n">
        <f aca="false">R54-R65-R76-R87</f>
        <v>13712527.724775</v>
      </c>
      <c r="T54" s="39" t="n">
        <f aca="false">S54-S65-S76-S87</f>
        <v>12906465.247132</v>
      </c>
      <c r="U54" s="39" t="n">
        <f aca="false">T54-T65-T76-T87</f>
        <v>12147785.4790015</v>
      </c>
      <c r="V54" s="39" t="n">
        <f aca="false">U54-U65-U76-U87</f>
        <v>11433703.1261623</v>
      </c>
      <c r="W54" s="39" t="n">
        <f aca="false">V54-V65-V76-V87</f>
        <v>0</v>
      </c>
      <c r="X54" s="39" t="n">
        <f aca="false">W54-W65-W76-W87</f>
        <v>0</v>
      </c>
      <c r="Y54" s="39" t="n">
        <f aca="false">X54-X65-X76-X87</f>
        <v>0</v>
      </c>
      <c r="Z54" s="39" t="n">
        <f aca="false">Y54-Y65-Y76-Y87</f>
        <v>0</v>
      </c>
      <c r="AA54" s="39" t="n">
        <f aca="false">Z54-Z65-Z76-Z87</f>
        <v>0</v>
      </c>
      <c r="AB54" s="39" t="n">
        <f aca="false">AA54-AA65-AA76-AA87</f>
        <v>0</v>
      </c>
      <c r="AC54" s="39" t="n">
        <f aca="false">AB54-AB65-AB76-AB87</f>
        <v>0</v>
      </c>
      <c r="AD54" s="39" t="n">
        <f aca="false">AC54-AC65-AC76-AC87</f>
        <v>0</v>
      </c>
      <c r="AE54" s="39" t="n">
        <f aca="false">AD54-AD65-AD76-AD87</f>
        <v>0</v>
      </c>
      <c r="AF54" s="39" t="n">
        <f aca="false">AE54-AE65-AE76-AE87</f>
        <v>0</v>
      </c>
      <c r="AG54" s="39" t="n">
        <f aca="false">AF54-AF65-AF76-AF87</f>
        <v>0</v>
      </c>
      <c r="AH54" s="39" t="n">
        <f aca="false">AG54-AG65-AG76-AG87</f>
        <v>0</v>
      </c>
      <c r="AI54" s="39" t="n">
        <f aca="false">AH54-AH65-AH76-AH87</f>
        <v>0</v>
      </c>
      <c r="AJ54" s="39" t="n">
        <f aca="false">AI54-AI65-AI76-AI87</f>
        <v>0</v>
      </c>
      <c r="AK54" s="39" t="n">
        <f aca="false">AJ54-AJ65-AJ76-AJ87</f>
        <v>0</v>
      </c>
      <c r="AL54" s="39" t="n">
        <f aca="false">AK54-AK65-AK76-AK87</f>
        <v>0</v>
      </c>
      <c r="AM54" s="39" t="n">
        <f aca="false">AL54-AL65-AL76-AL87</f>
        <v>0</v>
      </c>
      <c r="AN54" s="39" t="n">
        <f aca="false">AM54-AM65-AM76-AM87</f>
        <v>0</v>
      </c>
    </row>
    <row r="55" customFormat="false" ht="15" hidden="false" customHeight="false" outlineLevel="0" collapsed="false">
      <c r="A55" s="14" t="s">
        <v>128</v>
      </c>
      <c r="B55" s="37" t="n">
        <v>1</v>
      </c>
      <c r="C55" s="38" t="n">
        <f aca="false">'Inputs &amp; Assumptions'!$C$140</f>
        <v>0</v>
      </c>
      <c r="D55" s="38" t="n">
        <f aca="false">'Inputs &amp; Assumptions'!$D$140</f>
        <v>1</v>
      </c>
      <c r="E55" s="39" t="n">
        <f aca="false">IF(1&lt;='Inputs &amp; Assumptions'!$E$140,'Inputs &amp; Assumptions'!$D$58*INDEX('Inputs &amp; Assumptions'!$C$26:$I$26,CEILING(('Inputs &amp; Assumptions'!$C$140+1)/4,1))*E44,0)</f>
        <v>159000</v>
      </c>
      <c r="F55" s="39" t="n">
        <f aca="false">IF(2&lt;='Inputs &amp; Assumptions'!$E$140,'Inputs &amp; Assumptions'!$D$58*INDEX('Inputs &amp; Assumptions'!$C$26:$I$26,CEILING(('Inputs &amp; Assumptions'!$C$140+2)/4,1))*F44,0)</f>
        <v>153635.406245953</v>
      </c>
      <c r="G55" s="39" t="n">
        <f aca="false">IF(3&lt;='Inputs &amp; Assumptions'!$E$140,'Inputs &amp; Assumptions'!$D$58*INDEX('Inputs &amp; Assumptions'!$C$26:$I$26,CEILING(('Inputs &amp; Assumptions'!$C$140+3)/4,1))*G44,0)</f>
        <v>148451.811650057</v>
      </c>
      <c r="H55" s="39" t="n">
        <f aca="false">IF(4&lt;='Inputs &amp; Assumptions'!$E$140,'Inputs &amp; Assumptions'!$D$58*INDEX('Inputs &amp; Assumptions'!$C$26:$I$26,CEILING(('Inputs &amp; Assumptions'!$C$140+4)/4,1))*H44,0)</f>
        <v>143443.109376128</v>
      </c>
      <c r="I55" s="39" t="n">
        <f aca="false">IF(5&lt;='Inputs &amp; Assumptions'!$E$140,'Inputs &amp; Assumptions'!$D$58*INDEX('Inputs &amp; Assumptions'!$C$26:$I$26,CEILING(('Inputs &amp; Assumptions'!$C$140+5)/4,1))*I44,0)</f>
        <v>186547.970483264</v>
      </c>
      <c r="J55" s="39" t="n">
        <f aca="false">IF(6&lt;='Inputs &amp; Assumptions'!$E$140,'Inputs &amp; Assumptions'!$D$58*INDEX('Inputs &amp; Assumptions'!$C$26:$I$26,CEILING(('Inputs &amp; Assumptions'!$C$140+6)/4,1))*J44,0)</f>
        <v>174361.621551195</v>
      </c>
      <c r="K55" s="39" t="n">
        <f aca="false">IF(7&lt;='Inputs &amp; Assumptions'!$E$140,'Inputs &amp; Assumptions'!$D$58*INDEX('Inputs &amp; Assumptions'!$C$26:$I$26,CEILING(('Inputs &amp; Assumptions'!$C$140+7)/4,1))*K44,0)</f>
        <v>162971.352575983</v>
      </c>
      <c r="L55" s="39" t="n">
        <f aca="false">IF(8&lt;='Inputs &amp; Assumptions'!$E$140,'Inputs &amp; Assumptions'!$D$58*INDEX('Inputs &amp; Assumptions'!$C$26:$I$26,CEILING(('Inputs &amp; Assumptions'!$C$140+8)/4,1))*L44,0)</f>
        <v>152325.159195925</v>
      </c>
      <c r="M55" s="39" t="n">
        <f aca="false">IF(9&lt;='Inputs &amp; Assumptions'!$E$140,'Inputs &amp; Assumptions'!$D$58*INDEX('Inputs &amp; Assumptions'!$C$26:$I$26,CEILING(('Inputs &amp; Assumptions'!$C$140+9)/4,1))*M44,0)</f>
        <v>126407.207990418</v>
      </c>
      <c r="N55" s="39" t="n">
        <f aca="false">IF(10&lt;='Inputs &amp; Assumptions'!$E$140,'Inputs &amp; Assumptions'!$D$58*INDEX('Inputs &amp; Assumptions'!$C$26:$I$26,CEILING(('Inputs &amp; Assumptions'!$C$140+10)/4,1))*N44,0)</f>
        <v>118292.900450429</v>
      </c>
      <c r="O55" s="39" t="n">
        <f aca="false">IF(11&lt;='Inputs &amp; Assumptions'!$E$140,'Inputs &amp; Assumptions'!$D$58*INDEX('Inputs &amp; Assumptions'!$C$26:$I$26,CEILING(('Inputs &amp; Assumptions'!$C$140+11)/4,1))*O44,0)</f>
        <v>110699.465002312</v>
      </c>
      <c r="P55" s="39" t="n">
        <f aca="false">IF(12&lt;='Inputs &amp; Assumptions'!$E$140,'Inputs &amp; Assumptions'!$D$58*INDEX('Inputs &amp; Assumptions'!$C$26:$I$26,CEILING(('Inputs &amp; Assumptions'!$C$140+12)/4,1))*P44,0)</f>
        <v>103593.465923454</v>
      </c>
      <c r="Q55" s="39" t="n">
        <f aca="false">IF(13&lt;='Inputs &amp; Assumptions'!$E$140,'Inputs &amp; Assumptions'!$D$58*INDEX('Inputs &amp; Assumptions'!$C$26:$I$26,CEILING(('Inputs &amp; Assumptions'!$C$140+13)/4,1))*Q44,0)</f>
        <v>77554.8910326505</v>
      </c>
      <c r="R55" s="39" t="n">
        <f aca="false">IF(14&lt;='Inputs &amp; Assumptions'!$E$140,'Inputs &amp; Assumptions'!$D$58*INDEX('Inputs &amp; Assumptions'!$C$26:$I$26,CEILING(('Inputs &amp; Assumptions'!$C$140+14)/4,1))*R44,0)</f>
        <v>72715.7200892451</v>
      </c>
      <c r="S55" s="39" t="n">
        <f aca="false">IF(15&lt;='Inputs &amp; Assumptions'!$E$140,'Inputs &amp; Assumptions'!$D$58*INDEX('Inputs &amp; Assumptions'!$C$26:$I$26,CEILING(('Inputs &amp; Assumptions'!$C$140+15)/4,1))*S44,0)</f>
        <v>68178.4975479031</v>
      </c>
      <c r="T55" s="39" t="n">
        <f aca="false">IF(16&lt;='Inputs &amp; Assumptions'!$E$140,'Inputs &amp; Assumptions'!$D$58*INDEX('Inputs &amp; Assumptions'!$C$26:$I$26,CEILING(('Inputs &amp; Assumptions'!$C$140+16)/4,1))*T44,0)</f>
        <v>63924.3828182473</v>
      </c>
      <c r="U55" s="39" t="n">
        <f aca="false">IF(17&lt;='Inputs &amp; Assumptions'!$E$140,'Inputs &amp; Assumptions'!$D$58*INDEX('Inputs &amp; Assumptions'!$C$26:$I$26,CEILING(('Inputs &amp; Assumptions'!$C$140+17)/4,1))*U44,0)</f>
        <v>46726.1956695088</v>
      </c>
      <c r="V55" s="39" t="n">
        <f aca="false">IF(18&lt;='Inputs &amp; Assumptions'!$E$140,'Inputs &amp; Assumptions'!$D$58*INDEX('Inputs &amp; Assumptions'!$C$26:$I$26,CEILING(('Inputs &amp; Assumptions'!$C$140+18)/4,1))*V44,0)</f>
        <v>43884.5790403302</v>
      </c>
      <c r="W55" s="39" t="n">
        <f aca="false">IF(19&lt;='Inputs &amp; Assumptions'!$E$140,'Inputs &amp; Assumptions'!$D$58*INDEX('Inputs &amp; Assumptions'!$C$26:$I$26,CEILING(('Inputs &amp; Assumptions'!$C$140+19)/4,1))*W44,0)</f>
        <v>41215.7730787338</v>
      </c>
      <c r="X55" s="39" t="n">
        <f aca="false">IF(20&lt;='Inputs &amp; Assumptions'!$E$140,'Inputs &amp; Assumptions'!$D$58*INDEX('Inputs &amp; Assumptions'!$C$26:$I$26,CEILING(('Inputs &amp; Assumptions'!$C$140+20)/4,1))*X44,0)</f>
        <v>38709.268440664</v>
      </c>
      <c r="Y55" s="39" t="n">
        <f aca="false">IF(21&lt;='Inputs &amp; Assumptions'!$E$140,'Inputs &amp; Assumptions'!$D$58*INDEX('Inputs &amp; Assumptions'!$C$26:$I$26,CEILING(('Inputs &amp; Assumptions'!$C$140+21)/4,1))*Y44,0)</f>
        <v>29452.309792009</v>
      </c>
      <c r="Z55" s="39" t="n">
        <f aca="false">IF(22&lt;='Inputs &amp; Assumptions'!$E$140,'Inputs &amp; Assumptions'!$D$58*INDEX('Inputs &amp; Assumptions'!$C$26:$I$26,CEILING(('Inputs &amp; Assumptions'!$C$140+22)/4,1))*Z44,0)</f>
        <v>27692.4951866218</v>
      </c>
      <c r="AA55" s="39" t="n">
        <f aca="false">IF(23&lt;='Inputs &amp; Assumptions'!$E$140,'Inputs &amp; Assumptions'!$D$58*INDEX('Inputs &amp; Assumptions'!$C$26:$I$26,CEILING(('Inputs &amp; Assumptions'!$C$140+23)/4,1))*AA44,0)</f>
        <v>26037.8318399034</v>
      </c>
      <c r="AB55" s="39" t="n">
        <f aca="false">IF(24&lt;='Inputs &amp; Assumptions'!$E$140,'Inputs &amp; Assumptions'!$D$58*INDEX('Inputs &amp; Assumptions'!$C$26:$I$26,CEILING(('Inputs &amp; Assumptions'!$C$140+24)/4,1))*AB44,0)</f>
        <v>24482.0368245695</v>
      </c>
      <c r="AC55" s="39" t="n">
        <f aca="false">IF(25&lt;='Inputs &amp; Assumptions'!$E$140,'Inputs &amp; Assumptions'!$D$58*INDEX('Inputs &amp; Assumptions'!$C$26:$I$26,CEILING(('Inputs &amp; Assumptions'!$C$140+25)/4,1))*AC44,0)</f>
        <v>18103.6437323631</v>
      </c>
      <c r="AD55" s="39" t="n">
        <f aca="false">IF(26&lt;='Inputs &amp; Assumptions'!$E$140,'Inputs &amp; Assumptions'!$D$58*INDEX('Inputs &amp; Assumptions'!$C$26:$I$26,CEILING(('Inputs &amp; Assumptions'!$C$140+26)/4,1))*AD44,0)</f>
        <v>17039.4586153545</v>
      </c>
      <c r="AE55" s="39" t="n">
        <f aca="false">IF(27&lt;='Inputs &amp; Assumptions'!$E$140,'Inputs &amp; Assumptions'!$D$58*INDEX('Inputs &amp; Assumptions'!$C$26:$I$26,CEILING(('Inputs &amp; Assumptions'!$C$140+27)/4,1))*AE44,0)</f>
        <v>16037.8294113987</v>
      </c>
      <c r="AF55" s="39" t="n">
        <f aca="false">IF(28&lt;='Inputs &amp; Assumptions'!$E$140,'Inputs &amp; Assumptions'!$D$58*INDEX('Inputs &amp; Assumptions'!$C$26:$I$26,CEILING(('Inputs &amp; Assumptions'!$C$140+28)/4,1))*AF44,0)</f>
        <v>15095.0789010015</v>
      </c>
      <c r="AG55" s="39" t="n">
        <f aca="false">IF(29&lt;='Inputs &amp; Assumptions'!$E$140,'Inputs &amp; Assumptions'!$D$58*INDEX('Inputs &amp; Assumptions'!$C$26:$I$26,CEILING(('Inputs &amp; Assumptions'!$C$140+29)/4,1))*AG44,0)</f>
        <v>0</v>
      </c>
      <c r="AH55" s="39" t="n">
        <f aca="false">IF(30&lt;='Inputs &amp; Assumptions'!$E$140,'Inputs &amp; Assumptions'!$D$58*INDEX('Inputs &amp; Assumptions'!$C$26:$I$26,CEILING(('Inputs &amp; Assumptions'!$C$140+30)/4,1))*AH44,0)</f>
        <v>0</v>
      </c>
      <c r="AI55" s="39" t="n">
        <f aca="false">IF(31&lt;='Inputs &amp; Assumptions'!$E$140,'Inputs &amp; Assumptions'!$D$58*INDEX('Inputs &amp; Assumptions'!$C$26:$I$26,CEILING(('Inputs &amp; Assumptions'!$C$140+31)/4,1))*AI44,0)</f>
        <v>0</v>
      </c>
      <c r="AJ55" s="39" t="n">
        <f aca="false">IF(32&lt;='Inputs &amp; Assumptions'!$E$140,'Inputs &amp; Assumptions'!$D$58*INDEX('Inputs &amp; Assumptions'!$C$26:$I$26,CEILING(('Inputs &amp; Assumptions'!$C$140+32)/4,1))*AJ44,0)</f>
        <v>0</v>
      </c>
      <c r="AK55" s="39" t="n">
        <f aca="false">IF(33&lt;='Inputs &amp; Assumptions'!$E$140,'Inputs &amp; Assumptions'!$D$58*INDEX('Inputs &amp; Assumptions'!$C$26:$I$26,CEILING(('Inputs &amp; Assumptions'!$C$140+33)/4,1))*AK44,0)</f>
        <v>0</v>
      </c>
      <c r="AL55" s="39" t="n">
        <f aca="false">IF(34&lt;='Inputs &amp; Assumptions'!$E$140,'Inputs &amp; Assumptions'!$D$58*INDEX('Inputs &amp; Assumptions'!$C$26:$I$26,CEILING(('Inputs &amp; Assumptions'!$C$140+34)/4,1))*AL44,0)</f>
        <v>0</v>
      </c>
      <c r="AM55" s="39" t="n">
        <f aca="false">IF(35&lt;='Inputs &amp; Assumptions'!$E$140,'Inputs &amp; Assumptions'!$D$58*INDEX('Inputs &amp; Assumptions'!$C$26:$I$26,CEILING(('Inputs &amp; Assumptions'!$C$140+35)/4,1))*AM44,0)</f>
        <v>0</v>
      </c>
      <c r="AN55" s="39" t="n">
        <f aca="false">IF(36&lt;='Inputs &amp; Assumptions'!$E$140,'Inputs &amp; Assumptions'!$D$58*INDEX('Inputs &amp; Assumptions'!$C$26:$I$26,CEILING(('Inputs &amp; Assumptions'!$C$140+36)/4,1))*AN44,0)</f>
        <v>0</v>
      </c>
    </row>
    <row r="56" customFormat="false" ht="15" hidden="false" customHeight="false" outlineLevel="0" collapsed="false">
      <c r="B56" s="37" t="n">
        <v>2</v>
      </c>
      <c r="C56" s="38" t="n">
        <f aca="false">'Inputs &amp; Assumptions'!$C$141</f>
        <v>1</v>
      </c>
      <c r="D56" s="38" t="n">
        <f aca="false">'Inputs &amp; Assumptions'!$D$141</f>
        <v>3</v>
      </c>
      <c r="E56" s="39" t="n">
        <f aca="false">IF(1&lt;='Inputs &amp; Assumptions'!$E$141,'Inputs &amp; Assumptions'!$D$58*INDEX('Inputs &amp; Assumptions'!$C$26:$I$26,CEILING(('Inputs &amp; Assumptions'!$C$141+1)/4,1))*E45,0)</f>
        <v>477000</v>
      </c>
      <c r="F56" s="39" t="n">
        <f aca="false">IF(2&lt;='Inputs &amp; Assumptions'!$E$141,'Inputs &amp; Assumptions'!$D$58*INDEX('Inputs &amp; Assumptions'!$C$26:$I$26,CEILING(('Inputs &amp; Assumptions'!$C$141+2)/4,1))*F45,0)</f>
        <v>460906.21873786</v>
      </c>
      <c r="G56" s="39" t="n">
        <f aca="false">IF(3&lt;='Inputs &amp; Assumptions'!$E$141,'Inputs &amp; Assumptions'!$D$58*INDEX('Inputs &amp; Assumptions'!$C$26:$I$26,CEILING(('Inputs &amp; Assumptions'!$C$141+3)/4,1))*G45,0)</f>
        <v>445355.434950172</v>
      </c>
      <c r="H56" s="39" t="n">
        <f aca="false">IF(4&lt;='Inputs &amp; Assumptions'!$E$141,'Inputs &amp; Assumptions'!$D$58*INDEX('Inputs &amp; Assumptions'!$C$26:$I$26,CEILING(('Inputs &amp; Assumptions'!$C$141+4)/4,1))*H45,0)</f>
        <v>579185.385028138</v>
      </c>
      <c r="I56" s="39" t="n">
        <f aca="false">IF(5&lt;='Inputs &amp; Assumptions'!$E$141,'Inputs &amp; Assumptions'!$D$58*INDEX('Inputs &amp; Assumptions'!$C$26:$I$26,CEILING(('Inputs &amp; Assumptions'!$C$141+5)/4,1))*I45,0)</f>
        <v>541349.780705973</v>
      </c>
      <c r="J56" s="39" t="n">
        <f aca="false">IF(6&lt;='Inputs &amp; Assumptions'!$E$141,'Inputs &amp; Assumptions'!$D$58*INDEX('Inputs &amp; Assumptions'!$C$26:$I$26,CEILING(('Inputs &amp; Assumptions'!$C$141+6)/4,1))*J45,0)</f>
        <v>505985.808077956</v>
      </c>
      <c r="K56" s="39" t="n">
        <f aca="false">IF(7&lt;='Inputs &amp; Assumptions'!$E$141,'Inputs &amp; Assumptions'!$D$58*INDEX('Inputs &amp; Assumptions'!$C$26:$I$26,CEILING(('Inputs &amp; Assumptions'!$C$141+7)/4,1))*K45,0)</f>
        <v>472932.006442167</v>
      </c>
      <c r="L56" s="39" t="n">
        <f aca="false">IF(8&lt;='Inputs &amp; Assumptions'!$E$141,'Inputs &amp; Assumptions'!$D$58*INDEX('Inputs &amp; Assumptions'!$C$26:$I$26,CEILING(('Inputs &amp; Assumptions'!$C$141+8)/4,1))*L45,0)</f>
        <v>392463.167734277</v>
      </c>
      <c r="M56" s="39" t="n">
        <f aca="false">IF(9&lt;='Inputs &amp; Assumptions'!$E$141,'Inputs &amp; Assumptions'!$D$58*INDEX('Inputs &amp; Assumptions'!$C$26:$I$26,CEILING(('Inputs &amp; Assumptions'!$C$141+9)/4,1))*M45,0)</f>
        <v>367270.24644647</v>
      </c>
      <c r="N56" s="39" t="n">
        <f aca="false">IF(10&lt;='Inputs &amp; Assumptions'!$E$141,'Inputs &amp; Assumptions'!$D$58*INDEX('Inputs &amp; Assumptions'!$C$26:$I$26,CEILING(('Inputs &amp; Assumptions'!$C$141+10)/4,1))*N45,0)</f>
        <v>343694.50438768</v>
      </c>
      <c r="O56" s="39" t="n">
        <f aca="false">IF(11&lt;='Inputs &amp; Assumptions'!$E$141,'Inputs &amp; Assumptions'!$D$58*INDEX('Inputs &amp; Assumptions'!$C$26:$I$26,CEILING(('Inputs &amp; Assumptions'!$C$141+11)/4,1))*O45,0)</f>
        <v>321632.131895306</v>
      </c>
      <c r="P56" s="39" t="n">
        <f aca="false">IF(12&lt;='Inputs &amp; Assumptions'!$E$141,'Inputs &amp; Assumptions'!$D$58*INDEX('Inputs &amp; Assumptions'!$C$26:$I$26,CEILING(('Inputs &amp; Assumptions'!$C$141+12)/4,1))*P45,0)</f>
        <v>240788.786429552</v>
      </c>
      <c r="Q56" s="39" t="n">
        <f aca="false">IF(13&lt;='Inputs &amp; Assumptions'!$E$141,'Inputs &amp; Assumptions'!$D$58*INDEX('Inputs &amp; Assumptions'!$C$26:$I$26,CEILING(('Inputs &amp; Assumptions'!$C$141+13)/4,1))*Q45,0)</f>
        <v>225764.35556165</v>
      </c>
      <c r="R56" s="39" t="n">
        <f aca="false">IF(14&lt;='Inputs &amp; Assumptions'!$E$141,'Inputs &amp; Assumptions'!$D$58*INDEX('Inputs &amp; Assumptions'!$C$26:$I$26,CEILING(('Inputs &amp; Assumptions'!$C$141+14)/4,1))*R45,0)</f>
        <v>211677.399923602</v>
      </c>
      <c r="S56" s="39" t="n">
        <f aca="false">IF(15&lt;='Inputs &amp; Assumptions'!$E$141,'Inputs &amp; Assumptions'!$D$58*INDEX('Inputs &amp; Assumptions'!$C$26:$I$26,CEILING(('Inputs &amp; Assumptions'!$C$141+15)/4,1))*S45,0)</f>
        <v>198469.424134498</v>
      </c>
      <c r="T56" s="39" t="n">
        <f aca="false">IF(16&lt;='Inputs &amp; Assumptions'!$E$141,'Inputs &amp; Assumptions'!$D$58*INDEX('Inputs &amp; Assumptions'!$C$26:$I$26,CEILING(('Inputs &amp; Assumptions'!$C$141+16)/4,1))*T45,0)</f>
        <v>145073.29969678</v>
      </c>
      <c r="U56" s="39" t="n">
        <f aca="false">IF(17&lt;='Inputs &amp; Assumptions'!$E$141,'Inputs &amp; Assumptions'!$D$58*INDEX('Inputs &amp; Assumptions'!$C$26:$I$26,CEILING(('Inputs &amp; Assumptions'!$C$141+17)/4,1))*U45,0)</f>
        <v>136250.78172883</v>
      </c>
      <c r="V56" s="39" t="n">
        <f aca="false">IF(18&lt;='Inputs &amp; Assumptions'!$E$141,'Inputs &amp; Assumptions'!$D$58*INDEX('Inputs &amp; Assumptions'!$C$26:$I$26,CEILING(('Inputs &amp; Assumptions'!$C$141+18)/4,1))*V45,0)</f>
        <v>127964.798212481</v>
      </c>
      <c r="W56" s="39" t="n">
        <f aca="false">IF(19&lt;='Inputs &amp; Assumptions'!$E$141,'Inputs &amp; Assumptions'!$D$58*INDEX('Inputs &amp; Assumptions'!$C$26:$I$26,CEILING(('Inputs &amp; Assumptions'!$C$141+19)/4,1))*W45,0)</f>
        <v>120182.720229459</v>
      </c>
      <c r="X56" s="39" t="n">
        <f aca="false">IF(20&lt;='Inputs &amp; Assumptions'!$E$141,'Inputs &amp; Assumptions'!$D$58*INDEX('Inputs &amp; Assumptions'!$C$26:$I$26,CEILING(('Inputs &amp; Assumptions'!$C$141+20)/4,1))*X45,0)</f>
        <v>91442.1493981522</v>
      </c>
      <c r="Y56" s="39" t="n">
        <f aca="false">IF(21&lt;='Inputs &amp; Assumptions'!$E$141,'Inputs &amp; Assumptions'!$D$58*INDEX('Inputs &amp; Assumptions'!$C$26:$I$26,CEILING(('Inputs &amp; Assumptions'!$C$141+21)/4,1))*Y45,0)</f>
        <v>85978.3595903143</v>
      </c>
      <c r="Z56" s="39" t="n">
        <f aca="false">IF(22&lt;='Inputs &amp; Assumptions'!$E$141,'Inputs &amp; Assumptions'!$D$58*INDEX('Inputs &amp; Assumptions'!$C$26:$I$26,CEILING(('Inputs &amp; Assumptions'!$C$141+22)/4,1))*Z45,0)</f>
        <v>80841.0384761884</v>
      </c>
      <c r="AA56" s="39" t="n">
        <f aca="false">IF(23&lt;='Inputs &amp; Assumptions'!$E$141,'Inputs &amp; Assumptions'!$D$58*INDEX('Inputs &amp; Assumptions'!$C$26:$I$26,CEILING(('Inputs &amp; Assumptions'!$C$141+23)/4,1))*AA45,0)</f>
        <v>76010.6791179671</v>
      </c>
      <c r="AB56" s="39" t="n">
        <f aca="false">IF(24&lt;='Inputs &amp; Assumptions'!$E$141,'Inputs &amp; Assumptions'!$D$58*INDEX('Inputs &amp; Assumptions'!$C$26:$I$26,CEILING(('Inputs &amp; Assumptions'!$C$141+24)/4,1))*AB45,0)</f>
        <v>56207.3435501764</v>
      </c>
      <c r="AC56" s="39" t="n">
        <f aca="false">IF(25&lt;='Inputs &amp; Assumptions'!$E$141,'Inputs &amp; Assumptions'!$D$58*INDEX('Inputs &amp; Assumptions'!$C$26:$I$26,CEILING(('Inputs &amp; Assumptions'!$C$141+25)/4,1))*AC45,0)</f>
        <v>52903.3115355736</v>
      </c>
      <c r="AD56" s="39" t="n">
        <f aca="false">IF(26&lt;='Inputs &amp; Assumptions'!$E$141,'Inputs &amp; Assumptions'!$D$58*INDEX('Inputs &amp; Assumptions'!$C$26:$I$26,CEILING(('Inputs &amp; Assumptions'!$C$141+26)/4,1))*AD45,0)</f>
        <v>49793.5001843931</v>
      </c>
      <c r="AE56" s="39" t="n">
        <f aca="false">IF(27&lt;='Inputs &amp; Assumptions'!$E$141,'Inputs &amp; Assumptions'!$D$58*INDEX('Inputs &amp; Assumptions'!$C$26:$I$26,CEILING(('Inputs &amp; Assumptions'!$C$141+27)/4,1))*AE45,0)</f>
        <v>46866.4926381016</v>
      </c>
      <c r="AF56" s="39" t="n">
        <f aca="false">IF(28&lt;='Inputs &amp; Assumptions'!$E$141,'Inputs &amp; Assumptions'!$D$58*INDEX('Inputs &amp; Assumptions'!$C$26:$I$26,CEILING(('Inputs &amp; Assumptions'!$C$141+28)/4,1))*AF45,0)</f>
        <v>0</v>
      </c>
      <c r="AG56" s="39" t="n">
        <f aca="false">IF(29&lt;='Inputs &amp; Assumptions'!$E$141,'Inputs &amp; Assumptions'!$D$58*INDEX('Inputs &amp; Assumptions'!$C$26:$I$26,CEILING(('Inputs &amp; Assumptions'!$C$141+29)/4,1))*AG45,0)</f>
        <v>0</v>
      </c>
      <c r="AH56" s="39" t="n">
        <f aca="false">IF(30&lt;='Inputs &amp; Assumptions'!$E$141,'Inputs &amp; Assumptions'!$D$58*INDEX('Inputs &amp; Assumptions'!$C$26:$I$26,CEILING(('Inputs &amp; Assumptions'!$C$141+30)/4,1))*AH45,0)</f>
        <v>0</v>
      </c>
      <c r="AI56" s="39" t="n">
        <f aca="false">IF(31&lt;='Inputs &amp; Assumptions'!$E$141,'Inputs &amp; Assumptions'!$D$58*INDEX('Inputs &amp; Assumptions'!$C$26:$I$26,CEILING(('Inputs &amp; Assumptions'!$C$141+31)/4,1))*AI45,0)</f>
        <v>0</v>
      </c>
      <c r="AJ56" s="39" t="n">
        <f aca="false">IF(32&lt;='Inputs &amp; Assumptions'!$E$141,'Inputs &amp; Assumptions'!$D$58*INDEX('Inputs &amp; Assumptions'!$C$26:$I$26,CEILING(('Inputs &amp; Assumptions'!$C$141+32)/4,1))*AJ45,0)</f>
        <v>0</v>
      </c>
      <c r="AK56" s="39" t="n">
        <f aca="false">IF(33&lt;='Inputs &amp; Assumptions'!$E$141,'Inputs &amp; Assumptions'!$D$58*INDEX('Inputs &amp; Assumptions'!$C$26:$I$26,CEILING(('Inputs &amp; Assumptions'!$C$141+33)/4,1))*AK45,0)</f>
        <v>0</v>
      </c>
      <c r="AL56" s="39" t="n">
        <f aca="false">IF(34&lt;='Inputs &amp; Assumptions'!$E$141,'Inputs &amp; Assumptions'!$D$58*INDEX('Inputs &amp; Assumptions'!$C$26:$I$26,CEILING(('Inputs &amp; Assumptions'!$C$141+34)/4,1))*AL45,0)</f>
        <v>0</v>
      </c>
      <c r="AM56" s="39" t="n">
        <f aca="false">IF(35&lt;='Inputs &amp; Assumptions'!$E$141,'Inputs &amp; Assumptions'!$D$58*INDEX('Inputs &amp; Assumptions'!$C$26:$I$26,CEILING(('Inputs &amp; Assumptions'!$C$141+35)/4,1))*AM45,0)</f>
        <v>0</v>
      </c>
      <c r="AN56" s="39" t="n">
        <f aca="false">IF(36&lt;='Inputs &amp; Assumptions'!$E$141,'Inputs &amp; Assumptions'!$D$58*INDEX('Inputs &amp; Assumptions'!$C$26:$I$26,CEILING(('Inputs &amp; Assumptions'!$C$141+36)/4,1))*AN45,0)</f>
        <v>0</v>
      </c>
    </row>
    <row r="57" customFormat="false" ht="15" hidden="false" customHeight="false" outlineLevel="0" collapsed="false">
      <c r="B57" s="37" t="n">
        <v>3</v>
      </c>
      <c r="C57" s="38" t="n">
        <f aca="false">'Inputs &amp; Assumptions'!$C$142</f>
        <v>2</v>
      </c>
      <c r="D57" s="38" t="n">
        <f aca="false">'Inputs &amp; Assumptions'!$D$142</f>
        <v>3</v>
      </c>
      <c r="E57" s="39" t="n">
        <f aca="false">IF(1&lt;='Inputs &amp; Assumptions'!$E$142,'Inputs &amp; Assumptions'!$D$58*INDEX('Inputs &amp; Assumptions'!$C$26:$I$26,CEILING(('Inputs &amp; Assumptions'!$C$142+1)/4,1))*E46,0)</f>
        <v>477000</v>
      </c>
      <c r="F57" s="39" t="n">
        <f aca="false">IF(2&lt;='Inputs &amp; Assumptions'!$E$142,'Inputs &amp; Assumptions'!$D$58*INDEX('Inputs &amp; Assumptions'!$C$26:$I$26,CEILING(('Inputs &amp; Assumptions'!$C$142+2)/4,1))*F46,0)</f>
        <v>460906.21873786</v>
      </c>
      <c r="G57" s="39" t="n">
        <f aca="false">IF(3&lt;='Inputs &amp; Assumptions'!$E$142,'Inputs &amp; Assumptions'!$D$58*INDEX('Inputs &amp; Assumptions'!$C$26:$I$26,CEILING(('Inputs &amp; Assumptions'!$C$142+3)/4,1))*G46,0)</f>
        <v>599409.201756835</v>
      </c>
      <c r="H57" s="39" t="n">
        <f aca="false">IF(4&lt;='Inputs &amp; Assumptions'!$E$142,'Inputs &amp; Assumptions'!$D$58*INDEX('Inputs &amp; Assumptions'!$C$26:$I$26,CEILING(('Inputs &amp; Assumptions'!$C$142+4)/4,1))*H46,0)</f>
        <v>560252.465466546</v>
      </c>
      <c r="I57" s="39" t="n">
        <f aca="false">IF(5&lt;='Inputs &amp; Assumptions'!$E$142,'Inputs &amp; Assumptions'!$D$58*INDEX('Inputs &amp; Assumptions'!$C$26:$I$26,CEILING(('Inputs &amp; Assumptions'!$C$142+5)/4,1))*I46,0)</f>
        <v>523653.664543971</v>
      </c>
      <c r="J57" s="39" t="n">
        <f aca="false">IF(6&lt;='Inputs &amp; Assumptions'!$E$142,'Inputs &amp; Assumptions'!$D$58*INDEX('Inputs &amp; Assumptions'!$C$26:$I$26,CEILING(('Inputs &amp; Assumptions'!$C$142+6)/4,1))*J46,0)</f>
        <v>489445.700452172</v>
      </c>
      <c r="K57" s="39" t="n">
        <f aca="false">IF(7&lt;='Inputs &amp; Assumptions'!$E$142,'Inputs &amp; Assumptions'!$D$58*INDEX('Inputs &amp; Assumptions'!$C$26:$I$26,CEILING(('Inputs &amp; Assumptions'!$C$142+7)/4,1))*K46,0)</f>
        <v>406167.075640441</v>
      </c>
      <c r="L57" s="39" t="n">
        <f aca="false">IF(8&lt;='Inputs &amp; Assumptions'!$E$142,'Inputs &amp; Assumptions'!$D$58*INDEX('Inputs &amp; Assumptions'!$C$26:$I$26,CEILING(('Inputs &amp; Assumptions'!$C$142+8)/4,1))*L46,0)</f>
        <v>380094.475693339</v>
      </c>
      <c r="M57" s="39" t="n">
        <f aca="false">IF(9&lt;='Inputs &amp; Assumptions'!$E$142,'Inputs &amp; Assumptions'!$D$58*INDEX('Inputs &amp; Assumptions'!$C$26:$I$26,CEILING(('Inputs &amp; Assumptions'!$C$142+9)/4,1))*M46,0)</f>
        <v>355695.523141043</v>
      </c>
      <c r="N57" s="39" t="n">
        <f aca="false">IF(10&lt;='Inputs &amp; Assumptions'!$E$142,'Inputs &amp; Assumptions'!$D$58*INDEX('Inputs &amp; Assumptions'!$C$26:$I$26,CEILING(('Inputs &amp; Assumptions'!$C$142+10)/4,1))*N46,0)</f>
        <v>332862.783527158</v>
      </c>
      <c r="O57" s="39" t="n">
        <f aca="false">IF(11&lt;='Inputs &amp; Assumptions'!$E$142,'Inputs &amp; Assumptions'!$D$58*INDEX('Inputs &amp; Assumptions'!$C$26:$I$26,CEILING(('Inputs &amp; Assumptions'!$C$142+11)/4,1))*O46,0)</f>
        <v>249196.575046041</v>
      </c>
      <c r="P57" s="39" t="n">
        <f aca="false">IF(12&lt;='Inputs &amp; Assumptions'!$E$142,'Inputs &amp; Assumptions'!$D$58*INDEX('Inputs &amp; Assumptions'!$C$26:$I$26,CEILING(('Inputs &amp; Assumptions'!$C$142+12)/4,1))*P46,0)</f>
        <v>233647.525732681</v>
      </c>
      <c r="Q57" s="39" t="n">
        <f aca="false">IF(13&lt;='Inputs &amp; Assumptions'!$E$142,'Inputs &amp; Assumptions'!$D$58*INDEX('Inputs &amp; Assumptions'!$C$26:$I$26,CEILING(('Inputs &amp; Assumptions'!$C$142+13)/4,1))*Q46,0)</f>
        <v>219068.686120256</v>
      </c>
      <c r="R57" s="39" t="n">
        <f aca="false">IF(14&lt;='Inputs &amp; Assumptions'!$E$142,'Inputs &amp; Assumptions'!$D$58*INDEX('Inputs &amp; Assumptions'!$C$26:$I$26,CEILING(('Inputs &amp; Assumptions'!$C$142+14)/4,1))*R46,0)</f>
        <v>205399.518304176</v>
      </c>
      <c r="S57" s="39" t="n">
        <f aca="false">IF(15&lt;='Inputs &amp; Assumptions'!$E$142,'Inputs &amp; Assumptions'!$D$58*INDEX('Inputs &amp; Assumptions'!$C$26:$I$26,CEILING(('Inputs &amp; Assumptions'!$C$142+15)/4,1))*S46,0)</f>
        <v>150138.924453786</v>
      </c>
      <c r="T57" s="39" t="n">
        <f aca="false">IF(16&lt;='Inputs &amp; Assumptions'!$E$142,'Inputs &amp; Assumptions'!$D$58*INDEX('Inputs &amp; Assumptions'!$C$26:$I$26,CEILING(('Inputs &amp; Assumptions'!$C$142+16)/4,1))*T46,0)</f>
        <v>141008.344523153</v>
      </c>
      <c r="U57" s="39" t="n">
        <f aca="false">IF(17&lt;='Inputs &amp; Assumptions'!$E$142,'Inputs &amp; Assumptions'!$D$58*INDEX('Inputs &amp; Assumptions'!$C$26:$I$26,CEILING(('Inputs &amp; Assumptions'!$C$142+17)/4,1))*U46,0)</f>
        <v>132433.033588704</v>
      </c>
      <c r="V57" s="39" t="n">
        <f aca="false">IF(18&lt;='Inputs &amp; Assumptions'!$E$142,'Inputs &amp; Assumptions'!$D$58*INDEX('Inputs &amp; Assumptions'!$C$26:$I$26,CEILING(('Inputs &amp; Assumptions'!$C$142+18)/4,1))*V46,0)</f>
        <v>124379.223405655</v>
      </c>
      <c r="W57" s="39" t="n">
        <f aca="false">IF(19&lt;='Inputs &amp; Assumptions'!$E$142,'Inputs &amp; Assumptions'!$D$58*INDEX('Inputs &amp; Assumptions'!$C$26:$I$26,CEILING(('Inputs &amp; Assumptions'!$C$142+19)/4,1))*W46,0)</f>
        <v>94635.0981819281</v>
      </c>
      <c r="X57" s="39" t="n">
        <f aca="false">IF(20&lt;='Inputs &amp; Assumptions'!$E$142,'Inputs &amp; Assumptions'!$D$58*INDEX('Inputs &amp; Assumptions'!$C$26:$I$26,CEILING(('Inputs &amp; Assumptions'!$C$142+20)/4,1))*X46,0)</f>
        <v>88980.5254459048</v>
      </c>
      <c r="Y57" s="39" t="n">
        <f aca="false">IF(21&lt;='Inputs &amp; Assumptions'!$E$142,'Inputs &amp; Assumptions'!$D$58*INDEX('Inputs &amp; Assumptions'!$C$26:$I$26,CEILING(('Inputs &amp; Assumptions'!$C$142+21)/4,1))*Y46,0)</f>
        <v>83663.8209367999</v>
      </c>
      <c r="Z57" s="39" t="n">
        <f aca="false">IF(22&lt;='Inputs &amp; Assumptions'!$E$142,'Inputs &amp; Assumptions'!$D$58*INDEX('Inputs &amp; Assumptions'!$C$26:$I$26,CEILING(('Inputs &amp; Assumptions'!$C$142+22)/4,1))*Z46,0)</f>
        <v>78664.7965795651</v>
      </c>
      <c r="AA57" s="39" t="n">
        <f aca="false">IF(23&lt;='Inputs &amp; Assumptions'!$E$142,'Inputs &amp; Assumptions'!$D$58*INDEX('Inputs &amp; Assumptions'!$C$26:$I$26,CEILING(('Inputs &amp; Assumptions'!$C$142+23)/4,1))*AA46,0)</f>
        <v>58169.9742452007</v>
      </c>
      <c r="AB57" s="39" t="n">
        <f aca="false">IF(24&lt;='Inputs &amp; Assumptions'!$E$142,'Inputs &amp; Assumptions'!$D$58*INDEX('Inputs &amp; Assumptions'!$C$26:$I$26,CEILING(('Inputs &amp; Assumptions'!$C$142+24)/4,1))*AB46,0)</f>
        <v>54750.5730592473</v>
      </c>
      <c r="AC57" s="39" t="n">
        <f aca="false">IF(25&lt;='Inputs &amp; Assumptions'!$E$142,'Inputs &amp; Assumptions'!$D$58*INDEX('Inputs &amp; Assumptions'!$C$26:$I$26,CEILING(('Inputs &amp; Assumptions'!$C$142+25)/4,1))*AC46,0)</f>
        <v>51532.174273969</v>
      </c>
      <c r="AD57" s="39" t="n">
        <f aca="false">IF(26&lt;='Inputs &amp; Assumptions'!$E$142,'Inputs &amp; Assumptions'!$D$58*INDEX('Inputs &amp; Assumptions'!$C$26:$I$26,CEILING(('Inputs &amp; Assumptions'!$C$142+26)/4,1))*AD46,0)</f>
        <v>48502.9623804859</v>
      </c>
      <c r="AE57" s="39" t="n">
        <f aca="false">IF(27&lt;='Inputs &amp; Assumptions'!$E$142,'Inputs &amp; Assumptions'!$D$58*INDEX('Inputs &amp; Assumptions'!$C$26:$I$26,CEILING(('Inputs &amp; Assumptions'!$C$142+27)/4,1))*AE46,0)</f>
        <v>0</v>
      </c>
      <c r="AF57" s="39" t="n">
        <f aca="false">IF(28&lt;='Inputs &amp; Assumptions'!$E$142,'Inputs &amp; Assumptions'!$D$58*INDEX('Inputs &amp; Assumptions'!$C$26:$I$26,CEILING(('Inputs &amp; Assumptions'!$C$142+28)/4,1))*AF46,0)</f>
        <v>0</v>
      </c>
      <c r="AG57" s="39" t="n">
        <f aca="false">IF(29&lt;='Inputs &amp; Assumptions'!$E$142,'Inputs &amp; Assumptions'!$D$58*INDEX('Inputs &amp; Assumptions'!$C$26:$I$26,CEILING(('Inputs &amp; Assumptions'!$C$142+29)/4,1))*AG46,0)</f>
        <v>0</v>
      </c>
      <c r="AH57" s="39" t="n">
        <f aca="false">IF(30&lt;='Inputs &amp; Assumptions'!$E$142,'Inputs &amp; Assumptions'!$D$58*INDEX('Inputs &amp; Assumptions'!$C$26:$I$26,CEILING(('Inputs &amp; Assumptions'!$C$142+30)/4,1))*AH46,0)</f>
        <v>0</v>
      </c>
      <c r="AI57" s="39" t="n">
        <f aca="false">IF(31&lt;='Inputs &amp; Assumptions'!$E$142,'Inputs &amp; Assumptions'!$D$58*INDEX('Inputs &amp; Assumptions'!$C$26:$I$26,CEILING(('Inputs &amp; Assumptions'!$C$142+31)/4,1))*AI46,0)</f>
        <v>0</v>
      </c>
      <c r="AJ57" s="39" t="n">
        <f aca="false">IF(32&lt;='Inputs &amp; Assumptions'!$E$142,'Inputs &amp; Assumptions'!$D$58*INDEX('Inputs &amp; Assumptions'!$C$26:$I$26,CEILING(('Inputs &amp; Assumptions'!$C$142+32)/4,1))*AJ46,0)</f>
        <v>0</v>
      </c>
      <c r="AK57" s="39" t="n">
        <f aca="false">IF(33&lt;='Inputs &amp; Assumptions'!$E$142,'Inputs &amp; Assumptions'!$D$58*INDEX('Inputs &amp; Assumptions'!$C$26:$I$26,CEILING(('Inputs &amp; Assumptions'!$C$142+33)/4,1))*AK46,0)</f>
        <v>0</v>
      </c>
      <c r="AL57" s="39" t="n">
        <f aca="false">IF(34&lt;='Inputs &amp; Assumptions'!$E$142,'Inputs &amp; Assumptions'!$D$58*INDEX('Inputs &amp; Assumptions'!$C$26:$I$26,CEILING(('Inputs &amp; Assumptions'!$C$142+34)/4,1))*AL46,0)</f>
        <v>0</v>
      </c>
      <c r="AM57" s="39" t="n">
        <f aca="false">IF(35&lt;='Inputs &amp; Assumptions'!$E$142,'Inputs &amp; Assumptions'!$D$58*INDEX('Inputs &amp; Assumptions'!$C$26:$I$26,CEILING(('Inputs &amp; Assumptions'!$C$142+35)/4,1))*AM46,0)</f>
        <v>0</v>
      </c>
      <c r="AN57" s="39" t="n">
        <f aca="false">IF(36&lt;='Inputs &amp; Assumptions'!$E$142,'Inputs &amp; Assumptions'!$D$58*INDEX('Inputs &amp; Assumptions'!$C$26:$I$26,CEILING(('Inputs &amp; Assumptions'!$C$142+36)/4,1))*AN46,0)</f>
        <v>0</v>
      </c>
    </row>
    <row r="58" customFormat="false" ht="15" hidden="false" customHeight="false" outlineLevel="0" collapsed="false">
      <c r="B58" s="37" t="n">
        <v>4</v>
      </c>
      <c r="C58" s="38" t="n">
        <f aca="false">'Inputs &amp; Assumptions'!$C$143</f>
        <v>3</v>
      </c>
      <c r="D58" s="38" t="n">
        <f aca="false">'Inputs &amp; Assumptions'!$D$143</f>
        <v>3</v>
      </c>
      <c r="E58" s="39" t="n">
        <f aca="false">IF(1&lt;='Inputs &amp; Assumptions'!$E$143,'Inputs &amp; Assumptions'!$D$58*INDEX('Inputs &amp; Assumptions'!$C$26:$I$26,CEILING(('Inputs &amp; Assumptions'!$C$143+1)/4,1))*E47,0)</f>
        <v>477000</v>
      </c>
      <c r="F58" s="39" t="n">
        <f aca="false">IF(2&lt;='Inputs &amp; Assumptions'!$E$143,'Inputs &amp; Assumptions'!$D$58*INDEX('Inputs &amp; Assumptions'!$C$26:$I$26,CEILING(('Inputs &amp; Assumptions'!$C$143+2)/4,1))*F47,0)</f>
        <v>620339.18748366</v>
      </c>
      <c r="G58" s="39" t="n">
        <f aca="false">IF(3&lt;='Inputs &amp; Assumptions'!$E$143,'Inputs &amp; Assumptions'!$D$58*INDEX('Inputs &amp; Assumptions'!$C$26:$I$26,CEILING(('Inputs &amp; Assumptions'!$C$143+3)/4,1))*G47,0)</f>
        <v>579815.18834645</v>
      </c>
      <c r="H58" s="39" t="n">
        <f aca="false">IF(4&lt;='Inputs &amp; Assumptions'!$E$143,'Inputs &amp; Assumptions'!$D$58*INDEX('Inputs &amp; Assumptions'!$C$26:$I$26,CEILING(('Inputs &amp; Assumptions'!$C$143+4)/4,1))*H47,0)</f>
        <v>541938.441775588</v>
      </c>
      <c r="I58" s="39" t="n">
        <f aca="false">IF(5&lt;='Inputs &amp; Assumptions'!$E$143,'Inputs &amp; Assumptions'!$D$58*INDEX('Inputs &amp; Assumptions'!$C$26:$I$26,CEILING(('Inputs &amp; Assumptions'!$C$143+5)/4,1))*I47,0)</f>
        <v>506536.014538934</v>
      </c>
      <c r="J58" s="39" t="n">
        <f aca="false">IF(6&lt;='Inputs &amp; Assumptions'!$E$143,'Inputs &amp; Assumptions'!$D$58*INDEX('Inputs &amp; Assumptions'!$C$26:$I$26,CEILING(('Inputs &amp; Assumptions'!$C$143+6)/4,1))*J47,0)</f>
        <v>420349.492378364</v>
      </c>
      <c r="K58" s="39" t="n">
        <f aca="false">IF(7&lt;='Inputs &amp; Assumptions'!$E$143,'Inputs &amp; Assumptions'!$D$58*INDEX('Inputs &amp; Assumptions'!$C$26:$I$26,CEILING(('Inputs &amp; Assumptions'!$C$143+7)/4,1))*K47,0)</f>
        <v>393366.49742372</v>
      </c>
      <c r="L58" s="39" t="n">
        <f aca="false">IF(8&lt;='Inputs &amp; Assumptions'!$E$143,'Inputs &amp; Assumptions'!$D$58*INDEX('Inputs &amp; Assumptions'!$C$26:$I$26,CEILING(('Inputs &amp; Assumptions'!$C$143+8)/4,1))*L47,0)</f>
        <v>368115.589767678</v>
      </c>
      <c r="M58" s="39" t="n">
        <f aca="false">IF(9&lt;='Inputs &amp; Assumptions'!$E$143,'Inputs &amp; Assumptions'!$D$58*INDEX('Inputs &amp; Assumptions'!$C$26:$I$26,CEILING(('Inputs &amp; Assumptions'!$C$143+9)/4,1))*M47,0)</f>
        <v>344485.583590613</v>
      </c>
      <c r="N58" s="39" t="n">
        <f aca="false">IF(10&lt;='Inputs &amp; Assumptions'!$E$143,'Inputs &amp; Assumptions'!$D$58*INDEX('Inputs &amp; Assumptions'!$C$26:$I$26,CEILING(('Inputs &amp; Assumptions'!$C$143+10)/4,1))*N47,0)</f>
        <v>257897.944233569</v>
      </c>
      <c r="O58" s="39" t="n">
        <f aca="false">IF(11&lt;='Inputs &amp; Assumptions'!$E$143,'Inputs &amp; Assumptions'!$D$58*INDEX('Inputs &amp; Assumptions'!$C$26:$I$26,CEILING(('Inputs &amp; Assumptions'!$C$143+11)/4,1))*O47,0)</f>
        <v>241805.958009597</v>
      </c>
      <c r="P58" s="39" t="n">
        <f aca="false">IF(12&lt;='Inputs &amp; Assumptions'!$E$143,'Inputs &amp; Assumptions'!$D$58*INDEX('Inputs &amp; Assumptions'!$C$26:$I$26,CEILING(('Inputs &amp; Assumptions'!$C$143+12)/4,1))*P47,0)</f>
        <v>226718.05896981</v>
      </c>
      <c r="Q58" s="39" t="n">
        <f aca="false">IF(13&lt;='Inputs &amp; Assumptions'!$E$143,'Inputs &amp; Assumptions'!$D$58*INDEX('Inputs &amp; Assumptions'!$C$26:$I$26,CEILING(('Inputs &amp; Assumptions'!$C$143+13)/4,1))*Q47,0)</f>
        <v>212571.595365727</v>
      </c>
      <c r="R58" s="39" t="n">
        <f aca="false">IF(14&lt;='Inputs &amp; Assumptions'!$E$143,'Inputs &amp; Assumptions'!$D$58*INDEX('Inputs &amp; Assumptions'!$C$26:$I$26,CEILING(('Inputs &amp; Assumptions'!$C$143+14)/4,1))*R47,0)</f>
        <v>155381.429134476</v>
      </c>
      <c r="S58" s="39" t="n">
        <f aca="false">IF(15&lt;='Inputs &amp; Assumptions'!$E$143,'Inputs &amp; Assumptions'!$D$58*INDEX('Inputs &amp; Assumptions'!$C$26:$I$26,CEILING(('Inputs &amp; Assumptions'!$C$143+15)/4,1))*S47,0)</f>
        <v>145932.030428513</v>
      </c>
      <c r="T58" s="39" t="n">
        <f aca="false">IF(16&lt;='Inputs &amp; Assumptions'!$E$143,'Inputs &amp; Assumptions'!$D$58*INDEX('Inputs &amp; Assumptions'!$C$26:$I$26,CEILING(('Inputs &amp; Assumptions'!$C$143+16)/4,1))*T47,0)</f>
        <v>137057.289430369</v>
      </c>
      <c r="U58" s="39" t="n">
        <f aca="false">IF(17&lt;='Inputs &amp; Assumptions'!$E$143,'Inputs &amp; Assumptions'!$D$58*INDEX('Inputs &amp; Assumptions'!$C$26:$I$26,CEILING(('Inputs &amp; Assumptions'!$C$143+17)/4,1))*U47,0)</f>
        <v>128722.2587861</v>
      </c>
      <c r="V58" s="39" t="n">
        <f aca="false">IF(18&lt;='Inputs &amp; Assumptions'!$E$143,'Inputs &amp; Assumptions'!$D$58*INDEX('Inputs &amp; Assumptions'!$C$26:$I$26,CEILING(('Inputs &amp; Assumptions'!$C$143+18)/4,1))*V47,0)</f>
        <v>97939.5373670443</v>
      </c>
      <c r="W58" s="39" t="n">
        <f aca="false">IF(19&lt;='Inputs &amp; Assumptions'!$E$143,'Inputs &amp; Assumptions'!$D$58*INDEX('Inputs &amp; Assumptions'!$C$26:$I$26,CEILING(('Inputs &amp; Assumptions'!$C$143+19)/4,1))*W47,0)</f>
        <v>92087.5200033619</v>
      </c>
      <c r="X58" s="39" t="n">
        <f aca="false">IF(20&lt;='Inputs &amp; Assumptions'!$E$143,'Inputs &amp; Assumptions'!$D$58*INDEX('Inputs &amp; Assumptions'!$C$26:$I$26,CEILING(('Inputs &amp; Assumptions'!$C$143+20)/4,1))*X47,0)</f>
        <v>86585.1684451908</v>
      </c>
      <c r="Y58" s="39" t="n">
        <f aca="false">IF(21&lt;='Inputs &amp; Assumptions'!$E$143,'Inputs &amp; Assumptions'!$D$58*INDEX('Inputs &amp; Assumptions'!$C$26:$I$26,CEILING(('Inputs &amp; Assumptions'!$C$143+21)/4,1))*Y47,0)</f>
        <v>81411.5896965013</v>
      </c>
      <c r="Z58" s="39" t="n">
        <f aca="false">IF(22&lt;='Inputs &amp; Assumptions'!$E$143,'Inputs &amp; Assumptions'!$D$58*INDEX('Inputs &amp; Assumptions'!$C$26:$I$26,CEILING(('Inputs &amp; Assumptions'!$C$143+22)/4,1))*Z47,0)</f>
        <v>60201.1354738129</v>
      </c>
      <c r="AA58" s="39" t="n">
        <f aca="false">IF(23&lt;='Inputs &amp; Assumptions'!$E$143,'Inputs &amp; Assumptions'!$D$58*INDEX('Inputs &amp; Assumptions'!$C$26:$I$26,CEILING(('Inputs &amp; Assumptions'!$C$143+23)/4,1))*AA47,0)</f>
        <v>56662.3366913485</v>
      </c>
      <c r="AB58" s="39" t="n">
        <f aca="false">IF(24&lt;='Inputs &amp; Assumptions'!$E$143,'Inputs &amp; Assumptions'!$D$58*INDEX('Inputs &amp; Assumptions'!$C$26:$I$26,CEILING(('Inputs &amp; Assumptions'!$C$143+24)/4,1))*AB47,0)</f>
        <v>53331.5588494231</v>
      </c>
      <c r="AC58" s="39" t="n">
        <f aca="false">IF(25&lt;='Inputs &amp; Assumptions'!$E$143,'Inputs &amp; Assumptions'!$D$58*INDEX('Inputs &amp; Assumptions'!$C$26:$I$26,CEILING(('Inputs &amp; Assumptions'!$C$143+25)/4,1))*AC47,0)</f>
        <v>50196.5738688597</v>
      </c>
      <c r="AD58" s="39" t="n">
        <f aca="false">IF(26&lt;='Inputs &amp; Assumptions'!$E$143,'Inputs &amp; Assumptions'!$D$58*INDEX('Inputs &amp; Assumptions'!$C$26:$I$26,CEILING(('Inputs &amp; Assumptions'!$C$143+26)/4,1))*AD47,0)</f>
        <v>0</v>
      </c>
      <c r="AE58" s="39" t="n">
        <f aca="false">IF(27&lt;='Inputs &amp; Assumptions'!$E$143,'Inputs &amp; Assumptions'!$D$58*INDEX('Inputs &amp; Assumptions'!$C$26:$I$26,CEILING(('Inputs &amp; Assumptions'!$C$143+27)/4,1))*AE47,0)</f>
        <v>0</v>
      </c>
      <c r="AF58" s="39" t="n">
        <f aca="false">IF(28&lt;='Inputs &amp; Assumptions'!$E$143,'Inputs &amp; Assumptions'!$D$58*INDEX('Inputs &amp; Assumptions'!$C$26:$I$26,CEILING(('Inputs &amp; Assumptions'!$C$143+28)/4,1))*AF47,0)</f>
        <v>0</v>
      </c>
      <c r="AG58" s="39" t="n">
        <f aca="false">IF(29&lt;='Inputs &amp; Assumptions'!$E$143,'Inputs &amp; Assumptions'!$D$58*INDEX('Inputs &amp; Assumptions'!$C$26:$I$26,CEILING(('Inputs &amp; Assumptions'!$C$143+29)/4,1))*AG47,0)</f>
        <v>0</v>
      </c>
      <c r="AH58" s="39" t="n">
        <f aca="false">IF(30&lt;='Inputs &amp; Assumptions'!$E$143,'Inputs &amp; Assumptions'!$D$58*INDEX('Inputs &amp; Assumptions'!$C$26:$I$26,CEILING(('Inputs &amp; Assumptions'!$C$143+30)/4,1))*AH47,0)</f>
        <v>0</v>
      </c>
      <c r="AI58" s="39" t="n">
        <f aca="false">IF(31&lt;='Inputs &amp; Assumptions'!$E$143,'Inputs &amp; Assumptions'!$D$58*INDEX('Inputs &amp; Assumptions'!$C$26:$I$26,CEILING(('Inputs &amp; Assumptions'!$C$143+31)/4,1))*AI47,0)</f>
        <v>0</v>
      </c>
      <c r="AJ58" s="39" t="n">
        <f aca="false">IF(32&lt;='Inputs &amp; Assumptions'!$E$143,'Inputs &amp; Assumptions'!$D$58*INDEX('Inputs &amp; Assumptions'!$C$26:$I$26,CEILING(('Inputs &amp; Assumptions'!$C$143+32)/4,1))*AJ47,0)</f>
        <v>0</v>
      </c>
      <c r="AK58" s="39" t="n">
        <f aca="false">IF(33&lt;='Inputs &amp; Assumptions'!$E$143,'Inputs &amp; Assumptions'!$D$58*INDEX('Inputs &amp; Assumptions'!$C$26:$I$26,CEILING(('Inputs &amp; Assumptions'!$C$143+33)/4,1))*AK47,0)</f>
        <v>0</v>
      </c>
      <c r="AL58" s="39" t="n">
        <f aca="false">IF(34&lt;='Inputs &amp; Assumptions'!$E$143,'Inputs &amp; Assumptions'!$D$58*INDEX('Inputs &amp; Assumptions'!$C$26:$I$26,CEILING(('Inputs &amp; Assumptions'!$C$143+34)/4,1))*AL47,0)</f>
        <v>0</v>
      </c>
      <c r="AM58" s="39" t="n">
        <f aca="false">IF(35&lt;='Inputs &amp; Assumptions'!$E$143,'Inputs &amp; Assumptions'!$D$58*INDEX('Inputs &amp; Assumptions'!$C$26:$I$26,CEILING(('Inputs &amp; Assumptions'!$C$143+35)/4,1))*AM47,0)</f>
        <v>0</v>
      </c>
      <c r="AN58" s="39" t="n">
        <f aca="false">IF(36&lt;='Inputs &amp; Assumptions'!$E$143,'Inputs &amp; Assumptions'!$D$58*INDEX('Inputs &amp; Assumptions'!$C$26:$I$26,CEILING(('Inputs &amp; Assumptions'!$C$143+36)/4,1))*AN47,0)</f>
        <v>0</v>
      </c>
    </row>
    <row r="59" customFormat="false" ht="15" hidden="false" customHeight="false" outlineLevel="0" collapsed="false">
      <c r="B59" s="37" t="n">
        <v>5</v>
      </c>
      <c r="C59" s="38" t="n">
        <f aca="false">'Inputs &amp; Assumptions'!$C$144</f>
        <v>4</v>
      </c>
      <c r="D59" s="38" t="n">
        <f aca="false">'Inputs &amp; Assumptions'!$D$144</f>
        <v>3</v>
      </c>
      <c r="E59" s="39" t="n">
        <f aca="false">IF(1&lt;='Inputs &amp; Assumptions'!$E$144,'Inputs &amp; Assumptions'!$D$58*INDEX('Inputs &amp; Assumptions'!$C$26:$I$26,CEILING(('Inputs &amp; Assumptions'!$C$144+1)/4,1))*E48,0)</f>
        <v>642000</v>
      </c>
      <c r="F59" s="39" t="n">
        <f aca="false">IF(2&lt;='Inputs &amp; Assumptions'!$E$144,'Inputs &amp; Assumptions'!$D$58*INDEX('Inputs &amp; Assumptions'!$C$26:$I$26,CEILING(('Inputs &amp; Assumptions'!$C$144+2)/4,1))*F48,0)</f>
        <v>600060.996353266</v>
      </c>
      <c r="G59" s="39" t="n">
        <f aca="false">IF(3&lt;='Inputs &amp; Assumptions'!$E$144,'Inputs &amp; Assumptions'!$D$58*INDEX('Inputs &amp; Assumptions'!$C$26:$I$26,CEILING(('Inputs &amp; Assumptions'!$C$144+3)/4,1))*G48,0)</f>
        <v>560861.681221923</v>
      </c>
      <c r="H59" s="39" t="n">
        <f aca="false">IF(4&lt;='Inputs &amp; Assumptions'!$E$144,'Inputs &amp; Assumptions'!$D$58*INDEX('Inputs &amp; Assumptions'!$C$26:$I$26,CEILING(('Inputs &amp; Assumptions'!$C$144+4)/4,1))*H48,0)</f>
        <v>524223.08294454</v>
      </c>
      <c r="I59" s="39" t="n">
        <f aca="false">IF(5&lt;='Inputs &amp; Assumptions'!$E$144,'Inputs &amp; Assumptions'!$D$58*INDEX('Inputs &amp; Assumptions'!$C$26:$I$26,CEILING(('Inputs &amp; Assumptions'!$C$144+5)/4,1))*I48,0)</f>
        <v>435027.126371922</v>
      </c>
      <c r="J59" s="39" t="n">
        <f aca="false">IF(6&lt;='Inputs &amp; Assumptions'!$E$144,'Inputs &amp; Assumptions'!$D$58*INDEX('Inputs &amp; Assumptions'!$C$26:$I$26,CEILING(('Inputs &amp; Assumptions'!$C$144+6)/4,1))*J48,0)</f>
        <v>407101.94751751</v>
      </c>
      <c r="K59" s="39" t="n">
        <f aca="false">IF(7&lt;='Inputs &amp; Assumptions'!$E$144,'Inputs &amp; Assumptions'!$D$58*INDEX('Inputs &amp; Assumptions'!$C$26:$I$26,CEILING(('Inputs &amp; Assumptions'!$C$144+7)/4,1))*K48,0)</f>
        <v>380969.336452042</v>
      </c>
      <c r="L59" s="39" t="n">
        <f aca="false">IF(8&lt;='Inputs &amp; Assumptions'!$E$144,'Inputs &amp; Assumptions'!$D$58*INDEX('Inputs &amp; Assumptions'!$C$26:$I$26,CEILING(('Inputs &amp; Assumptions'!$C$144+8)/4,1))*L48,0)</f>
        <v>356514.225003718</v>
      </c>
      <c r="M59" s="39" t="n">
        <f aca="false">IF(9&lt;='Inputs &amp; Assumptions'!$E$144,'Inputs &amp; Assumptions'!$D$58*INDEX('Inputs &amp; Assumptions'!$C$26:$I$26,CEILING(('Inputs &amp; Assumptions'!$C$144+9)/4,1))*M48,0)</f>
        <v>266903.145148012</v>
      </c>
      <c r="N59" s="39" t="n">
        <f aca="false">IF(10&lt;='Inputs &amp; Assumptions'!$E$144,'Inputs &amp; Assumptions'!$D$58*INDEX('Inputs &amp; Assumptions'!$C$26:$I$26,CEILING(('Inputs &amp; Assumptions'!$C$144+10)/4,1))*N48,0)</f>
        <v>250249.263909754</v>
      </c>
      <c r="O59" s="39" t="n">
        <f aca="false">IF(11&lt;='Inputs &amp; Assumptions'!$E$144,'Inputs &amp; Assumptions'!$D$58*INDEX('Inputs &amp; Assumptions'!$C$26:$I$26,CEILING(('Inputs &amp; Assumptions'!$C$144+11)/4,1))*O48,0)</f>
        <v>234634.530262449</v>
      </c>
      <c r="P59" s="39" t="n">
        <f aca="false">IF(12&lt;='Inputs &amp; Assumptions'!$E$144,'Inputs &amp; Assumptions'!$D$58*INDEX('Inputs &amp; Assumptions'!$C$26:$I$26,CEILING(('Inputs &amp; Assumptions'!$C$144+12)/4,1))*P48,0)</f>
        <v>219994.104803175</v>
      </c>
      <c r="Q59" s="39" t="n">
        <f aca="false">IF(13&lt;='Inputs &amp; Assumptions'!$E$144,'Inputs &amp; Assumptions'!$D$58*INDEX('Inputs &amp; Assumptions'!$C$26:$I$26,CEILING(('Inputs &amp; Assumptions'!$C$144+13)/4,1))*Q48,0)</f>
        <v>160806.989977497</v>
      </c>
      <c r="R59" s="39" t="n">
        <f aca="false">IF(14&lt;='Inputs &amp; Assumptions'!$E$144,'Inputs &amp; Assumptions'!$D$58*INDEX('Inputs &amp; Assumptions'!$C$26:$I$26,CEILING(('Inputs &amp; Assumptions'!$C$144+14)/4,1))*R48,0)</f>
        <v>151027.640080489</v>
      </c>
      <c r="S59" s="39" t="n">
        <f aca="false">IF(15&lt;='Inputs &amp; Assumptions'!$E$144,'Inputs &amp; Assumptions'!$D$58*INDEX('Inputs &amp; Assumptions'!$C$26:$I$26,CEILING(('Inputs &amp; Assumptions'!$C$144+15)/4,1))*S48,0)</f>
        <v>141843.013611992</v>
      </c>
      <c r="T59" s="39" t="n">
        <f aca="false">IF(16&lt;='Inputs &amp; Assumptions'!$E$144,'Inputs &amp; Assumptions'!$D$58*INDEX('Inputs &amp; Assumptions'!$C$26:$I$26,CEILING(('Inputs &amp; Assumptions'!$C$144+16)/4,1))*T48,0)</f>
        <v>133216.94293713</v>
      </c>
      <c r="U59" s="39" t="n">
        <f aca="false">IF(17&lt;='Inputs &amp; Assumptions'!$E$144,'Inputs &amp; Assumptions'!$D$58*INDEX('Inputs &amp; Assumptions'!$C$26:$I$26,CEILING(('Inputs &amp; Assumptions'!$C$144+17)/4,1))*U48,0)</f>
        <v>101359.359940966</v>
      </c>
      <c r="V59" s="39" t="n">
        <f aca="false">IF(18&lt;='Inputs &amp; Assumptions'!$E$144,'Inputs &amp; Assumptions'!$D$58*INDEX('Inputs &amp; Assumptions'!$C$26:$I$26,CEILING(('Inputs &amp; Assumptions'!$C$144+18)/4,1))*V48,0)</f>
        <v>95303.0036389819</v>
      </c>
      <c r="W59" s="39" t="n">
        <f aca="false">IF(19&lt;='Inputs &amp; Assumptions'!$E$144,'Inputs &amp; Assumptions'!$D$58*INDEX('Inputs &amp; Assumptions'!$C$26:$I$26,CEILING(('Inputs &amp; Assumptions'!$C$144+19)/4,1))*W48,0)</f>
        <v>89608.5226653147</v>
      </c>
      <c r="X59" s="39" t="n">
        <f aca="false">IF(20&lt;='Inputs &amp; Assumptions'!$E$144,'Inputs &amp; Assumptions'!$D$58*INDEX('Inputs &amp; Assumptions'!$C$26:$I$26,CEILING(('Inputs &amp; Assumptions'!$C$144+20)/4,1))*X48,0)</f>
        <v>84254.2944887397</v>
      </c>
      <c r="Y59" s="39" t="n">
        <f aca="false">IF(21&lt;='Inputs &amp; Assumptions'!$E$144,'Inputs &amp; Assumptions'!$D$58*INDEX('Inputs &amp; Assumptions'!$C$26:$I$26,CEILING(('Inputs &amp; Assumptions'!$C$144+21)/4,1))*Y48,0)</f>
        <v>62303.2201640588</v>
      </c>
      <c r="Z59" s="39" t="n">
        <f aca="false">IF(22&lt;='Inputs &amp; Assumptions'!$E$144,'Inputs &amp; Assumptions'!$D$58*INDEX('Inputs &amp; Assumptions'!$C$26:$I$26,CEILING(('Inputs &amp; Assumptions'!$C$144+22)/4,1))*Z48,0)</f>
        <v>58640.8546966153</v>
      </c>
      <c r="AA59" s="39" t="n">
        <f aca="false">IF(23&lt;='Inputs &amp; Assumptions'!$E$144,'Inputs &amp; Assumptions'!$D$58*INDEX('Inputs &amp; Assumptions'!$C$26:$I$26,CEILING(('Inputs &amp; Assumptions'!$C$144+23)/4,1))*AA48,0)</f>
        <v>55193.7737807858</v>
      </c>
      <c r="AB59" s="39" t="n">
        <f aca="false">IF(24&lt;='Inputs &amp; Assumptions'!$E$144,'Inputs &amp; Assumptions'!$D$58*INDEX('Inputs &amp; Assumptions'!$C$26:$I$26,CEILING(('Inputs &amp; Assumptions'!$C$144+24)/4,1))*AB48,0)</f>
        <v>51949.3223610942</v>
      </c>
      <c r="AC59" s="39" t="n">
        <f aca="false">IF(25&lt;='Inputs &amp; Assumptions'!$E$144,'Inputs &amp; Assumptions'!$D$58*INDEX('Inputs &amp; Assumptions'!$C$26:$I$26,CEILING(('Inputs &amp; Assumptions'!$C$144+25)/4,1))*AC48,0)</f>
        <v>0</v>
      </c>
      <c r="AD59" s="39" t="n">
        <f aca="false">IF(26&lt;='Inputs &amp; Assumptions'!$E$144,'Inputs &amp; Assumptions'!$D$58*INDEX('Inputs &amp; Assumptions'!$C$26:$I$26,CEILING(('Inputs &amp; Assumptions'!$C$144+26)/4,1))*AD48,0)</f>
        <v>0</v>
      </c>
      <c r="AE59" s="39" t="n">
        <f aca="false">IF(27&lt;='Inputs &amp; Assumptions'!$E$144,'Inputs &amp; Assumptions'!$D$58*INDEX('Inputs &amp; Assumptions'!$C$26:$I$26,CEILING(('Inputs &amp; Assumptions'!$C$144+27)/4,1))*AE48,0)</f>
        <v>0</v>
      </c>
      <c r="AF59" s="39" t="n">
        <f aca="false">IF(28&lt;='Inputs &amp; Assumptions'!$E$144,'Inputs &amp; Assumptions'!$D$58*INDEX('Inputs &amp; Assumptions'!$C$26:$I$26,CEILING(('Inputs &amp; Assumptions'!$C$144+28)/4,1))*AF48,0)</f>
        <v>0</v>
      </c>
      <c r="AG59" s="39" t="n">
        <f aca="false">IF(29&lt;='Inputs &amp; Assumptions'!$E$144,'Inputs &amp; Assumptions'!$D$58*INDEX('Inputs &amp; Assumptions'!$C$26:$I$26,CEILING(('Inputs &amp; Assumptions'!$C$144+29)/4,1))*AG48,0)</f>
        <v>0</v>
      </c>
      <c r="AH59" s="39" t="n">
        <f aca="false">IF(30&lt;='Inputs &amp; Assumptions'!$E$144,'Inputs &amp; Assumptions'!$D$58*INDEX('Inputs &amp; Assumptions'!$C$26:$I$26,CEILING(('Inputs &amp; Assumptions'!$C$144+30)/4,1))*AH48,0)</f>
        <v>0</v>
      </c>
      <c r="AI59" s="39" t="n">
        <f aca="false">IF(31&lt;='Inputs &amp; Assumptions'!$E$144,'Inputs &amp; Assumptions'!$D$58*INDEX('Inputs &amp; Assumptions'!$C$26:$I$26,CEILING(('Inputs &amp; Assumptions'!$C$144+31)/4,1))*AI48,0)</f>
        <v>0</v>
      </c>
      <c r="AJ59" s="39" t="n">
        <f aca="false">IF(32&lt;='Inputs &amp; Assumptions'!$E$144,'Inputs &amp; Assumptions'!$D$58*INDEX('Inputs &amp; Assumptions'!$C$26:$I$26,CEILING(('Inputs &amp; Assumptions'!$C$144+32)/4,1))*AJ48,0)</f>
        <v>0</v>
      </c>
      <c r="AK59" s="39" t="n">
        <f aca="false">IF(33&lt;='Inputs &amp; Assumptions'!$E$144,'Inputs &amp; Assumptions'!$D$58*INDEX('Inputs &amp; Assumptions'!$C$26:$I$26,CEILING(('Inputs &amp; Assumptions'!$C$144+33)/4,1))*AK48,0)</f>
        <v>0</v>
      </c>
      <c r="AL59" s="39" t="n">
        <f aca="false">IF(34&lt;='Inputs &amp; Assumptions'!$E$144,'Inputs &amp; Assumptions'!$D$58*INDEX('Inputs &amp; Assumptions'!$C$26:$I$26,CEILING(('Inputs &amp; Assumptions'!$C$144+34)/4,1))*AL48,0)</f>
        <v>0</v>
      </c>
      <c r="AM59" s="39" t="n">
        <f aca="false">IF(35&lt;='Inputs &amp; Assumptions'!$E$144,'Inputs &amp; Assumptions'!$D$58*INDEX('Inputs &amp; Assumptions'!$C$26:$I$26,CEILING(('Inputs &amp; Assumptions'!$C$144+35)/4,1))*AM48,0)</f>
        <v>0</v>
      </c>
      <c r="AN59" s="39" t="n">
        <f aca="false">IF(36&lt;='Inputs &amp; Assumptions'!$E$144,'Inputs &amp; Assumptions'!$D$58*INDEX('Inputs &amp; Assumptions'!$C$26:$I$26,CEILING(('Inputs &amp; Assumptions'!$C$144+36)/4,1))*AN48,0)</f>
        <v>0</v>
      </c>
    </row>
    <row r="60" customFormat="false" ht="15" hidden="false" customHeight="false" outlineLevel="0" collapsed="false">
      <c r="B60" s="37" t="n">
        <v>6</v>
      </c>
      <c r="C60" s="38" t="n">
        <f aca="false">'Inputs &amp; Assumptions'!$C$145</f>
        <v>5</v>
      </c>
      <c r="D60" s="38" t="n">
        <f aca="false">'Inputs &amp; Assumptions'!$D$145</f>
        <v>3</v>
      </c>
      <c r="E60" s="39" t="n">
        <f aca="false">IF(1&lt;='Inputs &amp; Assumptions'!$E$145,'Inputs &amp; Assumptions'!$D$58*INDEX('Inputs &amp; Assumptions'!$C$26:$I$26,CEILING(('Inputs &amp; Assumptions'!$C$145+1)/4,1))*E49,0)</f>
        <v>622740</v>
      </c>
      <c r="F60" s="39" t="n">
        <f aca="false">IF(2&lt;='Inputs &amp; Assumptions'!$E$145,'Inputs &amp; Assumptions'!$D$58*INDEX('Inputs &amp; Assumptions'!$C$26:$I$26,CEILING(('Inputs &amp; Assumptions'!$C$145+2)/4,1))*F49,0)</f>
        <v>582059.166462668</v>
      </c>
      <c r="G60" s="39" t="n">
        <f aca="false">IF(3&lt;='Inputs &amp; Assumptions'!$E$145,'Inputs &amp; Assumptions'!$D$58*INDEX('Inputs &amp; Assumptions'!$C$26:$I$26,CEILING(('Inputs &amp; Assumptions'!$C$145+3)/4,1))*G49,0)</f>
        <v>544035.830785265</v>
      </c>
      <c r="H60" s="39" t="n">
        <f aca="false">IF(4&lt;='Inputs &amp; Assumptions'!$E$145,'Inputs &amp; Assumptions'!$D$58*INDEX('Inputs &amp; Assumptions'!$C$26:$I$26,CEILING(('Inputs &amp; Assumptions'!$C$145+4)/4,1))*H49,0)</f>
        <v>451468.757881677</v>
      </c>
      <c r="I60" s="39" t="n">
        <f aca="false">IF(5&lt;='Inputs &amp; Assumptions'!$E$145,'Inputs &amp; Assumptions'!$D$58*INDEX('Inputs &amp; Assumptions'!$C$26:$I$26,CEILING(('Inputs &amp; Assumptions'!$C$145+5)/4,1))*I49,0)</f>
        <v>422488.160933232</v>
      </c>
      <c r="J60" s="39" t="n">
        <f aca="false">IF(6&lt;='Inputs &amp; Assumptions'!$E$145,'Inputs &amp; Assumptions'!$D$58*INDEX('Inputs &amp; Assumptions'!$C$26:$I$26,CEILING(('Inputs &amp; Assumptions'!$C$145+6)/4,1))*J49,0)</f>
        <v>395367.880972012</v>
      </c>
      <c r="K60" s="39" t="n">
        <f aca="false">IF(7&lt;='Inputs &amp; Assumptions'!$E$145,'Inputs &amp; Assumptions'!$D$58*INDEX('Inputs &amp; Assumptions'!$C$26:$I$26,CEILING(('Inputs &amp; Assumptions'!$C$145+7)/4,1))*K49,0)</f>
        <v>369988.500882519</v>
      </c>
      <c r="L60" s="39" t="n">
        <f aca="false">IF(8&lt;='Inputs &amp; Assumptions'!$E$145,'Inputs &amp; Assumptions'!$D$58*INDEX('Inputs &amp; Assumptions'!$C$26:$I$26,CEILING(('Inputs &amp; Assumptions'!$C$145+8)/4,1))*L49,0)</f>
        <v>276990.615320083</v>
      </c>
      <c r="M60" s="39" t="n">
        <f aca="false">IF(9&lt;='Inputs &amp; Assumptions'!$E$145,'Inputs &amp; Assumptions'!$D$58*INDEX('Inputs &amp; Assumptions'!$C$26:$I$26,CEILING(('Inputs &amp; Assumptions'!$C$145+9)/4,1))*M49,0)</f>
        <v>259707.30901399</v>
      </c>
      <c r="N60" s="39" t="n">
        <f aca="false">IF(10&lt;='Inputs &amp; Assumptions'!$E$145,'Inputs &amp; Assumptions'!$D$58*INDEX('Inputs &amp; Assumptions'!$C$26:$I$26,CEILING(('Inputs &amp; Assumptions'!$C$145+10)/4,1))*N49,0)</f>
        <v>243502.424359567</v>
      </c>
      <c r="O60" s="39" t="n">
        <f aca="false">IF(11&lt;='Inputs &amp; Assumptions'!$E$145,'Inputs &amp; Assumptions'!$D$58*INDEX('Inputs &amp; Assumptions'!$C$26:$I$26,CEILING(('Inputs &amp; Assumptions'!$C$145+11)/4,1))*O49,0)</f>
        <v>228308.67138126</v>
      </c>
      <c r="P60" s="39" t="n">
        <f aca="false">IF(12&lt;='Inputs &amp; Assumptions'!$E$145,'Inputs &amp; Assumptions'!$D$58*INDEX('Inputs &amp; Assumptions'!$C$26:$I$26,CEILING(('Inputs &amp; Assumptions'!$C$145+12)/4,1))*P49,0)</f>
        <v>166884.609310004</v>
      </c>
      <c r="Q60" s="39" t="n">
        <f aca="false">IF(13&lt;='Inputs &amp; Assumptions'!$E$145,'Inputs &amp; Assumptions'!$D$58*INDEX('Inputs &amp; Assumptions'!$C$26:$I$26,CEILING(('Inputs &amp; Assumptions'!$C$145+13)/4,1))*Q49,0)</f>
        <v>156735.653800691</v>
      </c>
      <c r="R60" s="39" t="n">
        <f aca="false">IF(14&lt;='Inputs &amp; Assumptions'!$E$145,'Inputs &amp; Assumptions'!$D$58*INDEX('Inputs &amp; Assumptions'!$C$26:$I$26,CEILING(('Inputs &amp; Assumptions'!$C$145+14)/4,1))*R49,0)</f>
        <v>147203.898992845</v>
      </c>
      <c r="S60" s="39" t="n">
        <f aca="false">IF(15&lt;='Inputs &amp; Assumptions'!$E$145,'Inputs &amp; Assumptions'!$D$58*INDEX('Inputs &amp; Assumptions'!$C$26:$I$26,CEILING(('Inputs &amp; Assumptions'!$C$145+15)/4,1))*S49,0)</f>
        <v>138251.810314011</v>
      </c>
      <c r="T60" s="39" t="n">
        <f aca="false">IF(16&lt;='Inputs &amp; Assumptions'!$E$145,'Inputs &amp; Assumptions'!$D$58*INDEX('Inputs &amp; Assumptions'!$C$26:$I$26,CEILING(('Inputs &amp; Assumptions'!$C$145+16)/4,1))*T49,0)</f>
        <v>105190.185986487</v>
      </c>
      <c r="U60" s="39" t="n">
        <f aca="false">IF(17&lt;='Inputs &amp; Assumptions'!$E$145,'Inputs &amp; Assumptions'!$D$58*INDEX('Inputs &amp; Assumptions'!$C$26:$I$26,CEILING(('Inputs &amp; Assumptions'!$C$145+17)/4,1))*U49,0)</f>
        <v>98904.9327432037</v>
      </c>
      <c r="V60" s="39" t="n">
        <f aca="false">IF(18&lt;='Inputs &amp; Assumptions'!$E$145,'Inputs &amp; Assumptions'!$D$58*INDEX('Inputs &amp; Assumptions'!$C$26:$I$26,CEILING(('Inputs &amp; Assumptions'!$C$145+18)/4,1))*V49,0)</f>
        <v>92995.2317243196</v>
      </c>
      <c r="W60" s="39" t="n">
        <f aca="false">IF(19&lt;='Inputs &amp; Assumptions'!$E$145,'Inputs &amp; Assumptions'!$D$58*INDEX('Inputs &amp; Assumptions'!$C$26:$I$26,CEILING(('Inputs &amp; Assumptions'!$C$145+19)/4,1))*W49,0)</f>
        <v>87438.6431859149</v>
      </c>
      <c r="X60" s="39" t="n">
        <f aca="false">IF(20&lt;='Inputs &amp; Assumptions'!$E$145,'Inputs &amp; Assumptions'!$D$58*INDEX('Inputs &amp; Assumptions'!$C$26:$I$26,CEILING(('Inputs &amp; Assumptions'!$C$145+20)/4,1))*X49,0)</f>
        <v>64657.9390441243</v>
      </c>
      <c r="Y60" s="39" t="n">
        <f aca="false">IF(21&lt;='Inputs &amp; Assumptions'!$E$145,'Inputs &amp; Assumptions'!$D$58*INDEX('Inputs &amp; Assumptions'!$C$26:$I$26,CEILING(('Inputs &amp; Assumptions'!$C$145+21)/4,1))*Y49,0)</f>
        <v>60857.1563152748</v>
      </c>
      <c r="Z60" s="39" t="n">
        <f aca="false">IF(22&lt;='Inputs &amp; Assumptions'!$E$145,'Inputs &amp; Assumptions'!$D$58*INDEX('Inputs &amp; Assumptions'!$C$26:$I$26,CEILING(('Inputs &amp; Assumptions'!$C$145+22)/4,1))*Z49,0)</f>
        <v>57279.7947094224</v>
      </c>
      <c r="AA60" s="39" t="n">
        <f aca="false">IF(23&lt;='Inputs &amp; Assumptions'!$E$145,'Inputs &amp; Assumptions'!$D$58*INDEX('Inputs &amp; Assumptions'!$C$26:$I$26,CEILING(('Inputs &amp; Assumptions'!$C$145+23)/4,1))*AA49,0)</f>
        <v>53912.7208796325</v>
      </c>
      <c r="AB60" s="39" t="n">
        <f aca="false">IF(24&lt;='Inputs &amp; Assumptions'!$E$145,'Inputs &amp; Assumptions'!$D$58*INDEX('Inputs &amp; Assumptions'!$C$26:$I$26,CEILING(('Inputs &amp; Assumptions'!$C$145+24)/4,1))*AB49,0)</f>
        <v>0</v>
      </c>
      <c r="AC60" s="39" t="n">
        <f aca="false">IF(25&lt;='Inputs &amp; Assumptions'!$E$145,'Inputs &amp; Assumptions'!$D$58*INDEX('Inputs &amp; Assumptions'!$C$26:$I$26,CEILING(('Inputs &amp; Assumptions'!$C$145+25)/4,1))*AC49,0)</f>
        <v>0</v>
      </c>
      <c r="AD60" s="39" t="n">
        <f aca="false">IF(26&lt;='Inputs &amp; Assumptions'!$E$145,'Inputs &amp; Assumptions'!$D$58*INDEX('Inputs &amp; Assumptions'!$C$26:$I$26,CEILING(('Inputs &amp; Assumptions'!$C$145+26)/4,1))*AD49,0)</f>
        <v>0</v>
      </c>
      <c r="AE60" s="39" t="n">
        <f aca="false">IF(27&lt;='Inputs &amp; Assumptions'!$E$145,'Inputs &amp; Assumptions'!$D$58*INDEX('Inputs &amp; Assumptions'!$C$26:$I$26,CEILING(('Inputs &amp; Assumptions'!$C$145+27)/4,1))*AE49,0)</f>
        <v>0</v>
      </c>
      <c r="AF60" s="39" t="n">
        <f aca="false">IF(28&lt;='Inputs &amp; Assumptions'!$E$145,'Inputs &amp; Assumptions'!$D$58*INDEX('Inputs &amp; Assumptions'!$C$26:$I$26,CEILING(('Inputs &amp; Assumptions'!$C$145+28)/4,1))*AF49,0)</f>
        <v>0</v>
      </c>
      <c r="AG60" s="39" t="n">
        <f aca="false">IF(29&lt;='Inputs &amp; Assumptions'!$E$145,'Inputs &amp; Assumptions'!$D$58*INDEX('Inputs &amp; Assumptions'!$C$26:$I$26,CEILING(('Inputs &amp; Assumptions'!$C$145+29)/4,1))*AG49,0)</f>
        <v>0</v>
      </c>
      <c r="AH60" s="39" t="n">
        <f aca="false">IF(30&lt;='Inputs &amp; Assumptions'!$E$145,'Inputs &amp; Assumptions'!$D$58*INDEX('Inputs &amp; Assumptions'!$C$26:$I$26,CEILING(('Inputs &amp; Assumptions'!$C$145+30)/4,1))*AH49,0)</f>
        <v>0</v>
      </c>
      <c r="AI60" s="39" t="n">
        <f aca="false">IF(31&lt;='Inputs &amp; Assumptions'!$E$145,'Inputs &amp; Assumptions'!$D$58*INDEX('Inputs &amp; Assumptions'!$C$26:$I$26,CEILING(('Inputs &amp; Assumptions'!$C$145+31)/4,1))*AI49,0)</f>
        <v>0</v>
      </c>
      <c r="AJ60" s="39" t="n">
        <f aca="false">IF(32&lt;='Inputs &amp; Assumptions'!$E$145,'Inputs &amp; Assumptions'!$D$58*INDEX('Inputs &amp; Assumptions'!$C$26:$I$26,CEILING(('Inputs &amp; Assumptions'!$C$145+32)/4,1))*AJ49,0)</f>
        <v>0</v>
      </c>
      <c r="AK60" s="39" t="n">
        <f aca="false">IF(33&lt;='Inputs &amp; Assumptions'!$E$145,'Inputs &amp; Assumptions'!$D$58*INDEX('Inputs &amp; Assumptions'!$C$26:$I$26,CEILING(('Inputs &amp; Assumptions'!$C$145+33)/4,1))*AK49,0)</f>
        <v>0</v>
      </c>
      <c r="AL60" s="39" t="n">
        <f aca="false">IF(34&lt;='Inputs &amp; Assumptions'!$E$145,'Inputs &amp; Assumptions'!$D$58*INDEX('Inputs &amp; Assumptions'!$C$26:$I$26,CEILING(('Inputs &amp; Assumptions'!$C$145+34)/4,1))*AL49,0)</f>
        <v>0</v>
      </c>
      <c r="AM60" s="39" t="n">
        <f aca="false">IF(35&lt;='Inputs &amp; Assumptions'!$E$145,'Inputs &amp; Assumptions'!$D$58*INDEX('Inputs &amp; Assumptions'!$C$26:$I$26,CEILING(('Inputs &amp; Assumptions'!$C$145+35)/4,1))*AM49,0)</f>
        <v>0</v>
      </c>
      <c r="AN60" s="39" t="n">
        <f aca="false">IF(36&lt;='Inputs &amp; Assumptions'!$E$145,'Inputs &amp; Assumptions'!$D$58*INDEX('Inputs &amp; Assumptions'!$C$26:$I$26,CEILING(('Inputs &amp; Assumptions'!$C$145+36)/4,1))*AN49,0)</f>
        <v>0</v>
      </c>
    </row>
    <row r="61" customFormat="false" ht="15" hidden="false" customHeight="false" outlineLevel="0" collapsed="false">
      <c r="B61" s="37" t="n">
        <v>7</v>
      </c>
      <c r="C61" s="38" t="n">
        <f aca="false">'Inputs &amp; Assumptions'!$C$146</f>
        <v>6</v>
      </c>
      <c r="D61" s="38" t="n">
        <f aca="false">'Inputs &amp; Assumptions'!$D$146</f>
        <v>3</v>
      </c>
      <c r="E61" s="39" t="n">
        <f aca="false">IF(1&lt;='Inputs &amp; Assumptions'!$E$146,'Inputs &amp; Assumptions'!$D$58*INDEX('Inputs &amp; Assumptions'!$C$26:$I$26,CEILING(('Inputs &amp; Assumptions'!$C$146+1)/4,1))*E50,0)</f>
        <v>604057.8</v>
      </c>
      <c r="F61" s="39" t="n">
        <f aca="false">IF(2&lt;='Inputs &amp; Assumptions'!$E$146,'Inputs &amp; Assumptions'!$D$58*INDEX('Inputs &amp; Assumptions'!$C$26:$I$26,CEILING(('Inputs &amp; Assumptions'!$C$146+2)/4,1))*F50,0)</f>
        <v>564597.391468788</v>
      </c>
      <c r="G61" s="39" t="n">
        <f aca="false">IF(3&lt;='Inputs &amp; Assumptions'!$E$146,'Inputs &amp; Assumptions'!$D$58*INDEX('Inputs &amp; Assumptions'!$C$26:$I$26,CEILING(('Inputs &amp; Assumptions'!$C$146+3)/4,1))*G50,0)</f>
        <v>468531.792587497</v>
      </c>
      <c r="H61" s="39" t="n">
        <f aca="false">IF(4&lt;='Inputs &amp; Assumptions'!$E$146,'Inputs &amp; Assumptions'!$D$58*INDEX('Inputs &amp; Assumptions'!$C$26:$I$26,CEILING(('Inputs &amp; Assumptions'!$C$146+4)/4,1))*H50,0)</f>
        <v>438455.888548819</v>
      </c>
      <c r="I61" s="39" t="n">
        <f aca="false">IF(5&lt;='Inputs &amp; Assumptions'!$E$146,'Inputs &amp; Assumptions'!$D$58*INDEX('Inputs &amp; Assumptions'!$C$26:$I$26,CEILING(('Inputs &amp; Assumptions'!$C$146+5)/4,1))*I50,0)</f>
        <v>410310.611242531</v>
      </c>
      <c r="J61" s="39" t="n">
        <f aca="false">IF(6&lt;='Inputs &amp; Assumptions'!$E$146,'Inputs &amp; Assumptions'!$D$58*INDEX('Inputs &amp; Assumptions'!$C$26:$I$26,CEILING(('Inputs &amp; Assumptions'!$C$146+6)/4,1))*J50,0)</f>
        <v>383972.030243298</v>
      </c>
      <c r="K61" s="39" t="n">
        <f aca="false">IF(7&lt;='Inputs &amp; Assumptions'!$E$146,'Inputs &amp; Assumptions'!$D$58*INDEX('Inputs &amp; Assumptions'!$C$26:$I$26,CEILING(('Inputs &amp; Assumptions'!$C$146+7)/4,1))*K50,0)</f>
        <v>287459.33635533</v>
      </c>
      <c r="L61" s="39" t="n">
        <f aca="false">IF(8&lt;='Inputs &amp; Assumptions'!$E$146,'Inputs &amp; Assumptions'!$D$58*INDEX('Inputs &amp; Assumptions'!$C$26:$I$26,CEILING(('Inputs &amp; Assumptions'!$C$146+8)/4,1))*L50,0)</f>
        <v>269522.816177439</v>
      </c>
      <c r="M61" s="39" t="n">
        <f aca="false">IF(9&lt;='Inputs &amp; Assumptions'!$E$146,'Inputs &amp; Assumptions'!$D$58*INDEX('Inputs &amp; Assumptions'!$C$26:$I$26,CEILING(('Inputs &amp; Assumptions'!$C$146+9)/4,1))*M50,0)</f>
        <v>252705.476055311</v>
      </c>
      <c r="N61" s="39" t="n">
        <f aca="false">IF(10&lt;='Inputs &amp; Assumptions'!$E$146,'Inputs &amp; Assumptions'!$D$58*INDEX('Inputs &amp; Assumptions'!$C$26:$I$26,CEILING(('Inputs &amp; Assumptions'!$C$146+10)/4,1))*N50,0)</f>
        <v>236937.482822603</v>
      </c>
      <c r="O61" s="39" t="n">
        <f aca="false">IF(11&lt;='Inputs &amp; Assumptions'!$E$146,'Inputs &amp; Assumptions'!$D$58*INDEX('Inputs &amp; Assumptions'!$C$26:$I$26,CEILING(('Inputs &amp; Assumptions'!$C$146+11)/4,1))*O50,0)</f>
        <v>173191.929209358</v>
      </c>
      <c r="P61" s="39" t="n">
        <f aca="false">IF(12&lt;='Inputs &amp; Assumptions'!$E$146,'Inputs &amp; Assumptions'!$D$58*INDEX('Inputs &amp; Assumptions'!$C$26:$I$26,CEILING(('Inputs &amp; Assumptions'!$C$146+12)/4,1))*P50,0)</f>
        <v>162659.399029462</v>
      </c>
      <c r="Q61" s="39" t="n">
        <f aca="false">IF(13&lt;='Inputs &amp; Assumptions'!$E$146,'Inputs &amp; Assumptions'!$D$58*INDEX('Inputs &amp; Assumptions'!$C$26:$I$26,CEILING(('Inputs &amp; Assumptions'!$C$146+13)/4,1))*Q50,0)</f>
        <v>152767.396341216</v>
      </c>
      <c r="R61" s="39" t="n">
        <f aca="false">IF(14&lt;='Inputs &amp; Assumptions'!$E$146,'Inputs &amp; Assumptions'!$D$58*INDEX('Inputs &amp; Assumptions'!$C$26:$I$26,CEILING(('Inputs &amp; Assumptions'!$C$146+14)/4,1))*R50,0)</f>
        <v>143476.967971872</v>
      </c>
      <c r="S61" s="39" t="n">
        <f aca="false">IF(15&lt;='Inputs &amp; Assumptions'!$E$146,'Inputs &amp; Assumptions'!$D$58*INDEX('Inputs &amp; Assumptions'!$C$26:$I$26,CEILING(('Inputs &amp; Assumptions'!$C$146+15)/4,1))*S50,0)</f>
        <v>109165.796176261</v>
      </c>
      <c r="T61" s="39" t="n">
        <f aca="false">IF(16&lt;='Inputs &amp; Assumptions'!$E$146,'Inputs &amp; Assumptions'!$D$58*INDEX('Inputs &amp; Assumptions'!$C$26:$I$26,CEILING(('Inputs &amp; Assumptions'!$C$146+16)/4,1))*T50,0)</f>
        <v>102642.994946871</v>
      </c>
      <c r="U61" s="39" t="n">
        <f aca="false">IF(17&lt;='Inputs &amp; Assumptions'!$E$146,'Inputs &amp; Assumptions'!$D$58*INDEX('Inputs &amp; Assumptions'!$C$26:$I$26,CEILING(('Inputs &amp; Assumptions'!$C$146+17)/4,1))*U50,0)</f>
        <v>96509.9397493735</v>
      </c>
      <c r="V61" s="39" t="n">
        <f aca="false">IF(18&lt;='Inputs &amp; Assumptions'!$E$146,'Inputs &amp; Assumptions'!$D$58*INDEX('Inputs &amp; Assumptions'!$C$26:$I$26,CEILING(('Inputs &amp; Assumptions'!$C$146+18)/4,1))*V50,0)</f>
        <v>90743.3427410103</v>
      </c>
      <c r="W61" s="39" t="n">
        <f aca="false">IF(19&lt;='Inputs &amp; Assumptions'!$E$146,'Inputs &amp; Assumptions'!$D$58*INDEX('Inputs &amp; Assumptions'!$C$26:$I$26,CEILING(('Inputs &amp; Assumptions'!$C$146+19)/4,1))*W50,0)</f>
        <v>67101.6533403101</v>
      </c>
      <c r="X61" s="39" t="n">
        <f aca="false">IF(20&lt;='Inputs &amp; Assumptions'!$E$146,'Inputs &amp; Assumptions'!$D$58*INDEX('Inputs &amp; Assumptions'!$C$26:$I$26,CEILING(('Inputs &amp; Assumptions'!$C$146+20)/4,1))*X50,0)</f>
        <v>63157.2219392558</v>
      </c>
      <c r="Y61" s="39" t="n">
        <f aca="false">IF(21&lt;='Inputs &amp; Assumptions'!$E$146,'Inputs &amp; Assumptions'!$D$58*INDEX('Inputs &amp; Assumptions'!$C$26:$I$26,CEILING(('Inputs &amp; Assumptions'!$C$146+21)/4,1))*Y50,0)</f>
        <v>59444.6557502062</v>
      </c>
      <c r="Z61" s="39" t="n">
        <f aca="false">IF(22&lt;='Inputs &amp; Assumptions'!$E$146,'Inputs &amp; Assumptions'!$D$58*INDEX('Inputs &amp; Assumptions'!$C$26:$I$26,CEILING(('Inputs &amp; Assumptions'!$C$146+22)/4,1))*Z50,0)</f>
        <v>55950.3250579829</v>
      </c>
      <c r="AA61" s="39" t="n">
        <f aca="false">IF(23&lt;='Inputs &amp; Assumptions'!$E$146,'Inputs &amp; Assumptions'!$D$58*INDEX('Inputs &amp; Assumptions'!$C$26:$I$26,CEILING(('Inputs &amp; Assumptions'!$C$146+23)/4,1))*AA50,0)</f>
        <v>0</v>
      </c>
      <c r="AB61" s="39" t="n">
        <f aca="false">IF(24&lt;='Inputs &amp; Assumptions'!$E$146,'Inputs &amp; Assumptions'!$D$58*INDEX('Inputs &amp; Assumptions'!$C$26:$I$26,CEILING(('Inputs &amp; Assumptions'!$C$146+24)/4,1))*AB50,0)</f>
        <v>0</v>
      </c>
      <c r="AC61" s="39" t="n">
        <f aca="false">IF(25&lt;='Inputs &amp; Assumptions'!$E$146,'Inputs &amp; Assumptions'!$D$58*INDEX('Inputs &amp; Assumptions'!$C$26:$I$26,CEILING(('Inputs &amp; Assumptions'!$C$146+25)/4,1))*AC50,0)</f>
        <v>0</v>
      </c>
      <c r="AD61" s="39" t="n">
        <f aca="false">IF(26&lt;='Inputs &amp; Assumptions'!$E$146,'Inputs &amp; Assumptions'!$D$58*INDEX('Inputs &amp; Assumptions'!$C$26:$I$26,CEILING(('Inputs &amp; Assumptions'!$C$146+26)/4,1))*AD50,0)</f>
        <v>0</v>
      </c>
      <c r="AE61" s="39" t="n">
        <f aca="false">IF(27&lt;='Inputs &amp; Assumptions'!$E$146,'Inputs &amp; Assumptions'!$D$58*INDEX('Inputs &amp; Assumptions'!$C$26:$I$26,CEILING(('Inputs &amp; Assumptions'!$C$146+27)/4,1))*AE50,0)</f>
        <v>0</v>
      </c>
      <c r="AF61" s="39" t="n">
        <f aca="false">IF(28&lt;='Inputs &amp; Assumptions'!$E$146,'Inputs &amp; Assumptions'!$D$58*INDEX('Inputs &amp; Assumptions'!$C$26:$I$26,CEILING(('Inputs &amp; Assumptions'!$C$146+28)/4,1))*AF50,0)</f>
        <v>0</v>
      </c>
      <c r="AG61" s="39" t="n">
        <f aca="false">IF(29&lt;='Inputs &amp; Assumptions'!$E$146,'Inputs &amp; Assumptions'!$D$58*INDEX('Inputs &amp; Assumptions'!$C$26:$I$26,CEILING(('Inputs &amp; Assumptions'!$C$146+29)/4,1))*AG50,0)</f>
        <v>0</v>
      </c>
      <c r="AH61" s="39" t="n">
        <f aca="false">IF(30&lt;='Inputs &amp; Assumptions'!$E$146,'Inputs &amp; Assumptions'!$D$58*INDEX('Inputs &amp; Assumptions'!$C$26:$I$26,CEILING(('Inputs &amp; Assumptions'!$C$146+30)/4,1))*AH50,0)</f>
        <v>0</v>
      </c>
      <c r="AI61" s="39" t="n">
        <f aca="false">IF(31&lt;='Inputs &amp; Assumptions'!$E$146,'Inputs &amp; Assumptions'!$D$58*INDEX('Inputs &amp; Assumptions'!$C$26:$I$26,CEILING(('Inputs &amp; Assumptions'!$C$146+31)/4,1))*AI50,0)</f>
        <v>0</v>
      </c>
      <c r="AJ61" s="39" t="n">
        <f aca="false">IF(32&lt;='Inputs &amp; Assumptions'!$E$146,'Inputs &amp; Assumptions'!$D$58*INDEX('Inputs &amp; Assumptions'!$C$26:$I$26,CEILING(('Inputs &amp; Assumptions'!$C$146+32)/4,1))*AJ50,0)</f>
        <v>0</v>
      </c>
      <c r="AK61" s="39" t="n">
        <f aca="false">IF(33&lt;='Inputs &amp; Assumptions'!$E$146,'Inputs &amp; Assumptions'!$D$58*INDEX('Inputs &amp; Assumptions'!$C$26:$I$26,CEILING(('Inputs &amp; Assumptions'!$C$146+33)/4,1))*AK50,0)</f>
        <v>0</v>
      </c>
      <c r="AL61" s="39" t="n">
        <f aca="false">IF(34&lt;='Inputs &amp; Assumptions'!$E$146,'Inputs &amp; Assumptions'!$D$58*INDEX('Inputs &amp; Assumptions'!$C$26:$I$26,CEILING(('Inputs &amp; Assumptions'!$C$146+34)/4,1))*AL50,0)</f>
        <v>0</v>
      </c>
      <c r="AM61" s="39" t="n">
        <f aca="false">IF(35&lt;='Inputs &amp; Assumptions'!$E$146,'Inputs &amp; Assumptions'!$D$58*INDEX('Inputs &amp; Assumptions'!$C$26:$I$26,CEILING(('Inputs &amp; Assumptions'!$C$146+35)/4,1))*AM50,0)</f>
        <v>0</v>
      </c>
      <c r="AN61" s="39" t="n">
        <f aca="false">IF(36&lt;='Inputs &amp; Assumptions'!$E$146,'Inputs &amp; Assumptions'!$D$58*INDEX('Inputs &amp; Assumptions'!$C$26:$I$26,CEILING(('Inputs &amp; Assumptions'!$C$146+36)/4,1))*AN50,0)</f>
        <v>0</v>
      </c>
    </row>
    <row r="62" customFormat="false" ht="15" hidden="false" customHeight="false" outlineLevel="0" collapsed="false">
      <c r="B62" s="37" t="n">
        <v>8</v>
      </c>
      <c r="C62" s="38" t="n">
        <f aca="false">'Inputs &amp; Assumptions'!$C$147</f>
        <v>7</v>
      </c>
      <c r="D62" s="38" t="n">
        <f aca="false">'Inputs &amp; Assumptions'!$D$147</f>
        <v>3</v>
      </c>
      <c r="E62" s="39" t="n">
        <f aca="false">IF(1&lt;='Inputs &amp; Assumptions'!$E$147,'Inputs &amp; Assumptions'!$D$58*INDEX('Inputs &amp; Assumptions'!$C$26:$I$26,CEILING(('Inputs &amp; Assumptions'!$C$147+1)/4,1))*E51,0)</f>
        <v>585936.066</v>
      </c>
      <c r="F62" s="39" t="n">
        <f aca="false">IF(2&lt;='Inputs &amp; Assumptions'!$E$147,'Inputs &amp; Assumptions'!$D$58*INDEX('Inputs &amp; Assumptions'!$C$26:$I$26,CEILING(('Inputs &amp; Assumptions'!$C$147+2)/4,1))*F51,0)</f>
        <v>486239.716110737</v>
      </c>
      <c r="G62" s="39" t="n">
        <f aca="false">IF(3&lt;='Inputs &amp; Assumptions'!$E$147,'Inputs &amp; Assumptions'!$D$58*INDEX('Inputs &amp; Assumptions'!$C$26:$I$26,CEILING(('Inputs &amp; Assumptions'!$C$147+3)/4,1))*G51,0)</f>
        <v>455027.10840107</v>
      </c>
      <c r="H62" s="39" t="n">
        <f aca="false">IF(4&lt;='Inputs &amp; Assumptions'!$E$147,'Inputs &amp; Assumptions'!$D$58*INDEX('Inputs &amp; Assumptions'!$C$26:$I$26,CEILING(('Inputs &amp; Assumptions'!$C$147+4)/4,1))*H51,0)</f>
        <v>425818.094490425</v>
      </c>
      <c r="I62" s="39" t="n">
        <f aca="false">IF(5&lt;='Inputs &amp; Assumptions'!$E$147,'Inputs &amp; Assumptions'!$D$58*INDEX('Inputs &amp; Assumptions'!$C$26:$I$26,CEILING(('Inputs &amp; Assumptions'!$C$147+5)/4,1))*I51,0)</f>
        <v>398484.060065354</v>
      </c>
      <c r="J62" s="39" t="n">
        <f aca="false">IF(6&lt;='Inputs &amp; Assumptions'!$E$147,'Inputs &amp; Assumptions'!$D$58*INDEX('Inputs &amp; Assumptions'!$C$26:$I$26,CEILING(('Inputs &amp; Assumptions'!$C$147+6)/4,1))*J51,0)</f>
        <v>298323.717438437</v>
      </c>
      <c r="K62" s="39" t="n">
        <f aca="false">IF(7&lt;='Inputs &amp; Assumptions'!$E$147,'Inputs &amp; Assumptions'!$D$58*INDEX('Inputs &amp; Assumptions'!$C$26:$I$26,CEILING(('Inputs &amp; Assumptions'!$C$147+7)/4,1))*K51,0)</f>
        <v>279709.295498897</v>
      </c>
      <c r="L62" s="39" t="n">
        <f aca="false">IF(8&lt;='Inputs &amp; Assumptions'!$E$147,'Inputs &amp; Assumptions'!$D$58*INDEX('Inputs &amp; Assumptions'!$C$26:$I$26,CEILING(('Inputs &amp; Assumptions'!$C$147+8)/4,1))*L51,0)</f>
        <v>262256.352462606</v>
      </c>
      <c r="M62" s="39" t="n">
        <f aca="false">IF(9&lt;='Inputs &amp; Assumptions'!$E$147,'Inputs &amp; Assumptions'!$D$58*INDEX('Inputs &amp; Assumptions'!$C$26:$I$26,CEILING(('Inputs &amp; Assumptions'!$C$147+9)/4,1))*M51,0)</f>
        <v>245892.415853808</v>
      </c>
      <c r="N62" s="39" t="n">
        <f aca="false">IF(10&lt;='Inputs &amp; Assumptions'!$E$147,'Inputs &amp; Assumptions'!$D$58*INDEX('Inputs &amp; Assumptions'!$C$26:$I$26,CEILING(('Inputs &amp; Assumptions'!$C$147+10)/4,1))*N51,0)</f>
        <v>179737.631092991</v>
      </c>
      <c r="O62" s="39" t="n">
        <f aca="false">IF(11&lt;='Inputs &amp; Assumptions'!$E$147,'Inputs &amp; Assumptions'!$D$58*INDEX('Inputs &amp; Assumptions'!$C$26:$I$26,CEILING(('Inputs &amp; Assumptions'!$C$147+11)/4,1))*O51,0)</f>
        <v>168807.029230698</v>
      </c>
      <c r="P62" s="39" t="n">
        <f aca="false">IF(12&lt;='Inputs &amp; Assumptions'!$E$147,'Inputs &amp; Assumptions'!$D$58*INDEX('Inputs &amp; Assumptions'!$C$26:$I$26,CEILING(('Inputs &amp; Assumptions'!$C$147+12)/4,1))*P51,0)</f>
        <v>158541.163274544</v>
      </c>
      <c r="Q62" s="39" t="n">
        <f aca="false">IF(13&lt;='Inputs &amp; Assumptions'!$E$147,'Inputs &amp; Assumptions'!$D$58*INDEX('Inputs &amp; Assumptions'!$C$26:$I$26,CEILING(('Inputs &amp; Assumptions'!$C$147+13)/4,1))*Q51,0)</f>
        <v>148899.607836205</v>
      </c>
      <c r="R62" s="39" t="n">
        <f aca="false">IF(14&lt;='Inputs &amp; Assumptions'!$E$147,'Inputs &amp; Assumptions'!$D$58*INDEX('Inputs &amp; Assumptions'!$C$26:$I$26,CEILING(('Inputs &amp; Assumptions'!$C$147+14)/4,1))*R51,0)</f>
        <v>113291.662554223</v>
      </c>
      <c r="S62" s="39" t="n">
        <f aca="false">IF(15&lt;='Inputs &amp; Assumptions'!$E$147,'Inputs &amp; Assumptions'!$D$58*INDEX('Inputs &amp; Assumptions'!$C$26:$I$26,CEILING(('Inputs &amp; Assumptions'!$C$147+15)/4,1))*S51,0)</f>
        <v>106522.33533203</v>
      </c>
      <c r="T62" s="39" t="n">
        <f aca="false">IF(16&lt;='Inputs &amp; Assumptions'!$E$147,'Inputs &amp; Assumptions'!$D$58*INDEX('Inputs &amp; Assumptions'!$C$26:$I$26,CEILING(('Inputs &amp; Assumptions'!$C$147+16)/4,1))*T51,0)</f>
        <v>100157.484397041</v>
      </c>
      <c r="U62" s="39" t="n">
        <f aca="false">IF(17&lt;='Inputs &amp; Assumptions'!$E$147,'Inputs &amp; Assumptions'!$D$58*INDEX('Inputs &amp; Assumptions'!$C$26:$I$26,CEILING(('Inputs &amp; Assumptions'!$C$147+17)/4,1))*U51,0)</f>
        <v>94172.9417541891</v>
      </c>
      <c r="V62" s="39" t="n">
        <f aca="false">IF(18&lt;='Inputs &amp; Assumptions'!$E$147,'Inputs &amp; Assumptions'!$D$58*INDEX('Inputs &amp; Assumptions'!$C$26:$I$26,CEILING(('Inputs &amp; Assumptions'!$C$147+18)/4,1))*V51,0)</f>
        <v>69637.7265896217</v>
      </c>
      <c r="W62" s="39" t="n">
        <f aca="false">IF(19&lt;='Inputs &amp; Assumptions'!$E$147,'Inputs &amp; Assumptions'!$D$58*INDEX('Inputs &amp; Assumptions'!$C$26:$I$26,CEILING(('Inputs &amp; Assumptions'!$C$147+19)/4,1))*W51,0)</f>
        <v>65544.2173870231</v>
      </c>
      <c r="X62" s="39" t="n">
        <f aca="false">IF(20&lt;='Inputs &amp; Assumptions'!$E$147,'Inputs &amp; Assumptions'!$D$58*INDEX('Inputs &amp; Assumptions'!$C$26:$I$26,CEILING(('Inputs &amp; Assumptions'!$C$147+20)/4,1))*X51,0)</f>
        <v>61691.3366255353</v>
      </c>
      <c r="Y62" s="39" t="n">
        <f aca="false">IF(21&lt;='Inputs &amp; Assumptions'!$E$147,'Inputs &amp; Assumptions'!$D$58*INDEX('Inputs &amp; Assumptions'!$C$26:$I$26,CEILING(('Inputs &amp; Assumptions'!$C$147+21)/4,1))*Y51,0)</f>
        <v>58064.9394617474</v>
      </c>
      <c r="Z62" s="39" t="n">
        <f aca="false">IF(22&lt;='Inputs &amp; Assumptions'!$E$147,'Inputs &amp; Assumptions'!$D$58*INDEX('Inputs &amp; Assumptions'!$C$26:$I$26,CEILING(('Inputs &amp; Assumptions'!$C$147+22)/4,1))*Z51,0)</f>
        <v>0</v>
      </c>
      <c r="AA62" s="39" t="n">
        <f aca="false">IF(23&lt;='Inputs &amp; Assumptions'!$E$147,'Inputs &amp; Assumptions'!$D$58*INDEX('Inputs &amp; Assumptions'!$C$26:$I$26,CEILING(('Inputs &amp; Assumptions'!$C$147+23)/4,1))*AA51,0)</f>
        <v>0</v>
      </c>
      <c r="AB62" s="39" t="n">
        <f aca="false">IF(24&lt;='Inputs &amp; Assumptions'!$E$147,'Inputs &amp; Assumptions'!$D$58*INDEX('Inputs &amp; Assumptions'!$C$26:$I$26,CEILING(('Inputs &amp; Assumptions'!$C$147+24)/4,1))*AB51,0)</f>
        <v>0</v>
      </c>
      <c r="AC62" s="39" t="n">
        <f aca="false">IF(25&lt;='Inputs &amp; Assumptions'!$E$147,'Inputs &amp; Assumptions'!$D$58*INDEX('Inputs &amp; Assumptions'!$C$26:$I$26,CEILING(('Inputs &amp; Assumptions'!$C$147+25)/4,1))*AC51,0)</f>
        <v>0</v>
      </c>
      <c r="AD62" s="39" t="n">
        <f aca="false">IF(26&lt;='Inputs &amp; Assumptions'!$E$147,'Inputs &amp; Assumptions'!$D$58*INDEX('Inputs &amp; Assumptions'!$C$26:$I$26,CEILING(('Inputs &amp; Assumptions'!$C$147+26)/4,1))*AD51,0)</f>
        <v>0</v>
      </c>
      <c r="AE62" s="39" t="n">
        <f aca="false">IF(27&lt;='Inputs &amp; Assumptions'!$E$147,'Inputs &amp; Assumptions'!$D$58*INDEX('Inputs &amp; Assumptions'!$C$26:$I$26,CEILING(('Inputs &amp; Assumptions'!$C$147+27)/4,1))*AE51,0)</f>
        <v>0</v>
      </c>
      <c r="AF62" s="39" t="n">
        <f aca="false">IF(28&lt;='Inputs &amp; Assumptions'!$E$147,'Inputs &amp; Assumptions'!$D$58*INDEX('Inputs &amp; Assumptions'!$C$26:$I$26,CEILING(('Inputs &amp; Assumptions'!$C$147+28)/4,1))*AF51,0)</f>
        <v>0</v>
      </c>
      <c r="AG62" s="39" t="n">
        <f aca="false">IF(29&lt;='Inputs &amp; Assumptions'!$E$147,'Inputs &amp; Assumptions'!$D$58*INDEX('Inputs &amp; Assumptions'!$C$26:$I$26,CEILING(('Inputs &amp; Assumptions'!$C$147+29)/4,1))*AG51,0)</f>
        <v>0</v>
      </c>
      <c r="AH62" s="39" t="n">
        <f aca="false">IF(30&lt;='Inputs &amp; Assumptions'!$E$147,'Inputs &amp; Assumptions'!$D$58*INDEX('Inputs &amp; Assumptions'!$C$26:$I$26,CEILING(('Inputs &amp; Assumptions'!$C$147+30)/4,1))*AH51,0)</f>
        <v>0</v>
      </c>
      <c r="AI62" s="39" t="n">
        <f aca="false">IF(31&lt;='Inputs &amp; Assumptions'!$E$147,'Inputs &amp; Assumptions'!$D$58*INDEX('Inputs &amp; Assumptions'!$C$26:$I$26,CEILING(('Inputs &amp; Assumptions'!$C$147+31)/4,1))*AI51,0)</f>
        <v>0</v>
      </c>
      <c r="AJ62" s="39" t="n">
        <f aca="false">IF(32&lt;='Inputs &amp; Assumptions'!$E$147,'Inputs &amp; Assumptions'!$D$58*INDEX('Inputs &amp; Assumptions'!$C$26:$I$26,CEILING(('Inputs &amp; Assumptions'!$C$147+32)/4,1))*AJ51,0)</f>
        <v>0</v>
      </c>
      <c r="AK62" s="39" t="n">
        <f aca="false">IF(33&lt;='Inputs &amp; Assumptions'!$E$147,'Inputs &amp; Assumptions'!$D$58*INDEX('Inputs &amp; Assumptions'!$C$26:$I$26,CEILING(('Inputs &amp; Assumptions'!$C$147+33)/4,1))*AK51,0)</f>
        <v>0</v>
      </c>
      <c r="AL62" s="39" t="n">
        <f aca="false">IF(34&lt;='Inputs &amp; Assumptions'!$E$147,'Inputs &amp; Assumptions'!$D$58*INDEX('Inputs &amp; Assumptions'!$C$26:$I$26,CEILING(('Inputs &amp; Assumptions'!$C$147+34)/4,1))*AL51,0)</f>
        <v>0</v>
      </c>
      <c r="AM62" s="39" t="n">
        <f aca="false">IF(35&lt;='Inputs &amp; Assumptions'!$E$147,'Inputs &amp; Assumptions'!$D$58*INDEX('Inputs &amp; Assumptions'!$C$26:$I$26,CEILING(('Inputs &amp; Assumptions'!$C$147+35)/4,1))*AM51,0)</f>
        <v>0</v>
      </c>
      <c r="AN62" s="39" t="n">
        <f aca="false">IF(36&lt;='Inputs &amp; Assumptions'!$E$147,'Inputs &amp; Assumptions'!$D$58*INDEX('Inputs &amp; Assumptions'!$C$26:$I$26,CEILING(('Inputs &amp; Assumptions'!$C$147+36)/4,1))*AN51,0)</f>
        <v>0</v>
      </c>
    </row>
    <row r="63" customFormat="false" ht="15" hidden="false" customHeight="false" outlineLevel="0" collapsed="false">
      <c r="B63" s="37" t="n">
        <v>9</v>
      </c>
      <c r="C63" s="38" t="n">
        <f aca="false">'Inputs &amp; Assumptions'!$C$148</f>
        <v>8</v>
      </c>
      <c r="D63" s="38" t="n">
        <f aca="false">'Inputs &amp; Assumptions'!$D$148</f>
        <v>3</v>
      </c>
      <c r="E63" s="39" t="n">
        <f aca="false">IF(1&lt;='Inputs &amp; Assumptions'!$E$148,'Inputs &amp; Assumptions'!$D$58*INDEX('Inputs &amp; Assumptions'!$C$26:$I$26,CEILING(('Inputs &amp; Assumptions'!$C$148+1)/4,1))*E52,0)</f>
        <v>504616.9017</v>
      </c>
      <c r="F63" s="39" t="n">
        <f aca="false">IF(2&lt;='Inputs &amp; Assumptions'!$E$148,'Inputs &amp; Assumptions'!$D$58*INDEX('Inputs &amp; Assumptions'!$C$26:$I$26,CEILING(('Inputs &amp; Assumptions'!$C$148+2)/4,1))*F52,0)</f>
        <v>472224.629175634</v>
      </c>
      <c r="G63" s="39" t="n">
        <f aca="false">IF(3&lt;='Inputs &amp; Assumptions'!$E$148,'Inputs &amp; Assumptions'!$D$58*INDEX('Inputs &amp; Assumptions'!$C$26:$I$26,CEILING(('Inputs &amp; Assumptions'!$C$148+3)/4,1))*G52,0)</f>
        <v>441911.675270517</v>
      </c>
      <c r="H63" s="39" t="n">
        <f aca="false">IF(4&lt;='Inputs &amp; Assumptions'!$E$148,'Inputs &amp; Assumptions'!$D$58*INDEX('Inputs &amp; Assumptions'!$C$26:$I$26,CEILING(('Inputs &amp; Assumptions'!$C$148+4)/4,1))*H52,0)</f>
        <v>413544.564757892</v>
      </c>
      <c r="I63" s="39" t="n">
        <f aca="false">IF(5&lt;='Inputs &amp; Assumptions'!$E$148,'Inputs &amp; Assumptions'!$D$58*INDEX('Inputs &amp; Assumptions'!$C$26:$I$26,CEILING(('Inputs &amp; Assumptions'!$C$148+5)/4,1))*I52,0)</f>
        <v>309598.712341972</v>
      </c>
      <c r="J63" s="39" t="n">
        <f aca="false">IF(6&lt;='Inputs &amp; Assumptions'!$E$148,'Inputs &amp; Assumptions'!$D$58*INDEX('Inputs &amp; Assumptions'!$C$26:$I$26,CEILING(('Inputs &amp; Assumptions'!$C$148+6)/4,1))*J52,0)</f>
        <v>290280.767684552</v>
      </c>
      <c r="K63" s="39" t="n">
        <f aca="false">IF(7&lt;='Inputs &amp; Assumptions'!$E$148,'Inputs &amp; Assumptions'!$D$58*INDEX('Inputs &amp; Assumptions'!$C$26:$I$26,CEILING(('Inputs &amp; Assumptions'!$C$148+7)/4,1))*K52,0)</f>
        <v>272168.199441537</v>
      </c>
      <c r="L63" s="39" t="n">
        <f aca="false">IF(8&lt;='Inputs &amp; Assumptions'!$E$148,'Inputs &amp; Assumptions'!$D$58*INDEX('Inputs &amp; Assumptions'!$C$26:$I$26,CEILING(('Inputs &amp; Assumptions'!$C$148+8)/4,1))*L52,0)</f>
        <v>255185.796076391</v>
      </c>
      <c r="M63" s="39" t="n">
        <f aca="false">IF(9&lt;='Inputs &amp; Assumptions'!$E$148,'Inputs &amp; Assumptions'!$D$58*INDEX('Inputs &amp; Assumptions'!$C$26:$I$26,CEILING(('Inputs &amp; Assumptions'!$C$148+9)/4,1))*M52,0)</f>
        <v>186530.724488139</v>
      </c>
      <c r="N63" s="39" t="n">
        <f aca="false">IF(10&lt;='Inputs &amp; Assumptions'!$E$148,'Inputs &amp; Assumptions'!$D$58*INDEX('Inputs &amp; Assumptions'!$C$26:$I$26,CEILING(('Inputs &amp; Assumptions'!$C$148+10)/4,1))*N52,0)</f>
        <v>175187.006024362</v>
      </c>
      <c r="O63" s="39" t="n">
        <f aca="false">IF(11&lt;='Inputs &amp; Assumptions'!$E$148,'Inputs &amp; Assumptions'!$D$58*INDEX('Inputs &amp; Assumptions'!$C$26:$I$26,CEILING(('Inputs &amp; Assumptions'!$C$148+11)/4,1))*O52,0)</f>
        <v>164533.146826069</v>
      </c>
      <c r="P63" s="39" t="n">
        <f aca="false">IF(12&lt;='Inputs &amp; Assumptions'!$E$148,'Inputs &amp; Assumptions'!$D$58*INDEX('Inputs &amp; Assumptions'!$C$26:$I$26,CEILING(('Inputs &amp; Assumptions'!$C$148+12)/4,1))*P52,0)</f>
        <v>154527.193647708</v>
      </c>
      <c r="Q63" s="39" t="n">
        <f aca="false">IF(13&lt;='Inputs &amp; Assumptions'!$E$148,'Inputs &amp; Assumptions'!$D$58*INDEX('Inputs &amp; Assumptions'!$C$26:$I$26,CEILING(('Inputs &amp; Assumptions'!$C$148+13)/4,1))*Q52,0)</f>
        <v>117573.463977456</v>
      </c>
      <c r="R63" s="39" t="n">
        <f aca="false">IF(14&lt;='Inputs &amp; Assumptions'!$E$148,'Inputs &amp; Assumptions'!$D$58*INDEX('Inputs &amp; Assumptions'!$C$26:$I$26,CEILING(('Inputs &amp; Assumptions'!$C$148+14)/4,1))*R52,0)</f>
        <v>110548.293436515</v>
      </c>
      <c r="S63" s="39" t="n">
        <f aca="false">IF(15&lt;='Inputs &amp; Assumptions'!$E$148,'Inputs &amp; Assumptions'!$D$58*INDEX('Inputs &amp; Assumptions'!$C$26:$I$26,CEILING(('Inputs &amp; Assumptions'!$C$148+15)/4,1))*S52,0)</f>
        <v>103942.886160682</v>
      </c>
      <c r="T63" s="39" t="n">
        <f aca="false">IF(16&lt;='Inputs &amp; Assumptions'!$E$148,'Inputs &amp; Assumptions'!$D$58*INDEX('Inputs &amp; Assumptions'!$C$26:$I$26,CEILING(('Inputs &amp; Assumptions'!$C$148+16)/4,1))*T52,0)</f>
        <v>97732.1607376698</v>
      </c>
      <c r="U63" s="39" t="n">
        <f aca="false">IF(17&lt;='Inputs &amp; Assumptions'!$E$148,'Inputs &amp; Assumptions'!$D$58*INDEX('Inputs &amp; Assumptions'!$C$26:$I$26,CEILING(('Inputs &amp; Assumptions'!$C$148+17)/4,1))*U52,0)</f>
        <v>72269.6494522544</v>
      </c>
      <c r="V63" s="39" t="n">
        <f aca="false">IF(18&lt;='Inputs &amp; Assumptions'!$E$148,'Inputs &amp; Assumptions'!$D$58*INDEX('Inputs &amp; Assumptions'!$C$26:$I$26,CEILING(('Inputs &amp; Assumptions'!$C$148+18)/4,1))*V52,0)</f>
        <v>68021.4281275584</v>
      </c>
      <c r="W63" s="39" t="n">
        <f aca="false">IF(19&lt;='Inputs &amp; Assumptions'!$E$148,'Inputs &amp; Assumptions'!$D$58*INDEX('Inputs &amp; Assumptions'!$C$26:$I$26,CEILING(('Inputs &amp; Assumptions'!$C$148+19)/4,1))*W52,0)</f>
        <v>64022.9296749171</v>
      </c>
      <c r="X63" s="39" t="n">
        <f aca="false">IF(20&lt;='Inputs &amp; Assumptions'!$E$148,'Inputs &amp; Assumptions'!$D$58*INDEX('Inputs &amp; Assumptions'!$C$26:$I$26,CEILING(('Inputs &amp; Assumptions'!$C$148+20)/4,1))*X52,0)</f>
        <v>60259.474653675</v>
      </c>
      <c r="Y63" s="39" t="n">
        <f aca="false">IF(21&lt;='Inputs &amp; Assumptions'!$E$148,'Inputs &amp; Assumptions'!$D$58*INDEX('Inputs &amp; Assumptions'!$C$26:$I$26,CEILING(('Inputs &amp; Assumptions'!$C$148+21)/4,1))*Y52,0)</f>
        <v>0</v>
      </c>
      <c r="Z63" s="39" t="n">
        <f aca="false">IF(22&lt;='Inputs &amp; Assumptions'!$E$148,'Inputs &amp; Assumptions'!$D$58*INDEX('Inputs &amp; Assumptions'!$C$26:$I$26,CEILING(('Inputs &amp; Assumptions'!$C$148+22)/4,1))*Z52,0)</f>
        <v>0</v>
      </c>
      <c r="AA63" s="39" t="n">
        <f aca="false">IF(23&lt;='Inputs &amp; Assumptions'!$E$148,'Inputs &amp; Assumptions'!$D$58*INDEX('Inputs &amp; Assumptions'!$C$26:$I$26,CEILING(('Inputs &amp; Assumptions'!$C$148+23)/4,1))*AA52,0)</f>
        <v>0</v>
      </c>
      <c r="AB63" s="39" t="n">
        <f aca="false">IF(24&lt;='Inputs &amp; Assumptions'!$E$148,'Inputs &amp; Assumptions'!$D$58*INDEX('Inputs &amp; Assumptions'!$C$26:$I$26,CEILING(('Inputs &amp; Assumptions'!$C$148+24)/4,1))*AB52,0)</f>
        <v>0</v>
      </c>
      <c r="AC63" s="39" t="n">
        <f aca="false">IF(25&lt;='Inputs &amp; Assumptions'!$E$148,'Inputs &amp; Assumptions'!$D$58*INDEX('Inputs &amp; Assumptions'!$C$26:$I$26,CEILING(('Inputs &amp; Assumptions'!$C$148+25)/4,1))*AC52,0)</f>
        <v>0</v>
      </c>
      <c r="AD63" s="39" t="n">
        <f aca="false">IF(26&lt;='Inputs &amp; Assumptions'!$E$148,'Inputs &amp; Assumptions'!$D$58*INDEX('Inputs &amp; Assumptions'!$C$26:$I$26,CEILING(('Inputs &amp; Assumptions'!$C$148+26)/4,1))*AD52,0)</f>
        <v>0</v>
      </c>
      <c r="AE63" s="39" t="n">
        <f aca="false">IF(27&lt;='Inputs &amp; Assumptions'!$E$148,'Inputs &amp; Assumptions'!$D$58*INDEX('Inputs &amp; Assumptions'!$C$26:$I$26,CEILING(('Inputs &amp; Assumptions'!$C$148+27)/4,1))*AE52,0)</f>
        <v>0</v>
      </c>
      <c r="AF63" s="39" t="n">
        <f aca="false">IF(28&lt;='Inputs &amp; Assumptions'!$E$148,'Inputs &amp; Assumptions'!$D$58*INDEX('Inputs &amp; Assumptions'!$C$26:$I$26,CEILING(('Inputs &amp; Assumptions'!$C$148+28)/4,1))*AF52,0)</f>
        <v>0</v>
      </c>
      <c r="AG63" s="39" t="n">
        <f aca="false">IF(29&lt;='Inputs &amp; Assumptions'!$E$148,'Inputs &amp; Assumptions'!$D$58*INDEX('Inputs &amp; Assumptions'!$C$26:$I$26,CEILING(('Inputs &amp; Assumptions'!$C$148+29)/4,1))*AG52,0)</f>
        <v>0</v>
      </c>
      <c r="AH63" s="39" t="n">
        <f aca="false">IF(30&lt;='Inputs &amp; Assumptions'!$E$148,'Inputs &amp; Assumptions'!$D$58*INDEX('Inputs &amp; Assumptions'!$C$26:$I$26,CEILING(('Inputs &amp; Assumptions'!$C$148+30)/4,1))*AH52,0)</f>
        <v>0</v>
      </c>
      <c r="AI63" s="39" t="n">
        <f aca="false">IF(31&lt;='Inputs &amp; Assumptions'!$E$148,'Inputs &amp; Assumptions'!$D$58*INDEX('Inputs &amp; Assumptions'!$C$26:$I$26,CEILING(('Inputs &amp; Assumptions'!$C$148+31)/4,1))*AI52,0)</f>
        <v>0</v>
      </c>
      <c r="AJ63" s="39" t="n">
        <f aca="false">IF(32&lt;='Inputs &amp; Assumptions'!$E$148,'Inputs &amp; Assumptions'!$D$58*INDEX('Inputs &amp; Assumptions'!$C$26:$I$26,CEILING(('Inputs &amp; Assumptions'!$C$148+32)/4,1))*AJ52,0)</f>
        <v>0</v>
      </c>
      <c r="AK63" s="39" t="n">
        <f aca="false">IF(33&lt;='Inputs &amp; Assumptions'!$E$148,'Inputs &amp; Assumptions'!$D$58*INDEX('Inputs &amp; Assumptions'!$C$26:$I$26,CEILING(('Inputs &amp; Assumptions'!$C$148+33)/4,1))*AK52,0)</f>
        <v>0</v>
      </c>
      <c r="AL63" s="39" t="n">
        <f aca="false">IF(34&lt;='Inputs &amp; Assumptions'!$E$148,'Inputs &amp; Assumptions'!$D$58*INDEX('Inputs &amp; Assumptions'!$C$26:$I$26,CEILING(('Inputs &amp; Assumptions'!$C$148+34)/4,1))*AL52,0)</f>
        <v>0</v>
      </c>
      <c r="AM63" s="39" t="n">
        <f aca="false">IF(35&lt;='Inputs &amp; Assumptions'!$E$148,'Inputs &amp; Assumptions'!$D$58*INDEX('Inputs &amp; Assumptions'!$C$26:$I$26,CEILING(('Inputs &amp; Assumptions'!$C$148+35)/4,1))*AM52,0)</f>
        <v>0</v>
      </c>
      <c r="AN63" s="39" t="n">
        <f aca="false">IF(36&lt;='Inputs &amp; Assumptions'!$E$148,'Inputs &amp; Assumptions'!$D$58*INDEX('Inputs &amp; Assumptions'!$C$26:$I$26,CEILING(('Inputs &amp; Assumptions'!$C$148+36)/4,1))*AN52,0)</f>
        <v>0</v>
      </c>
    </row>
    <row r="64" customFormat="false" ht="15" hidden="false" customHeight="false" outlineLevel="0" collapsed="false">
      <c r="B64" s="37" t="n">
        <v>10</v>
      </c>
      <c r="C64" s="38" t="n">
        <f aca="false">'Inputs &amp; Assumptions'!$C$149</f>
        <v>9</v>
      </c>
      <c r="D64" s="38" t="n">
        <f aca="false">'Inputs &amp; Assumptions'!$D$149</f>
        <v>3</v>
      </c>
      <c r="E64" s="39" t="n">
        <f aca="false">IF(1&lt;='Inputs &amp; Assumptions'!$E$149,'Inputs &amp; Assumptions'!$D$58*INDEX('Inputs &amp; Assumptions'!$C$26:$I$26,CEILING(('Inputs &amp; Assumptions'!$C$149+1)/4,1))*E53,0)</f>
        <v>489478.394649</v>
      </c>
      <c r="F64" s="39" t="n">
        <f aca="false">IF(2&lt;='Inputs &amp; Assumptions'!$E$149,'Inputs &amp; Assumptions'!$D$58*INDEX('Inputs &amp; Assumptions'!$C$26:$I$26,CEILING(('Inputs &amp; Assumptions'!$C$149+2)/4,1))*F53,0)</f>
        <v>458057.890300364</v>
      </c>
      <c r="G64" s="39" t="n">
        <f aca="false">IF(3&lt;='Inputs &amp; Assumptions'!$E$149,'Inputs &amp; Assumptions'!$D$58*INDEX('Inputs &amp; Assumptions'!$C$26:$I$26,CEILING(('Inputs &amp; Assumptions'!$C$149+3)/4,1))*G53,0)</f>
        <v>428654.325012401</v>
      </c>
      <c r="H64" s="39" t="n">
        <f aca="false">IF(4&lt;='Inputs &amp; Assumptions'!$E$149,'Inputs &amp; Assumptions'!$D$58*INDEX('Inputs &amp; Assumptions'!$C$26:$I$26,CEILING(('Inputs &amp; Assumptions'!$C$149+4)/4,1))*H53,0)</f>
        <v>320910.582252124</v>
      </c>
      <c r="I64" s="39" t="n">
        <f aca="false">IF(5&lt;='Inputs &amp; Assumptions'!$E$149,'Inputs &amp; Assumptions'!$D$58*INDEX('Inputs &amp; Assumptions'!$C$26:$I$26,CEILING(('Inputs &amp; Assumptions'!$C$149+5)/4,1))*I53,0)</f>
        <v>300886.813997302</v>
      </c>
      <c r="J64" s="39" t="n">
        <f aca="false">IF(6&lt;='Inputs &amp; Assumptions'!$E$149,'Inputs &amp; Assumptions'!$D$58*INDEX('Inputs &amp; Assumptions'!$C$26:$I$26,CEILING(('Inputs &amp; Assumptions'!$C$149+6)/4,1))*J53,0)</f>
        <v>282112.463235381</v>
      </c>
      <c r="K64" s="39" t="n">
        <f aca="false">IF(7&lt;='Inputs &amp; Assumptions'!$E$149,'Inputs &amp; Assumptions'!$D$58*INDEX('Inputs &amp; Assumptions'!$C$26:$I$26,CEILING(('Inputs &amp; Assumptions'!$C$149+7)/4,1))*K53,0)</f>
        <v>264509.570410911</v>
      </c>
      <c r="L64" s="39" t="n">
        <f aca="false">IF(8&lt;='Inputs &amp; Assumptions'!$E$149,'Inputs &amp; Assumptions'!$D$58*INDEX('Inputs &amp; Assumptions'!$C$26:$I$26,CEILING(('Inputs &amp; Assumptions'!$C$149+8)/4,1))*L53,0)</f>
        <v>193346.034777045</v>
      </c>
      <c r="M64" s="39" t="n">
        <f aca="false">IF(9&lt;='Inputs &amp; Assumptions'!$E$149,'Inputs &amp; Assumptions'!$D$58*INDEX('Inputs &amp; Assumptions'!$C$26:$I$26,CEILING(('Inputs &amp; Assumptions'!$C$149+9)/4,1))*M53,0)</f>
        <v>181587.848608965</v>
      </c>
      <c r="N64" s="39" t="n">
        <f aca="false">IF(10&lt;='Inputs &amp; Assumptions'!$E$149,'Inputs &amp; Assumptions'!$D$58*INDEX('Inputs &amp; Assumptions'!$C$26:$I$26,CEILING(('Inputs &amp; Assumptions'!$C$149+10)/4,1))*N53,0)</f>
        <v>170544.727231962</v>
      </c>
      <c r="O64" s="39" t="n">
        <f aca="false">IF(11&lt;='Inputs &amp; Assumptions'!$E$149,'Inputs &amp; Assumptions'!$D$58*INDEX('Inputs &amp; Assumptions'!$C$26:$I$26,CEILING(('Inputs &amp; Assumptions'!$C$149+11)/4,1))*O53,0)</f>
        <v>160173.184546382</v>
      </c>
      <c r="P64" s="39" t="n">
        <f aca="false">IF(12&lt;='Inputs &amp; Assumptions'!$E$149,'Inputs &amp; Assumptions'!$D$58*INDEX('Inputs &amp; Assumptions'!$C$26:$I$26,CEILING(('Inputs &amp; Assumptions'!$C$149+12)/4,1))*P53,0)</f>
        <v>121869.269083809</v>
      </c>
      <c r="Q64" s="39" t="n">
        <f aca="false">IF(13&lt;='Inputs &amp; Assumptions'!$E$149,'Inputs &amp; Assumptions'!$D$58*INDEX('Inputs &amp; Assumptions'!$C$26:$I$26,CEILING(('Inputs &amp; Assumptions'!$C$149+13)/4,1))*Q53,0)</f>
        <v>114587.418485465</v>
      </c>
      <c r="R64" s="39" t="n">
        <f aca="false">IF(14&lt;='Inputs &amp; Assumptions'!$E$149,'Inputs &amp; Assumptions'!$D$58*INDEX('Inputs &amp; Assumptions'!$C$26:$I$26,CEILING(('Inputs &amp; Assumptions'!$C$149+14)/4,1))*R53,0)</f>
        <v>107740.668126379</v>
      </c>
      <c r="S64" s="39" t="n">
        <f aca="false">IF(15&lt;='Inputs &amp; Assumptions'!$E$149,'Inputs &amp; Assumptions'!$D$58*INDEX('Inputs &amp; Assumptions'!$C$26:$I$26,CEILING(('Inputs &amp; Assumptions'!$C$149+15)/4,1))*S53,0)</f>
        <v>101303.0201897</v>
      </c>
      <c r="T64" s="39" t="n">
        <f aca="false">IF(16&lt;='Inputs &amp; Assumptions'!$E$149,'Inputs &amp; Assumptions'!$D$58*INDEX('Inputs &amp; Assumptions'!$C$26:$I$26,CEILING(('Inputs &amp; Assumptions'!$C$149+16)/4,1))*T53,0)</f>
        <v>74910.1800503055</v>
      </c>
      <c r="U64" s="39" t="n">
        <f aca="false">IF(17&lt;='Inputs &amp; Assumptions'!$E$149,'Inputs &amp; Assumptions'!$D$58*INDEX('Inputs &amp; Assumptions'!$C$26:$I$26,CEILING(('Inputs &amp; Assumptions'!$C$149+17)/4,1))*U53,0)</f>
        <v>70506.7406156536</v>
      </c>
      <c r="V64" s="39" t="n">
        <f aca="false">IF(18&lt;='Inputs &amp; Assumptions'!$E$149,'Inputs &amp; Assumptions'!$D$58*INDEX('Inputs &amp; Assumptions'!$C$26:$I$26,CEILING(('Inputs &amp; Assumptions'!$C$149+18)/4,1))*V53,0)</f>
        <v>66362.1482274463</v>
      </c>
      <c r="W64" s="39" t="n">
        <f aca="false">IF(19&lt;='Inputs &amp; Assumptions'!$E$149,'Inputs &amp; Assumptions'!$D$58*INDEX('Inputs &amp; Assumptions'!$C$26:$I$26,CEILING(('Inputs &amp; Assumptions'!$C$149+19)/4,1))*W53,0)</f>
        <v>62461.1870993765</v>
      </c>
      <c r="X64" s="39" t="n">
        <f aca="false">IF(20&lt;='Inputs &amp; Assumptions'!$E$149,'Inputs &amp; Assumptions'!$D$58*INDEX('Inputs &amp; Assumptions'!$C$26:$I$26,CEILING(('Inputs &amp; Assumptions'!$C$149+20)/4,1))*X53,0)</f>
        <v>0</v>
      </c>
      <c r="Y64" s="39" t="n">
        <f aca="false">IF(21&lt;='Inputs &amp; Assumptions'!$E$149,'Inputs &amp; Assumptions'!$D$58*INDEX('Inputs &amp; Assumptions'!$C$26:$I$26,CEILING(('Inputs &amp; Assumptions'!$C$149+21)/4,1))*Y53,0)</f>
        <v>0</v>
      </c>
      <c r="Z64" s="39" t="n">
        <f aca="false">IF(22&lt;='Inputs &amp; Assumptions'!$E$149,'Inputs &amp; Assumptions'!$D$58*INDEX('Inputs &amp; Assumptions'!$C$26:$I$26,CEILING(('Inputs &amp; Assumptions'!$C$149+22)/4,1))*Z53,0)</f>
        <v>0</v>
      </c>
      <c r="AA64" s="39" t="n">
        <f aca="false">IF(23&lt;='Inputs &amp; Assumptions'!$E$149,'Inputs &amp; Assumptions'!$D$58*INDEX('Inputs &amp; Assumptions'!$C$26:$I$26,CEILING(('Inputs &amp; Assumptions'!$C$149+23)/4,1))*AA53,0)</f>
        <v>0</v>
      </c>
      <c r="AB64" s="39" t="n">
        <f aca="false">IF(24&lt;='Inputs &amp; Assumptions'!$E$149,'Inputs &amp; Assumptions'!$D$58*INDEX('Inputs &amp; Assumptions'!$C$26:$I$26,CEILING(('Inputs &amp; Assumptions'!$C$149+24)/4,1))*AB53,0)</f>
        <v>0</v>
      </c>
      <c r="AC64" s="39" t="n">
        <f aca="false">IF(25&lt;='Inputs &amp; Assumptions'!$E$149,'Inputs &amp; Assumptions'!$D$58*INDEX('Inputs &amp; Assumptions'!$C$26:$I$26,CEILING(('Inputs &amp; Assumptions'!$C$149+25)/4,1))*AC53,0)</f>
        <v>0</v>
      </c>
      <c r="AD64" s="39" t="n">
        <f aca="false">IF(26&lt;='Inputs &amp; Assumptions'!$E$149,'Inputs &amp; Assumptions'!$D$58*INDEX('Inputs &amp; Assumptions'!$C$26:$I$26,CEILING(('Inputs &amp; Assumptions'!$C$149+26)/4,1))*AD53,0)</f>
        <v>0</v>
      </c>
      <c r="AE64" s="39" t="n">
        <f aca="false">IF(27&lt;='Inputs &amp; Assumptions'!$E$149,'Inputs &amp; Assumptions'!$D$58*INDEX('Inputs &amp; Assumptions'!$C$26:$I$26,CEILING(('Inputs &amp; Assumptions'!$C$149+27)/4,1))*AE53,0)</f>
        <v>0</v>
      </c>
      <c r="AF64" s="39" t="n">
        <f aca="false">IF(28&lt;='Inputs &amp; Assumptions'!$E$149,'Inputs &amp; Assumptions'!$D$58*INDEX('Inputs &amp; Assumptions'!$C$26:$I$26,CEILING(('Inputs &amp; Assumptions'!$C$149+28)/4,1))*AF53,0)</f>
        <v>0</v>
      </c>
      <c r="AG64" s="39" t="n">
        <f aca="false">IF(29&lt;='Inputs &amp; Assumptions'!$E$149,'Inputs &amp; Assumptions'!$D$58*INDEX('Inputs &amp; Assumptions'!$C$26:$I$26,CEILING(('Inputs &amp; Assumptions'!$C$149+29)/4,1))*AG53,0)</f>
        <v>0</v>
      </c>
      <c r="AH64" s="39" t="n">
        <f aca="false">IF(30&lt;='Inputs &amp; Assumptions'!$E$149,'Inputs &amp; Assumptions'!$D$58*INDEX('Inputs &amp; Assumptions'!$C$26:$I$26,CEILING(('Inputs &amp; Assumptions'!$C$149+30)/4,1))*AH53,0)</f>
        <v>0</v>
      </c>
      <c r="AI64" s="39" t="n">
        <f aca="false">IF(31&lt;='Inputs &amp; Assumptions'!$E$149,'Inputs &amp; Assumptions'!$D$58*INDEX('Inputs &amp; Assumptions'!$C$26:$I$26,CEILING(('Inputs &amp; Assumptions'!$C$149+31)/4,1))*AI53,0)</f>
        <v>0</v>
      </c>
      <c r="AJ64" s="39" t="n">
        <f aca="false">IF(32&lt;='Inputs &amp; Assumptions'!$E$149,'Inputs &amp; Assumptions'!$D$58*INDEX('Inputs &amp; Assumptions'!$C$26:$I$26,CEILING(('Inputs &amp; Assumptions'!$C$149+32)/4,1))*AJ53,0)</f>
        <v>0</v>
      </c>
      <c r="AK64" s="39" t="n">
        <f aca="false">IF(33&lt;='Inputs &amp; Assumptions'!$E$149,'Inputs &amp; Assumptions'!$D$58*INDEX('Inputs &amp; Assumptions'!$C$26:$I$26,CEILING(('Inputs &amp; Assumptions'!$C$149+33)/4,1))*AK53,0)</f>
        <v>0</v>
      </c>
      <c r="AL64" s="39" t="n">
        <f aca="false">IF(34&lt;='Inputs &amp; Assumptions'!$E$149,'Inputs &amp; Assumptions'!$D$58*INDEX('Inputs &amp; Assumptions'!$C$26:$I$26,CEILING(('Inputs &amp; Assumptions'!$C$149+34)/4,1))*AL53,0)</f>
        <v>0</v>
      </c>
      <c r="AM64" s="39" t="n">
        <f aca="false">IF(35&lt;='Inputs &amp; Assumptions'!$E$149,'Inputs &amp; Assumptions'!$D$58*INDEX('Inputs &amp; Assumptions'!$C$26:$I$26,CEILING(('Inputs &amp; Assumptions'!$C$149+35)/4,1))*AM53,0)</f>
        <v>0</v>
      </c>
      <c r="AN64" s="39" t="n">
        <f aca="false">IF(36&lt;='Inputs &amp; Assumptions'!$E$149,'Inputs &amp; Assumptions'!$D$58*INDEX('Inputs &amp; Assumptions'!$C$26:$I$26,CEILING(('Inputs &amp; Assumptions'!$C$149+36)/4,1))*AN53,0)</f>
        <v>0</v>
      </c>
    </row>
    <row r="65" customFormat="false" ht="15" hidden="false" customHeight="false" outlineLevel="0" collapsed="false">
      <c r="B65" s="37" t="n">
        <v>11</v>
      </c>
      <c r="C65" s="38" t="n">
        <f aca="false">'Inputs &amp; Assumptions'!$C$150</f>
        <v>10</v>
      </c>
      <c r="D65" s="38" t="n">
        <f aca="false">'Inputs &amp; Assumptions'!$D$150</f>
        <v>2</v>
      </c>
      <c r="E65" s="39" t="n">
        <f aca="false">IF(1&lt;='Inputs &amp; Assumptions'!$E$150,'Inputs &amp; Assumptions'!$D$58*INDEX('Inputs &amp; Assumptions'!$C$26:$I$26,CEILING(('Inputs &amp; Assumptions'!$C$150+1)/4,1))*E54,0)</f>
        <v>316529.36187302</v>
      </c>
      <c r="F65" s="39" t="n">
        <f aca="false">IF(2&lt;='Inputs &amp; Assumptions'!$E$150,'Inputs &amp; Assumptions'!$D$58*INDEX('Inputs &amp; Assumptions'!$C$26:$I$26,CEILING(('Inputs &amp; Assumptions'!$C$150+2)/4,1))*F54,0)</f>
        <v>296210.769060902</v>
      </c>
      <c r="G65" s="39" t="n">
        <f aca="false">IF(3&lt;='Inputs &amp; Assumptions'!$E$150,'Inputs &amp; Assumptions'!$D$58*INDEX('Inputs &amp; Assumptions'!$C$26:$I$26,CEILING(('Inputs &amp; Assumptions'!$C$150+3)/4,1))*G54,0)</f>
        <v>221757.170806415</v>
      </c>
      <c r="H65" s="39" t="n">
        <f aca="false">IF(4&lt;='Inputs &amp; Assumptions'!$E$150,'Inputs &amp; Assumptions'!$D$58*INDEX('Inputs &amp; Assumptions'!$C$26:$I$26,CEILING(('Inputs &amp; Assumptions'!$C$150+4)/4,1))*H54,0)</f>
        <v>207920.250359884</v>
      </c>
      <c r="I65" s="39" t="n">
        <f aca="false">IF(5&lt;='Inputs &amp; Assumptions'!$E$150,'Inputs &amp; Assumptions'!$D$58*INDEX('Inputs &amp; Assumptions'!$C$26:$I$26,CEILING(('Inputs &amp; Assumptions'!$C$150+5)/4,1))*I54,0)</f>
        <v>194946.708386064</v>
      </c>
      <c r="J65" s="39" t="n">
        <f aca="false">IF(6&lt;='Inputs &amp; Assumptions'!$E$150,'Inputs &amp; Assumptions'!$D$58*INDEX('Inputs &amp; Assumptions'!$C$26:$I$26,CEILING(('Inputs &amp; Assumptions'!$C$150+6)/4,1))*J54,0)</f>
        <v>182782.672898771</v>
      </c>
      <c r="K65" s="39" t="n">
        <f aca="false">IF(7&lt;='Inputs &amp; Assumptions'!$E$150,'Inputs &amp; Assumptions'!$D$58*INDEX('Inputs &amp; Assumptions'!$C$26:$I$26,CEILING(('Inputs &amp; Assumptions'!$C$150+7)/4,1))*K54,0)</f>
        <v>133606.904944975</v>
      </c>
      <c r="L65" s="39" t="n">
        <f aca="false">IF(8&lt;='Inputs &amp; Assumptions'!$E$150,'Inputs &amp; Assumptions'!$D$58*INDEX('Inputs &amp; Assumptions'!$C$26:$I$26,CEILING(('Inputs &amp; Assumptions'!$C$150+8)/4,1))*L54,0)</f>
        <v>125481.706703928</v>
      </c>
      <c r="M65" s="39" t="n">
        <f aca="false">IF(9&lt;='Inputs &amp; Assumptions'!$E$150,'Inputs &amp; Assumptions'!$D$58*INDEX('Inputs &amp; Assumptions'!$C$26:$I$26,CEILING(('Inputs &amp; Assumptions'!$C$150+9)/4,1))*M54,0)</f>
        <v>117850.635966871</v>
      </c>
      <c r="N65" s="39" t="n">
        <f aca="false">IF(10&lt;='Inputs &amp; Assumptions'!$E$150,'Inputs &amp; Assumptions'!$D$58*INDEX('Inputs &amp; Assumptions'!$C$26:$I$26,CEILING(('Inputs &amp; Assumptions'!$C$150+10)/4,1))*N54,0)</f>
        <v>110683.642760504</v>
      </c>
      <c r="O65" s="39" t="n">
        <f aca="false">IF(11&lt;='Inputs &amp; Assumptions'!$E$150,'Inputs &amp; Assumptions'!$D$58*INDEX('Inputs &amp; Assumptions'!$C$26:$I$26,CEILING(('Inputs &amp; Assumptions'!$C$150+11)/4,1))*O54,0)</f>
        <v>84214.6872521598</v>
      </c>
      <c r="P65" s="39" t="n">
        <f aca="false">IF(12&lt;='Inputs &amp; Assumptions'!$E$150,'Inputs &amp; Assumptions'!$D$58*INDEX('Inputs &amp; Assumptions'!$C$26:$I$26,CEILING(('Inputs &amp; Assumptions'!$C$150+12)/4,1))*P54,0)</f>
        <v>79182.7479013563</v>
      </c>
      <c r="Q65" s="39" t="n">
        <f aca="false">IF(13&lt;='Inputs &amp; Assumptions'!$E$150,'Inputs &amp; Assumptions'!$D$58*INDEX('Inputs &amp; Assumptions'!$C$26:$I$26,CEILING(('Inputs &amp; Assumptions'!$C$150+13)/4,1))*Q54,0)</f>
        <v>74451.4736062141</v>
      </c>
      <c r="R65" s="39" t="n">
        <f aca="false">IF(14&lt;='Inputs &amp; Assumptions'!$E$150,'Inputs &amp; Assumptions'!$D$58*INDEX('Inputs &amp; Assumptions'!$C$26:$I$26,CEILING(('Inputs &amp; Assumptions'!$C$150+14)/4,1))*R54,0)</f>
        <v>70002.8992305513</v>
      </c>
      <c r="S65" s="39" t="n">
        <f aca="false">IF(15&lt;='Inputs &amp; Assumptions'!$E$150,'Inputs &amp; Assumptions'!$D$58*INDEX('Inputs &amp; Assumptions'!$C$26:$I$26,CEILING(('Inputs &amp; Assumptions'!$C$150+15)/4,1))*S54,0)</f>
        <v>51764.7921610256</v>
      </c>
      <c r="T65" s="39" t="n">
        <f aca="false">IF(16&lt;='Inputs &amp; Assumptions'!$E$150,'Inputs &amp; Assumptions'!$D$58*INDEX('Inputs &amp; Assumptions'!$C$26:$I$26,CEILING(('Inputs &amp; Assumptions'!$C$150+16)/4,1))*T54,0)</f>
        <v>48721.9063079234</v>
      </c>
      <c r="U65" s="39" t="n">
        <f aca="false">IF(17&lt;='Inputs &amp; Assumptions'!$E$150,'Inputs &amp; Assumptions'!$D$58*INDEX('Inputs &amp; Assumptions'!$C$26:$I$26,CEILING(('Inputs &amp; Assumptions'!$C$150+17)/4,1))*U54,0)</f>
        <v>45857.8901832305</v>
      </c>
      <c r="V65" s="39" t="n">
        <f aca="false">IF(18&lt;='Inputs &amp; Assumptions'!$E$150,'Inputs &amp; Assumptions'!$D$58*INDEX('Inputs &amp; Assumptions'!$C$26:$I$26,CEILING(('Inputs &amp; Assumptions'!$C$150+18)/4,1))*V54,0)</f>
        <v>43162.2293012627</v>
      </c>
      <c r="W65" s="39" t="n">
        <f aca="false">IF(19&lt;='Inputs &amp; Assumptions'!$E$150,'Inputs &amp; Assumptions'!$D$58*INDEX('Inputs &amp; Assumptions'!$C$26:$I$26,CEILING(('Inputs &amp; Assumptions'!$C$150+19)/4,1))*W54,0)</f>
        <v>0</v>
      </c>
      <c r="X65" s="39" t="n">
        <f aca="false">IF(20&lt;='Inputs &amp; Assumptions'!$E$150,'Inputs &amp; Assumptions'!$D$58*INDEX('Inputs &amp; Assumptions'!$C$26:$I$26,CEILING(('Inputs &amp; Assumptions'!$C$150+20)/4,1))*X54,0)</f>
        <v>0</v>
      </c>
      <c r="Y65" s="39" t="n">
        <f aca="false">IF(21&lt;='Inputs &amp; Assumptions'!$E$150,'Inputs &amp; Assumptions'!$D$58*INDEX('Inputs &amp; Assumptions'!$C$26:$I$26,CEILING(('Inputs &amp; Assumptions'!$C$150+21)/4,1))*Y54,0)</f>
        <v>0</v>
      </c>
      <c r="Z65" s="39" t="n">
        <f aca="false">IF(22&lt;='Inputs &amp; Assumptions'!$E$150,'Inputs &amp; Assumptions'!$D$58*INDEX('Inputs &amp; Assumptions'!$C$26:$I$26,CEILING(('Inputs &amp; Assumptions'!$C$150+22)/4,1))*Z54,0)</f>
        <v>0</v>
      </c>
      <c r="AA65" s="39" t="n">
        <f aca="false">IF(23&lt;='Inputs &amp; Assumptions'!$E$150,'Inputs &amp; Assumptions'!$D$58*INDEX('Inputs &amp; Assumptions'!$C$26:$I$26,CEILING(('Inputs &amp; Assumptions'!$C$150+23)/4,1))*AA54,0)</f>
        <v>0</v>
      </c>
      <c r="AB65" s="39" t="n">
        <f aca="false">IF(24&lt;='Inputs &amp; Assumptions'!$E$150,'Inputs &amp; Assumptions'!$D$58*INDEX('Inputs &amp; Assumptions'!$C$26:$I$26,CEILING(('Inputs &amp; Assumptions'!$C$150+24)/4,1))*AB54,0)</f>
        <v>0</v>
      </c>
      <c r="AC65" s="39" t="n">
        <f aca="false">IF(25&lt;='Inputs &amp; Assumptions'!$E$150,'Inputs &amp; Assumptions'!$D$58*INDEX('Inputs &amp; Assumptions'!$C$26:$I$26,CEILING(('Inputs &amp; Assumptions'!$C$150+25)/4,1))*AC54,0)</f>
        <v>0</v>
      </c>
      <c r="AD65" s="39" t="n">
        <f aca="false">IF(26&lt;='Inputs &amp; Assumptions'!$E$150,'Inputs &amp; Assumptions'!$D$58*INDEX('Inputs &amp; Assumptions'!$C$26:$I$26,CEILING(('Inputs &amp; Assumptions'!$C$150+26)/4,1))*AD54,0)</f>
        <v>0</v>
      </c>
      <c r="AE65" s="39" t="n">
        <f aca="false">IF(27&lt;='Inputs &amp; Assumptions'!$E$150,'Inputs &amp; Assumptions'!$D$58*INDEX('Inputs &amp; Assumptions'!$C$26:$I$26,CEILING(('Inputs &amp; Assumptions'!$C$150+27)/4,1))*AE54,0)</f>
        <v>0</v>
      </c>
      <c r="AF65" s="39" t="n">
        <f aca="false">IF(28&lt;='Inputs &amp; Assumptions'!$E$150,'Inputs &amp; Assumptions'!$D$58*INDEX('Inputs &amp; Assumptions'!$C$26:$I$26,CEILING(('Inputs &amp; Assumptions'!$C$150+28)/4,1))*AF54,0)</f>
        <v>0</v>
      </c>
      <c r="AG65" s="39" t="n">
        <f aca="false">IF(29&lt;='Inputs &amp; Assumptions'!$E$150,'Inputs &amp; Assumptions'!$D$58*INDEX('Inputs &amp; Assumptions'!$C$26:$I$26,CEILING(('Inputs &amp; Assumptions'!$C$150+29)/4,1))*AG54,0)</f>
        <v>0</v>
      </c>
      <c r="AH65" s="39" t="n">
        <f aca="false">IF(30&lt;='Inputs &amp; Assumptions'!$E$150,'Inputs &amp; Assumptions'!$D$58*INDEX('Inputs &amp; Assumptions'!$C$26:$I$26,CEILING(('Inputs &amp; Assumptions'!$C$150+30)/4,1))*AH54,0)</f>
        <v>0</v>
      </c>
      <c r="AI65" s="39" t="n">
        <f aca="false">IF(31&lt;='Inputs &amp; Assumptions'!$E$150,'Inputs &amp; Assumptions'!$D$58*INDEX('Inputs &amp; Assumptions'!$C$26:$I$26,CEILING(('Inputs &amp; Assumptions'!$C$150+31)/4,1))*AI54,0)</f>
        <v>0</v>
      </c>
      <c r="AJ65" s="39" t="n">
        <f aca="false">IF(32&lt;='Inputs &amp; Assumptions'!$E$150,'Inputs &amp; Assumptions'!$D$58*INDEX('Inputs &amp; Assumptions'!$C$26:$I$26,CEILING(('Inputs &amp; Assumptions'!$C$150+32)/4,1))*AJ54,0)</f>
        <v>0</v>
      </c>
      <c r="AK65" s="39" t="n">
        <f aca="false">IF(33&lt;='Inputs &amp; Assumptions'!$E$150,'Inputs &amp; Assumptions'!$D$58*INDEX('Inputs &amp; Assumptions'!$C$26:$I$26,CEILING(('Inputs &amp; Assumptions'!$C$150+33)/4,1))*AK54,0)</f>
        <v>0</v>
      </c>
      <c r="AL65" s="39" t="n">
        <f aca="false">IF(34&lt;='Inputs &amp; Assumptions'!$E$150,'Inputs &amp; Assumptions'!$D$58*INDEX('Inputs &amp; Assumptions'!$C$26:$I$26,CEILING(('Inputs &amp; Assumptions'!$C$150+34)/4,1))*AL54,0)</f>
        <v>0</v>
      </c>
      <c r="AM65" s="39" t="n">
        <f aca="false">IF(35&lt;='Inputs &amp; Assumptions'!$E$150,'Inputs &amp; Assumptions'!$D$58*INDEX('Inputs &amp; Assumptions'!$C$26:$I$26,CEILING(('Inputs &amp; Assumptions'!$C$150+35)/4,1))*AM54,0)</f>
        <v>0</v>
      </c>
      <c r="AN65" s="39" t="n">
        <f aca="false">IF(36&lt;='Inputs &amp; Assumptions'!$E$150,'Inputs &amp; Assumptions'!$D$58*INDEX('Inputs &amp; Assumptions'!$C$26:$I$26,CEILING(('Inputs &amp; Assumptions'!$C$150+36)/4,1))*AN54,0)</f>
        <v>0</v>
      </c>
    </row>
    <row r="66" customFormat="false" ht="15" hidden="false" customHeight="false" outlineLevel="0" collapsed="false">
      <c r="A66" s="14" t="s">
        <v>83</v>
      </c>
      <c r="B66" s="37" t="n">
        <v>1</v>
      </c>
      <c r="C66" s="38" t="n">
        <f aca="false">'Inputs &amp; Assumptions'!$C$140</f>
        <v>0</v>
      </c>
      <c r="D66" s="38" t="n">
        <f aca="false">'Inputs &amp; Assumptions'!$D$140</f>
        <v>1</v>
      </c>
      <c r="E66" s="39" t="n">
        <f aca="false">IF(1&gt;'Inputs &amp; Assumptions'!$E$140,0,IF(1='Inputs &amp; Assumptions'!$E$140,E44-E55,IF(('Inputs &amp; Assumptions'!$C$140+1)&gt;'Inputs &amp; Assumptions'!$C$11,'Inputs &amp; Assumptions'!$C$12*(E44-E55),0)))</f>
        <v>0</v>
      </c>
      <c r="F66" s="39" t="n">
        <f aca="false">IF(2&gt;'Inputs &amp; Assumptions'!$E$140,0,IF(2='Inputs &amp; Assumptions'!$E$140,F44-F55,IF(('Inputs &amp; Assumptions'!$C$140+2)&gt;'Inputs &amp; Assumptions'!$C$11,'Inputs &amp; Assumptions'!$C$12*(F44-F55),0)))</f>
        <v>0</v>
      </c>
      <c r="G66" s="39" t="n">
        <f aca="false">IF(3&gt;'Inputs &amp; Assumptions'!$E$140,0,IF(3='Inputs &amp; Assumptions'!$E$140,G44-G55,IF(('Inputs &amp; Assumptions'!$C$140+3)&gt;'Inputs &amp; Assumptions'!$C$11,'Inputs &amp; Assumptions'!$C$12*(G44-G55),0)))</f>
        <v>0</v>
      </c>
      <c r="H66" s="39" t="n">
        <f aca="false">IF(4&gt;'Inputs &amp; Assumptions'!$E$140,0,IF(4='Inputs &amp; Assumptions'!$E$140,H44-H55,IF(('Inputs &amp; Assumptions'!$C$140+4)&gt;'Inputs &amp; Assumptions'!$C$11,'Inputs &amp; Assumptions'!$C$12*(H44-H55),0)))</f>
        <v>0</v>
      </c>
      <c r="I66" s="39" t="n">
        <f aca="false">IF(5&gt;'Inputs &amp; Assumptions'!$E$140,0,IF(5='Inputs &amp; Assumptions'!$E$140,I44-I55,IF(('Inputs &amp; Assumptions'!$C$140+5)&gt;'Inputs &amp; Assumptions'!$C$11,'Inputs &amp; Assumptions'!$C$12*(I44-I55),0)))</f>
        <v>517435.253829232</v>
      </c>
      <c r="J66" s="39" t="n">
        <f aca="false">IF(6&gt;'Inputs &amp; Assumptions'!$E$140,0,IF(6='Inputs &amp; Assumptions'!$E$140,J44-J55,IF(('Inputs &amp; Assumptions'!$C$140+6)&gt;'Inputs &amp; Assumptions'!$C$11,'Inputs &amp; Assumptions'!$C$12*(J44-J55),0)))</f>
        <v>483633.510842795</v>
      </c>
      <c r="K66" s="39" t="n">
        <f aca="false">IF(7&gt;'Inputs &amp; Assumptions'!$E$140,0,IF(7='Inputs &amp; Assumptions'!$E$140,K44-K55,IF(('Inputs &amp; Assumptions'!$C$140+7)&gt;'Inputs &amp; Assumptions'!$C$11,'Inputs &amp; Assumptions'!$C$12*(K44-K55),0)))</f>
        <v>452039.885336691</v>
      </c>
      <c r="L66" s="39" t="n">
        <f aca="false">IF(8&gt;'Inputs &amp; Assumptions'!$E$140,0,IF(8='Inputs &amp; Assumptions'!$E$140,L44-L55,IF(('Inputs &amp; Assumptions'!$C$140+8)&gt;'Inputs &amp; Assumptions'!$C$11,'Inputs &amp; Assumptions'!$C$12*(L44-L55),0)))</f>
        <v>422510.130820173</v>
      </c>
      <c r="M66" s="39" t="n">
        <f aca="false">IF(9&gt;'Inputs &amp; Assumptions'!$E$140,0,IF(9='Inputs &amp; Assumptions'!$E$140,M44-M55,IF(('Inputs &amp; Assumptions'!$C$140+9)&gt;'Inputs &amp; Assumptions'!$C$11,'Inputs &amp; Assumptions'!$C$12*(M44-M55),0)))</f>
        <v>395388.440572133</v>
      </c>
      <c r="N66" s="39" t="n">
        <f aca="false">IF(10&gt;'Inputs &amp; Assumptions'!$E$140,0,IF(10='Inputs &amp; Assumptions'!$E$140,N44-N55,IF(('Inputs &amp; Assumptions'!$C$140+10)&gt;'Inputs &amp; Assumptions'!$C$11,'Inputs &amp; Assumptions'!$C$12*(N44-N55),0)))</f>
        <v>370007.740724685</v>
      </c>
      <c r="O66" s="39" t="n">
        <f aca="false">IF(11&gt;'Inputs &amp; Assumptions'!$E$140,0,IF(11='Inputs &amp; Assumptions'!$E$140,O44-O55,IF(('Inputs &amp; Assumptions'!$C$140+11)&gt;'Inputs &amp; Assumptions'!$C$11,'Inputs &amp; Assumptions'!$C$12*(O44-O55),0)))</f>
        <v>346256.273951968</v>
      </c>
      <c r="P66" s="39" t="n">
        <f aca="false">IF(12&gt;'Inputs &amp; Assumptions'!$E$140,0,IF(12='Inputs &amp; Assumptions'!$E$140,P44-P55,IF(('Inputs &amp; Assumptions'!$C$140+12)&gt;'Inputs &amp; Assumptions'!$C$11,'Inputs &amp; Assumptions'!$C$12*(P44-P55),0)))</f>
        <v>324029.456833203</v>
      </c>
      <c r="Q66" s="39" t="n">
        <f aca="false">IF(13&gt;'Inputs &amp; Assumptions'!$E$140,0,IF(13='Inputs &amp; Assumptions'!$E$140,Q44-Q55,IF(('Inputs &amp; Assumptions'!$C$140+13)&gt;'Inputs &amp; Assumptions'!$C$11,'Inputs &amp; Assumptions'!$C$12*(Q44-Q55),0)))</f>
        <v>303811.081029483</v>
      </c>
      <c r="R66" s="39" t="n">
        <f aca="false">IF(14&gt;'Inputs &amp; Assumptions'!$E$140,0,IF(14='Inputs &amp; Assumptions'!$E$140,R44-R55,IF(('Inputs &amp; Assumptions'!$C$140+14)&gt;'Inputs &amp; Assumptions'!$C$11,'Inputs &amp; Assumptions'!$C$12*(R44-R55),0)))</f>
        <v>284854.265591712</v>
      </c>
      <c r="S66" s="39" t="n">
        <f aca="false">IF(15&gt;'Inputs &amp; Assumptions'!$E$140,0,IF(15='Inputs &amp; Assumptions'!$E$140,S44-S55,IF(('Inputs &amp; Assumptions'!$C$140+15)&gt;'Inputs &amp; Assumptions'!$C$11,'Inputs &amp; Assumptions'!$C$12*(S44-S55),0)))</f>
        <v>267080.29328897</v>
      </c>
      <c r="T66" s="39" t="n">
        <f aca="false">IF(16&gt;'Inputs &amp; Assumptions'!$E$140,0,IF(16='Inputs &amp; Assumptions'!$E$140,T44-T55,IF(('Inputs &amp; Assumptions'!$C$140+16)&gt;'Inputs &amp; Assumptions'!$C$11,'Inputs &amp; Assumptions'!$C$12*(T44-T55),0)))</f>
        <v>250415.358587482</v>
      </c>
      <c r="U66" s="39" t="n">
        <f aca="false">IF(17&gt;'Inputs &amp; Assumptions'!$E$140,0,IF(17='Inputs &amp; Assumptions'!$E$140,U44-U55,IF(('Inputs &amp; Assumptions'!$C$140+17)&gt;'Inputs &amp; Assumptions'!$C$11,'Inputs &amp; Assumptions'!$C$12*(U44-U55),0)))</f>
        <v>235186.546633757</v>
      </c>
      <c r="V66" s="39" t="n">
        <f aca="false">IF(18&gt;'Inputs &amp; Assumptions'!$E$140,0,IF(18='Inputs &amp; Assumptions'!$E$140,V44-V55,IF(('Inputs &amp; Assumptions'!$C$140+18)&gt;'Inputs &amp; Assumptions'!$C$11,'Inputs &amp; Assumptions'!$C$12*(V44-V55),0)))</f>
        <v>220883.862832994</v>
      </c>
      <c r="W66" s="39" t="n">
        <f aca="false">IF(19&gt;'Inputs &amp; Assumptions'!$E$140,0,IF(19='Inputs &amp; Assumptions'!$E$140,W44-W55,IF(('Inputs &amp; Assumptions'!$C$140+19)&gt;'Inputs &amp; Assumptions'!$C$11,'Inputs &amp; Assumptions'!$C$12*(W44-W55),0)))</f>
        <v>207450.985434138</v>
      </c>
      <c r="X66" s="39" t="n">
        <f aca="false">IF(20&gt;'Inputs &amp; Assumptions'!$E$140,0,IF(20='Inputs &amp; Assumptions'!$E$140,X44-X55,IF(('Inputs &amp; Assumptions'!$C$140+20)&gt;'Inputs &amp; Assumptions'!$C$11,'Inputs &amp; Assumptions'!$C$12*(X44-X55),0)))</f>
        <v>194835.017848876</v>
      </c>
      <c r="Y66" s="39" t="n">
        <f aca="false">IF(21&gt;'Inputs &amp; Assumptions'!$E$140,0,IF(21='Inputs &amp; Assumptions'!$E$140,Y44-Y55,IF(('Inputs &amp; Assumptions'!$C$140+21)&gt;'Inputs &amp; Assumptions'!$C$11,'Inputs &amp; Assumptions'!$C$12*(Y44-Y55),0)))</f>
        <v>183193.366906296</v>
      </c>
      <c r="Z66" s="39" t="n">
        <f aca="false">IF(22&gt;'Inputs &amp; Assumptions'!$E$140,0,IF(22='Inputs &amp; Assumptions'!$E$140,Z44-Z55,IF(('Inputs &amp; Assumptions'!$C$140+22)&gt;'Inputs &amp; Assumptions'!$C$11,'Inputs &amp; Assumptions'!$C$12*(Z44-Z55),0)))</f>
        <v>172247.320060787</v>
      </c>
      <c r="AA66" s="39" t="n">
        <f aca="false">IF(23&gt;'Inputs &amp; Assumptions'!$E$140,0,IF(23='Inputs &amp; Assumptions'!$E$140,AA44-AA55,IF(('Inputs &amp; Assumptions'!$C$140+23)&gt;'Inputs &amp; Assumptions'!$C$11,'Inputs &amp; Assumptions'!$C$12*(AA44-AA55),0)))</f>
        <v>161955.314044199</v>
      </c>
      <c r="AB66" s="39" t="n">
        <f aca="false">IF(24&gt;'Inputs &amp; Assumptions'!$E$140,0,IF(24='Inputs &amp; Assumptions'!$E$140,AB44-AB55,IF(('Inputs &amp; Assumptions'!$C$140+24)&gt;'Inputs &amp; Assumptions'!$C$11,'Inputs &amp; Assumptions'!$C$12*(AB44-AB55),0)))</f>
        <v>152278.269048822</v>
      </c>
      <c r="AC66" s="39" t="n">
        <f aca="false">IF(25&gt;'Inputs &amp; Assumptions'!$E$140,0,IF(25='Inputs &amp; Assumptions'!$E$140,AC44-AC55,IF(('Inputs &amp; Assumptions'!$C$140+25)&gt;'Inputs &amp; Assumptions'!$C$11,'Inputs &amp; Assumptions'!$C$12*(AC44-AC55),0)))</f>
        <v>143326.90710416</v>
      </c>
      <c r="AD66" s="39" t="n">
        <f aca="false">IF(26&gt;'Inputs &amp; Assumptions'!$E$140,0,IF(26='Inputs &amp; Assumptions'!$E$140,AD44-AD55,IF(('Inputs &amp; Assumptions'!$C$140+26)&gt;'Inputs &amp; Assumptions'!$C$11,'Inputs &amp; Assumptions'!$C$12*(AD44-AD55),0)))</f>
        <v>134901.732390052</v>
      </c>
      <c r="AE66" s="39" t="n">
        <f aca="false">IF(27&gt;'Inputs &amp; Assumptions'!$E$140,0,IF(27='Inputs &amp; Assumptions'!$E$140,AE44-AE55,IF(('Inputs &amp; Assumptions'!$C$140+27)&gt;'Inputs &amp; Assumptions'!$C$11,'Inputs &amp; Assumptions'!$C$12*(AE44-AE55),0)))</f>
        <v>126971.814082416</v>
      </c>
      <c r="AF66" s="39" t="n">
        <f aca="false">IF(28&gt;'Inputs &amp; Assumptions'!$E$140,0,IF(28='Inputs &amp; Assumptions'!$E$140,AF44-AF55,IF(('Inputs &amp; Assumptions'!$C$140+28)&gt;'Inputs &amp; Assumptions'!$C$11,'Inputs &amp; Assumptions'!$C$12*(AF44-AF55),0)))</f>
        <v>3983601.31871529</v>
      </c>
      <c r="AG66" s="39" t="n">
        <f aca="false">IF(29&gt;'Inputs &amp; Assumptions'!$E$140,0,IF(29='Inputs &amp; Assumptions'!$E$140,AG44-AG55,IF(('Inputs &amp; Assumptions'!$C$140+29)&gt;'Inputs &amp; Assumptions'!$C$11,'Inputs &amp; Assumptions'!$C$12*(AG44-AG55),0)))</f>
        <v>0</v>
      </c>
      <c r="AH66" s="39" t="n">
        <f aca="false">IF(30&gt;'Inputs &amp; Assumptions'!$E$140,0,IF(30='Inputs &amp; Assumptions'!$E$140,AH44-AH55,IF(('Inputs &amp; Assumptions'!$C$140+30)&gt;'Inputs &amp; Assumptions'!$C$11,'Inputs &amp; Assumptions'!$C$12*(AH44-AH55),0)))</f>
        <v>0</v>
      </c>
      <c r="AI66" s="39" t="n">
        <f aca="false">IF(31&gt;'Inputs &amp; Assumptions'!$E$140,0,IF(31='Inputs &amp; Assumptions'!$E$140,AI44-AI55,IF(('Inputs &amp; Assumptions'!$C$140+31)&gt;'Inputs &amp; Assumptions'!$C$11,'Inputs &amp; Assumptions'!$C$12*(AI44-AI55),0)))</f>
        <v>0</v>
      </c>
      <c r="AJ66" s="39" t="n">
        <f aca="false">IF(32&gt;'Inputs &amp; Assumptions'!$E$140,0,IF(32='Inputs &amp; Assumptions'!$E$140,AJ44-AJ55,IF(('Inputs &amp; Assumptions'!$C$140+32)&gt;'Inputs &amp; Assumptions'!$C$11,'Inputs &amp; Assumptions'!$C$12*(AJ44-AJ55),0)))</f>
        <v>0</v>
      </c>
      <c r="AK66" s="39" t="n">
        <f aca="false">IF(33&gt;'Inputs &amp; Assumptions'!$E$140,0,IF(33='Inputs &amp; Assumptions'!$E$140,AK44-AK55,IF(('Inputs &amp; Assumptions'!$C$140+33)&gt;'Inputs &amp; Assumptions'!$C$11,'Inputs &amp; Assumptions'!$C$12*(AK44-AK55),0)))</f>
        <v>0</v>
      </c>
      <c r="AL66" s="39" t="n">
        <f aca="false">IF(34&gt;'Inputs &amp; Assumptions'!$E$140,0,IF(34='Inputs &amp; Assumptions'!$E$140,AL44-AL55,IF(('Inputs &amp; Assumptions'!$C$140+34)&gt;'Inputs &amp; Assumptions'!$C$11,'Inputs &amp; Assumptions'!$C$12*(AL44-AL55),0)))</f>
        <v>0</v>
      </c>
      <c r="AM66" s="39" t="n">
        <f aca="false">IF(35&gt;'Inputs &amp; Assumptions'!$E$140,0,IF(35='Inputs &amp; Assumptions'!$E$140,AM44-AM55,IF(('Inputs &amp; Assumptions'!$C$140+35)&gt;'Inputs &amp; Assumptions'!$C$11,'Inputs &amp; Assumptions'!$C$12*(AM44-AM55),0)))</f>
        <v>0</v>
      </c>
      <c r="AN66" s="39" t="n">
        <f aca="false">IF(36&gt;'Inputs &amp; Assumptions'!$E$140,0,IF(36='Inputs &amp; Assumptions'!$E$140,AN44-AN55,IF(('Inputs &amp; Assumptions'!$C$140+36)&gt;'Inputs &amp; Assumptions'!$C$11,'Inputs &amp; Assumptions'!$C$12*(AN44-AN55),0)))</f>
        <v>0</v>
      </c>
    </row>
    <row r="67" customFormat="false" ht="15" hidden="false" customHeight="false" outlineLevel="0" collapsed="false">
      <c r="B67" s="37" t="n">
        <v>2</v>
      </c>
      <c r="C67" s="38" t="n">
        <f aca="false">'Inputs &amp; Assumptions'!$C$141</f>
        <v>1</v>
      </c>
      <c r="D67" s="38" t="n">
        <f aca="false">'Inputs &amp; Assumptions'!$D$141</f>
        <v>3</v>
      </c>
      <c r="E67" s="39" t="n">
        <f aca="false">IF(1&gt;'Inputs &amp; Assumptions'!$E$141,0,IF(1='Inputs &amp; Assumptions'!$E$141,E45-E56,IF(('Inputs &amp; Assumptions'!$C$141+1)&gt;'Inputs &amp; Assumptions'!$C$11,'Inputs &amp; Assumptions'!$C$12*(E45-E56),0)))</f>
        <v>0</v>
      </c>
      <c r="F67" s="39" t="n">
        <f aca="false">IF(2&gt;'Inputs &amp; Assumptions'!$E$141,0,IF(2='Inputs &amp; Assumptions'!$E$141,F45-F56,IF(('Inputs &amp; Assumptions'!$C$141+2)&gt;'Inputs &amp; Assumptions'!$C$11,'Inputs &amp; Assumptions'!$C$12*(F45-F56),0)))</f>
        <v>0</v>
      </c>
      <c r="G67" s="39" t="n">
        <f aca="false">IF(3&gt;'Inputs &amp; Assumptions'!$E$141,0,IF(3='Inputs &amp; Assumptions'!$E$141,G45-G56,IF(('Inputs &amp; Assumptions'!$C$141+3)&gt;'Inputs &amp; Assumptions'!$C$11,'Inputs &amp; Assumptions'!$C$12*(G45-G56),0)))</f>
        <v>0</v>
      </c>
      <c r="H67" s="39" t="n">
        <f aca="false">IF(4&gt;'Inputs &amp; Assumptions'!$E$141,0,IF(4='Inputs &amp; Assumptions'!$E$141,H45-H56,IF(('Inputs &amp; Assumptions'!$C$141+4)&gt;'Inputs &amp; Assumptions'!$C$11,'Inputs &amp; Assumptions'!$C$12*(H45-H56),0)))</f>
        <v>1606508.69553739</v>
      </c>
      <c r="I67" s="39" t="n">
        <f aca="false">IF(5&gt;'Inputs &amp; Assumptions'!$E$141,0,IF(5='Inputs &amp; Assumptions'!$E$141,I45-I56,IF(('Inputs &amp; Assumptions'!$C$141+5)&gt;'Inputs &amp; Assumptions'!$C$11,'Inputs &amp; Assumptions'!$C$12*(I45-I56),0)))</f>
        <v>1501562.63005351</v>
      </c>
      <c r="J67" s="39" t="n">
        <f aca="false">IF(6&gt;'Inputs &amp; Assumptions'!$E$141,0,IF(6='Inputs &amp; Assumptions'!$E$141,J45-J56,IF(('Inputs &amp; Assumptions'!$C$141+6)&gt;'Inputs &amp; Assumptions'!$C$11,'Inputs &amp; Assumptions'!$C$12*(J45-J56),0)))</f>
        <v>1403472.22410707</v>
      </c>
      <c r="K67" s="39" t="n">
        <f aca="false">IF(7&gt;'Inputs &amp; Assumptions'!$E$141,0,IF(7='Inputs &amp; Assumptions'!$E$141,K45-K56,IF(('Inputs &amp; Assumptions'!$C$141+7)&gt;'Inputs &amp; Assumptions'!$C$11,'Inputs &amp; Assumptions'!$C$12*(K45-K56),0)))</f>
        <v>1311789.62796234</v>
      </c>
      <c r="L67" s="39" t="n">
        <f aca="false">IF(8&gt;'Inputs &amp; Assumptions'!$E$141,0,IF(8='Inputs &amp; Assumptions'!$E$141,L45-L56,IF(('Inputs &amp; Assumptions'!$C$141+8)&gt;'Inputs &amp; Assumptions'!$C$11,'Inputs &amp; Assumptions'!$C$12*(L45-L56),0)))</f>
        <v>1227583.47676042</v>
      </c>
      <c r="M67" s="39" t="n">
        <f aca="false">IF(9&gt;'Inputs &amp; Assumptions'!$E$141,0,IF(9='Inputs &amp; Assumptions'!$E$141,M45-M56,IF(('Inputs &amp; Assumptions'!$C$141+9)&gt;'Inputs &amp; Assumptions'!$C$11,'Inputs &amp; Assumptions'!$C$12*(M45-M56),0)))</f>
        <v>1148782.67085862</v>
      </c>
      <c r="N67" s="39" t="n">
        <f aca="false">IF(10&gt;'Inputs &amp; Assumptions'!$E$141,0,IF(10='Inputs &amp; Assumptions'!$E$141,N45-N56,IF(('Inputs &amp; Assumptions'!$C$141+10)&gt;'Inputs &amp; Assumptions'!$C$11,'Inputs &amp; Assumptions'!$C$12*(N45-N56),0)))</f>
        <v>1075040.23135578</v>
      </c>
      <c r="O67" s="39" t="n">
        <f aca="false">IF(11&gt;'Inputs &amp; Assumptions'!$E$141,0,IF(11='Inputs &amp; Assumptions'!$E$141,O45-O56,IF(('Inputs &amp; Assumptions'!$C$141+11)&gt;'Inputs &amp; Assumptions'!$C$11,'Inputs &amp; Assumptions'!$C$12*(O45-O56),0)))</f>
        <v>1006031.45255463</v>
      </c>
      <c r="P67" s="39" t="n">
        <f aca="false">IF(12&gt;'Inputs &amp; Assumptions'!$E$141,0,IF(12='Inputs &amp; Assumptions'!$E$141,P45-P56,IF(('Inputs &amp; Assumptions'!$C$141+12)&gt;'Inputs &amp; Assumptions'!$C$11,'Inputs &amp; Assumptions'!$C$12*(P45-P56),0)))</f>
        <v>943258.388102713</v>
      </c>
      <c r="Q67" s="39" t="n">
        <f aca="false">IF(13&gt;'Inputs &amp; Assumptions'!$E$141,0,IF(13='Inputs &amp; Assumptions'!$E$141,Q45-Q56,IF(('Inputs &amp; Assumptions'!$C$141+13)&gt;'Inputs &amp; Assumptions'!$C$11,'Inputs &amp; Assumptions'!$C$12*(Q45-Q56),0)))</f>
        <v>884402.157076506</v>
      </c>
      <c r="R67" s="39" t="n">
        <f aca="false">IF(14&gt;'Inputs &amp; Assumptions'!$E$141,0,IF(14='Inputs &amp; Assumptions'!$E$141,R45-R56,IF(('Inputs &amp; Assumptions'!$C$141+14)&gt;'Inputs &amp; Assumptions'!$C$11,'Inputs &amp; Assumptions'!$C$12*(R45-R56),0)))</f>
        <v>829218.361911248</v>
      </c>
      <c r="S67" s="39" t="n">
        <f aca="false">IF(15&gt;'Inputs &amp; Assumptions'!$E$141,0,IF(15='Inputs &amp; Assumptions'!$E$141,S45-S56,IF(('Inputs &amp; Assumptions'!$C$141+15)&gt;'Inputs &amp; Assumptions'!$C$11,'Inputs &amp; Assumptions'!$C$12*(S45-S56),0)))</f>
        <v>777477.854648983</v>
      </c>
      <c r="T67" s="39" t="n">
        <f aca="false">IF(16&gt;'Inputs &amp; Assumptions'!$E$141,0,IF(16='Inputs &amp; Assumptions'!$E$141,T45-T56,IF(('Inputs &amp; Assumptions'!$C$141+16)&gt;'Inputs &amp; Assumptions'!$C$11,'Inputs &amp; Assumptions'!$C$12*(T45-T56),0)))</f>
        <v>730196.153904184</v>
      </c>
      <c r="U67" s="39" t="n">
        <f aca="false">IF(17&gt;'Inputs &amp; Assumptions'!$E$141,0,IF(17='Inputs &amp; Assumptions'!$E$141,U45-U56,IF(('Inputs &amp; Assumptions'!$C$141+17)&gt;'Inputs &amp; Assumptions'!$C$11,'Inputs &amp; Assumptions'!$C$12*(U45-U56),0)))</f>
        <v>685789.852390312</v>
      </c>
      <c r="V67" s="39" t="n">
        <f aca="false">IF(18&gt;'Inputs &amp; Assumptions'!$E$141,0,IF(18='Inputs &amp; Assumptions'!$E$141,V45-V56,IF(('Inputs &amp; Assumptions'!$C$141+18)&gt;'Inputs &amp; Assumptions'!$C$11,'Inputs &amp; Assumptions'!$C$12*(V45-V56),0)))</f>
        <v>644084.084977582</v>
      </c>
      <c r="W67" s="39" t="n">
        <f aca="false">IF(19&gt;'Inputs &amp; Assumptions'!$E$141,0,IF(19='Inputs &amp; Assumptions'!$E$141,W45-W56,IF(('Inputs &amp; Assumptions'!$C$141+19)&gt;'Inputs &amp; Assumptions'!$C$11,'Inputs &amp; Assumptions'!$C$12*(W45-W56),0)))</f>
        <v>604914.620820758</v>
      </c>
      <c r="X67" s="39" t="n">
        <f aca="false">IF(20&gt;'Inputs &amp; Assumptions'!$E$141,0,IF(20='Inputs &amp; Assumptions'!$E$141,X45-X56,IF(('Inputs &amp; Assumptions'!$C$141+20)&gt;'Inputs &amp; Assumptions'!$C$11,'Inputs &amp; Assumptions'!$C$12*(X45-X56),0)))</f>
        <v>568770.169256506</v>
      </c>
      <c r="Y67" s="39" t="n">
        <f aca="false">IF(21&gt;'Inputs &amp; Assumptions'!$E$141,0,IF(21='Inputs &amp; Assumptions'!$E$141,Y45-Y56,IF(('Inputs &amp; Assumptions'!$C$141+21)&gt;'Inputs &amp; Assumptions'!$C$11,'Inputs &amp; Assumptions'!$C$12*(Y45-Y56),0)))</f>
        <v>534785.396651754</v>
      </c>
      <c r="Z67" s="39" t="n">
        <f aca="false">IF(22&gt;'Inputs &amp; Assumptions'!$E$141,0,IF(22='Inputs &amp; Assumptions'!$E$141,Z45-Z56,IF(('Inputs &amp; Assumptions'!$C$141+22)&gt;'Inputs &amp; Assumptions'!$C$11,'Inputs &amp; Assumptions'!$C$12*(Z45-Z56),0)))</f>
        <v>502831.259321891</v>
      </c>
      <c r="AA67" s="39" t="n">
        <f aca="false">IF(23&gt;'Inputs &amp; Assumptions'!$E$141,0,IF(23='Inputs &amp; Assumptions'!$E$141,AA45-AA56,IF(('Inputs &amp; Assumptions'!$C$141+23)&gt;'Inputs &amp; Assumptions'!$C$11,'Inputs &amp; Assumptions'!$C$12*(AA45-AA56),0)))</f>
        <v>472786.424113755</v>
      </c>
      <c r="AB67" s="39" t="n">
        <f aca="false">IF(24&gt;'Inputs &amp; Assumptions'!$E$141,0,IF(24='Inputs &amp; Assumptions'!$E$141,AB45-AB56,IF(('Inputs &amp; Assumptions'!$C$141+24)&gt;'Inputs &amp; Assumptions'!$C$11,'Inputs &amp; Assumptions'!$C$12*(AB45-AB56),0)))</f>
        <v>444994.655588936</v>
      </c>
      <c r="AC67" s="39" t="n">
        <f aca="false">IF(25&gt;'Inputs &amp; Assumptions'!$E$141,0,IF(25='Inputs &amp; Assumptions'!$E$141,AC45-AC56,IF(('Inputs &amp; Assumptions'!$C$141+25)&gt;'Inputs &amp; Assumptions'!$C$11,'Inputs &amp; Assumptions'!$C$12*(AC45-AC56),0)))</f>
        <v>418836.568486306</v>
      </c>
      <c r="AD67" s="39" t="n">
        <f aca="false">IF(26&gt;'Inputs &amp; Assumptions'!$E$141,0,IF(26='Inputs &amp; Assumptions'!$E$141,AD45-AD56,IF(('Inputs &amp; Assumptions'!$C$141+26)&gt;'Inputs &amp; Assumptions'!$C$11,'Inputs &amp; Assumptions'!$C$12*(AD45-AD56),0)))</f>
        <v>394216.130234678</v>
      </c>
      <c r="AE67" s="39" t="n">
        <f aca="false">IF(27&gt;'Inputs &amp; Assumptions'!$E$141,0,IF(27='Inputs &amp; Assumptions'!$E$141,AE45-AE56,IF(('Inputs &amp; Assumptions'!$C$141+27)&gt;'Inputs &amp; Assumptions'!$C$11,'Inputs &amp; Assumptions'!$C$12*(AE45-AE56),0)))</f>
        <v>12368098.4446073</v>
      </c>
      <c r="AF67" s="39" t="n">
        <f aca="false">IF(28&gt;'Inputs &amp; Assumptions'!$E$141,0,IF(28='Inputs &amp; Assumptions'!$E$141,AF45-AF56,IF(('Inputs &amp; Assumptions'!$C$141+28)&gt;'Inputs &amp; Assumptions'!$C$11,'Inputs &amp; Assumptions'!$C$12*(AF45-AF56),0)))</f>
        <v>0</v>
      </c>
      <c r="AG67" s="39" t="n">
        <f aca="false">IF(29&gt;'Inputs &amp; Assumptions'!$E$141,0,IF(29='Inputs &amp; Assumptions'!$E$141,AG45-AG56,IF(('Inputs &amp; Assumptions'!$C$141+29)&gt;'Inputs &amp; Assumptions'!$C$11,'Inputs &amp; Assumptions'!$C$12*(AG45-AG56),0)))</f>
        <v>0</v>
      </c>
      <c r="AH67" s="39" t="n">
        <f aca="false">IF(30&gt;'Inputs &amp; Assumptions'!$E$141,0,IF(30='Inputs &amp; Assumptions'!$E$141,AH45-AH56,IF(('Inputs &amp; Assumptions'!$C$141+30)&gt;'Inputs &amp; Assumptions'!$C$11,'Inputs &amp; Assumptions'!$C$12*(AH45-AH56),0)))</f>
        <v>0</v>
      </c>
      <c r="AI67" s="39" t="n">
        <f aca="false">IF(31&gt;'Inputs &amp; Assumptions'!$E$141,0,IF(31='Inputs &amp; Assumptions'!$E$141,AI45-AI56,IF(('Inputs &amp; Assumptions'!$C$141+31)&gt;'Inputs &amp; Assumptions'!$C$11,'Inputs &amp; Assumptions'!$C$12*(AI45-AI56),0)))</f>
        <v>0</v>
      </c>
      <c r="AJ67" s="39" t="n">
        <f aca="false">IF(32&gt;'Inputs &amp; Assumptions'!$E$141,0,IF(32='Inputs &amp; Assumptions'!$E$141,AJ45-AJ56,IF(('Inputs &amp; Assumptions'!$C$141+32)&gt;'Inputs &amp; Assumptions'!$C$11,'Inputs &amp; Assumptions'!$C$12*(AJ45-AJ56),0)))</f>
        <v>0</v>
      </c>
      <c r="AK67" s="39" t="n">
        <f aca="false">IF(33&gt;'Inputs &amp; Assumptions'!$E$141,0,IF(33='Inputs &amp; Assumptions'!$E$141,AK45-AK56,IF(('Inputs &amp; Assumptions'!$C$141+33)&gt;'Inputs &amp; Assumptions'!$C$11,'Inputs &amp; Assumptions'!$C$12*(AK45-AK56),0)))</f>
        <v>0</v>
      </c>
      <c r="AL67" s="39" t="n">
        <f aca="false">IF(34&gt;'Inputs &amp; Assumptions'!$E$141,0,IF(34='Inputs &amp; Assumptions'!$E$141,AL45-AL56,IF(('Inputs &amp; Assumptions'!$C$141+34)&gt;'Inputs &amp; Assumptions'!$C$11,'Inputs &amp; Assumptions'!$C$12*(AL45-AL56),0)))</f>
        <v>0</v>
      </c>
      <c r="AM67" s="39" t="n">
        <f aca="false">IF(35&gt;'Inputs &amp; Assumptions'!$E$141,0,IF(35='Inputs &amp; Assumptions'!$E$141,AM45-AM56,IF(('Inputs &amp; Assumptions'!$C$141+35)&gt;'Inputs &amp; Assumptions'!$C$11,'Inputs &amp; Assumptions'!$C$12*(AM45-AM56),0)))</f>
        <v>0</v>
      </c>
      <c r="AN67" s="39" t="n">
        <f aca="false">IF(36&gt;'Inputs &amp; Assumptions'!$E$141,0,IF(36='Inputs &amp; Assumptions'!$E$141,AN45-AN56,IF(('Inputs &amp; Assumptions'!$C$141+36)&gt;'Inputs &amp; Assumptions'!$C$11,'Inputs &amp; Assumptions'!$C$12*(AN45-AN56),0)))</f>
        <v>0</v>
      </c>
    </row>
    <row r="68" customFormat="false" ht="15" hidden="false" customHeight="false" outlineLevel="0" collapsed="false">
      <c r="B68" s="37" t="n">
        <v>3</v>
      </c>
      <c r="C68" s="38" t="n">
        <f aca="false">'Inputs &amp; Assumptions'!$C$142</f>
        <v>2</v>
      </c>
      <c r="D68" s="38" t="n">
        <f aca="false">'Inputs &amp; Assumptions'!$D$142</f>
        <v>3</v>
      </c>
      <c r="E68" s="39" t="n">
        <f aca="false">IF(1&gt;'Inputs &amp; Assumptions'!$E$142,0,IF(1='Inputs &amp; Assumptions'!$E$142,E46-E57,IF(('Inputs &amp; Assumptions'!$C$142+1)&gt;'Inputs &amp; Assumptions'!$C$11,'Inputs &amp; Assumptions'!$C$12*(E46-E57),0)))</f>
        <v>0</v>
      </c>
      <c r="F68" s="39" t="n">
        <f aca="false">IF(2&gt;'Inputs &amp; Assumptions'!$E$142,0,IF(2='Inputs &amp; Assumptions'!$E$142,F46-F57,IF(('Inputs &amp; Assumptions'!$C$142+2)&gt;'Inputs &amp; Assumptions'!$C$11,'Inputs &amp; Assumptions'!$C$12*(F46-F57),0)))</f>
        <v>0</v>
      </c>
      <c r="G68" s="39" t="n">
        <f aca="false">IF(3&gt;'Inputs &amp; Assumptions'!$E$142,0,IF(3='Inputs &amp; Assumptions'!$E$142,G46-G57,IF(('Inputs &amp; Assumptions'!$C$142+3)&gt;'Inputs &amp; Assumptions'!$C$11,'Inputs &amp; Assumptions'!$C$12*(G46-G57),0)))</f>
        <v>1662604.27092908</v>
      </c>
      <c r="H68" s="39" t="n">
        <f aca="false">IF(4&gt;'Inputs &amp; Assumptions'!$E$142,0,IF(4='Inputs &amp; Assumptions'!$E$142,H46-H57,IF(('Inputs &amp; Assumptions'!$C$142+4)&gt;'Inputs &amp; Assumptions'!$C$11,'Inputs &amp; Assumptions'!$C$12*(H46-H57),0)))</f>
        <v>1553993.73108239</v>
      </c>
      <c r="I68" s="39" t="n">
        <f aca="false">IF(5&gt;'Inputs &amp; Assumptions'!$E$142,0,IF(5='Inputs &amp; Assumptions'!$E$142,I46-I57,IF(('Inputs &amp; Assumptions'!$C$142+5)&gt;'Inputs &amp; Assumptions'!$C$11,'Inputs &amp; Assumptions'!$C$12*(I46-I57),0)))</f>
        <v>1452478.23457949</v>
      </c>
      <c r="J68" s="39" t="n">
        <f aca="false">IF(6&gt;'Inputs &amp; Assumptions'!$E$142,0,IF(6='Inputs &amp; Assumptions'!$E$142,J46-J57,IF(('Inputs &amp; Assumptions'!$C$142+6)&gt;'Inputs &amp; Assumptions'!$C$11,'Inputs &amp; Assumptions'!$C$12*(J46-J57),0)))</f>
        <v>1357594.29380561</v>
      </c>
      <c r="K68" s="39" t="n">
        <f aca="false">IF(7&gt;'Inputs &amp; Assumptions'!$E$142,0,IF(7='Inputs &amp; Assumptions'!$E$142,K46-K57,IF(('Inputs &amp; Assumptions'!$C$142+7)&gt;'Inputs &amp; Assumptions'!$C$11,'Inputs &amp; Assumptions'!$C$12*(K46-K57),0)))</f>
        <v>1270447.85817429</v>
      </c>
      <c r="L68" s="39" t="n">
        <f aca="false">IF(8&gt;'Inputs &amp; Assumptions'!$E$142,0,IF(8='Inputs &amp; Assumptions'!$E$142,L46-L57,IF(('Inputs &amp; Assumptions'!$C$142+8)&gt;'Inputs &amp; Assumptions'!$C$11,'Inputs &amp; Assumptions'!$C$12*(L46-L57),0)))</f>
        <v>1188895.51002396</v>
      </c>
      <c r="M68" s="39" t="n">
        <f aca="false">IF(9&gt;'Inputs &amp; Assumptions'!$E$142,0,IF(9='Inputs &amp; Assumptions'!$E$142,M46-M57,IF(('Inputs &amp; Assumptions'!$C$142+9)&gt;'Inputs &amp; Assumptions'!$C$11,'Inputs &amp; Assumptions'!$C$12*(M46-M57),0)))</f>
        <v>1112578.15475117</v>
      </c>
      <c r="N68" s="39" t="n">
        <f aca="false">IF(10&gt;'Inputs &amp; Assumptions'!$E$142,0,IF(10='Inputs &amp; Assumptions'!$E$142,N46-N57,IF(('Inputs &amp; Assumptions'!$C$142+10)&gt;'Inputs &amp; Assumptions'!$C$11,'Inputs &amp; Assumptions'!$C$12*(N46-N57),0)))</f>
        <v>1041159.74868521</v>
      </c>
      <c r="O68" s="39" t="n">
        <f aca="false">IF(11&gt;'Inputs &amp; Assumptions'!$E$142,0,IF(11='Inputs &amp; Assumptions'!$E$142,O46-O57,IF(('Inputs &amp; Assumptions'!$C$142+11)&gt;'Inputs &amp; Assumptions'!$C$11,'Inputs &amp; Assumptions'!$C$12*(O46-O57),0)))</f>
        <v>976194.793719835</v>
      </c>
      <c r="P68" s="39" t="n">
        <f aca="false">IF(12&gt;'Inputs &amp; Assumptions'!$E$142,0,IF(12='Inputs &amp; Assumptions'!$E$142,P46-P57,IF(('Inputs &amp; Assumptions'!$C$142+12)&gt;'Inputs &amp; Assumptions'!$C$11,'Inputs &amp; Assumptions'!$C$12*(P46-P57),0)))</f>
        <v>915283.438962289</v>
      </c>
      <c r="Q68" s="39" t="n">
        <f aca="false">IF(13&gt;'Inputs &amp; Assumptions'!$E$142,0,IF(13='Inputs &amp; Assumptions'!$E$142,Q46-Q57,IF(('Inputs &amp; Assumptions'!$C$142+13)&gt;'Inputs &amp; Assumptions'!$C$11,'Inputs &amp; Assumptions'!$C$12*(Q46-Q57),0)))</f>
        <v>858172.753048982</v>
      </c>
      <c r="R68" s="39" t="n">
        <f aca="false">IF(14&gt;'Inputs &amp; Assumptions'!$E$142,0,IF(14='Inputs &amp; Assumptions'!$E$142,R46-R57,IF(('Inputs &amp; Assumptions'!$C$142+14)&gt;'Inputs &amp; Assumptions'!$C$11,'Inputs &amp; Assumptions'!$C$12*(R46-R57),0)))</f>
        <v>804625.5867042</v>
      </c>
      <c r="S68" s="39" t="n">
        <f aca="false">IF(15&gt;'Inputs &amp; Assumptions'!$E$142,0,IF(15='Inputs &amp; Assumptions'!$E$142,S46-S57,IF(('Inputs &amp; Assumptions'!$C$142+15)&gt;'Inputs &amp; Assumptions'!$C$11,'Inputs &amp; Assumptions'!$C$12*(S46-S57),0)))</f>
        <v>755692.918108343</v>
      </c>
      <c r="T68" s="39" t="n">
        <f aca="false">IF(16&gt;'Inputs &amp; Assumptions'!$E$142,0,IF(16='Inputs &amp; Assumptions'!$E$142,T46-T57,IF(('Inputs &amp; Assumptions'!$C$142+16)&gt;'Inputs &amp; Assumptions'!$C$11,'Inputs &amp; Assumptions'!$C$12*(T46-T57),0)))</f>
        <v>709736.051047359</v>
      </c>
      <c r="U68" s="39" t="n">
        <f aca="false">IF(17&gt;'Inputs &amp; Assumptions'!$E$142,0,IF(17='Inputs &amp; Assumptions'!$E$142,U46-U57,IF(('Inputs &amp; Assumptions'!$C$142+17)&gt;'Inputs &amp; Assumptions'!$C$11,'Inputs &amp; Assumptions'!$C$12*(U46-U57),0)))</f>
        <v>666574.014504765</v>
      </c>
      <c r="V68" s="39" t="n">
        <f aca="false">IF(18&gt;'Inputs &amp; Assumptions'!$E$142,0,IF(18='Inputs &amp; Assumptions'!$E$142,V46-V57,IF(('Inputs &amp; Assumptions'!$C$142+18)&gt;'Inputs &amp; Assumptions'!$C$11,'Inputs &amp; Assumptions'!$C$12*(V46-V57),0)))</f>
        <v>626036.8430733</v>
      </c>
      <c r="W68" s="39" t="n">
        <f aca="false">IF(19&gt;'Inputs &amp; Assumptions'!$E$142,0,IF(19='Inputs &amp; Assumptions'!$E$142,W46-W57,IF(('Inputs &amp; Assumptions'!$C$142+19)&gt;'Inputs &amp; Assumptions'!$C$11,'Inputs &amp; Assumptions'!$C$12*(W46-W57),0)))</f>
        <v>588630.310691592</v>
      </c>
      <c r="X68" s="39" t="n">
        <f aca="false">IF(20&gt;'Inputs &amp; Assumptions'!$E$142,0,IF(20='Inputs &amp; Assumptions'!$E$142,X46-X57,IF(('Inputs &amp; Assumptions'!$C$142+20)&gt;'Inputs &amp; Assumptions'!$C$11,'Inputs &amp; Assumptions'!$C$12*(X46-X57),0)))</f>
        <v>553458.868273527</v>
      </c>
      <c r="Y68" s="39" t="n">
        <f aca="false">IF(21&gt;'Inputs &amp; Assumptions'!$E$142,0,IF(21='Inputs &amp; Assumptions'!$E$142,Y46-Y57,IF(('Inputs &amp; Assumptions'!$C$142+21)&gt;'Inputs &amp; Assumptions'!$C$11,'Inputs &amp; Assumptions'!$C$12*(Y46-Y57),0)))</f>
        <v>520388.966226895</v>
      </c>
      <c r="Z68" s="39" t="n">
        <f aca="false">IF(22&gt;'Inputs &amp; Assumptions'!$E$142,0,IF(22='Inputs &amp; Assumptions'!$E$142,Z46-Z57,IF(('Inputs &amp; Assumptions'!$C$142+22)&gt;'Inputs &amp; Assumptions'!$C$11,'Inputs &amp; Assumptions'!$C$12*(Z46-Z57),0)))</f>
        <v>489295.034724894</v>
      </c>
      <c r="AA68" s="39" t="n">
        <f aca="false">IF(23&gt;'Inputs &amp; Assumptions'!$E$142,0,IF(23='Inputs &amp; Assumptions'!$E$142,AA46-AA57,IF(('Inputs &amp; Assumptions'!$C$142+23)&gt;'Inputs &amp; Assumptions'!$C$11,'Inputs &amp; Assumptions'!$C$12*(AA46-AA57),0)))</f>
        <v>460532.841794106</v>
      </c>
      <c r="AB68" s="39" t="n">
        <f aca="false">IF(24&gt;'Inputs &amp; Assumptions'!$E$142,0,IF(24='Inputs &amp; Assumptions'!$E$142,AB46-AB57,IF(('Inputs &amp; Assumptions'!$C$142+24)&gt;'Inputs &amp; Assumptions'!$C$11,'Inputs &amp; Assumptions'!$C$12*(AB46-AB57),0)))</f>
        <v>433461.37466979</v>
      </c>
      <c r="AC68" s="39" t="n">
        <f aca="false">IF(25&gt;'Inputs &amp; Assumptions'!$E$142,0,IF(25='Inputs &amp; Assumptions'!$E$142,AC46-AC57,IF(('Inputs &amp; Assumptions'!$C$142+25)&gt;'Inputs &amp; Assumptions'!$C$11,'Inputs &amp; Assumptions'!$C$12*(AC46-AC57),0)))</f>
        <v>407981.247545045</v>
      </c>
      <c r="AD68" s="39" t="n">
        <f aca="false">IF(26&gt;'Inputs &amp; Assumptions'!$E$142,0,IF(26='Inputs &amp; Assumptions'!$E$142,AD46-AD57,IF(('Inputs &amp; Assumptions'!$C$142+26)&gt;'Inputs &amp; Assumptions'!$C$11,'Inputs &amp; Assumptions'!$C$12*(AD46-AD57),0)))</f>
        <v>12799963.8933774</v>
      </c>
      <c r="AE68" s="39" t="n">
        <f aca="false">IF(27&gt;'Inputs &amp; Assumptions'!$E$142,0,IF(27='Inputs &amp; Assumptions'!$E$142,AE46-AE57,IF(('Inputs &amp; Assumptions'!$C$142+27)&gt;'Inputs &amp; Assumptions'!$C$11,'Inputs &amp; Assumptions'!$C$12*(AE46-AE57),0)))</f>
        <v>0</v>
      </c>
      <c r="AF68" s="39" t="n">
        <f aca="false">IF(28&gt;'Inputs &amp; Assumptions'!$E$142,0,IF(28='Inputs &amp; Assumptions'!$E$142,AF46-AF57,IF(('Inputs &amp; Assumptions'!$C$142+28)&gt;'Inputs &amp; Assumptions'!$C$11,'Inputs &amp; Assumptions'!$C$12*(AF46-AF57),0)))</f>
        <v>0</v>
      </c>
      <c r="AG68" s="39" t="n">
        <f aca="false">IF(29&gt;'Inputs &amp; Assumptions'!$E$142,0,IF(29='Inputs &amp; Assumptions'!$E$142,AG46-AG57,IF(('Inputs &amp; Assumptions'!$C$142+29)&gt;'Inputs &amp; Assumptions'!$C$11,'Inputs &amp; Assumptions'!$C$12*(AG46-AG57),0)))</f>
        <v>0</v>
      </c>
      <c r="AH68" s="39" t="n">
        <f aca="false">IF(30&gt;'Inputs &amp; Assumptions'!$E$142,0,IF(30='Inputs &amp; Assumptions'!$E$142,AH46-AH57,IF(('Inputs &amp; Assumptions'!$C$142+30)&gt;'Inputs &amp; Assumptions'!$C$11,'Inputs &amp; Assumptions'!$C$12*(AH46-AH57),0)))</f>
        <v>0</v>
      </c>
      <c r="AI68" s="39" t="n">
        <f aca="false">IF(31&gt;'Inputs &amp; Assumptions'!$E$142,0,IF(31='Inputs &amp; Assumptions'!$E$142,AI46-AI57,IF(('Inputs &amp; Assumptions'!$C$142+31)&gt;'Inputs &amp; Assumptions'!$C$11,'Inputs &amp; Assumptions'!$C$12*(AI46-AI57),0)))</f>
        <v>0</v>
      </c>
      <c r="AJ68" s="39" t="n">
        <f aca="false">IF(32&gt;'Inputs &amp; Assumptions'!$E$142,0,IF(32='Inputs &amp; Assumptions'!$E$142,AJ46-AJ57,IF(('Inputs &amp; Assumptions'!$C$142+32)&gt;'Inputs &amp; Assumptions'!$C$11,'Inputs &amp; Assumptions'!$C$12*(AJ46-AJ57),0)))</f>
        <v>0</v>
      </c>
      <c r="AK68" s="39" t="n">
        <f aca="false">IF(33&gt;'Inputs &amp; Assumptions'!$E$142,0,IF(33='Inputs &amp; Assumptions'!$E$142,AK46-AK57,IF(('Inputs &amp; Assumptions'!$C$142+33)&gt;'Inputs &amp; Assumptions'!$C$11,'Inputs &amp; Assumptions'!$C$12*(AK46-AK57),0)))</f>
        <v>0</v>
      </c>
      <c r="AL68" s="39" t="n">
        <f aca="false">IF(34&gt;'Inputs &amp; Assumptions'!$E$142,0,IF(34='Inputs &amp; Assumptions'!$E$142,AL46-AL57,IF(('Inputs &amp; Assumptions'!$C$142+34)&gt;'Inputs &amp; Assumptions'!$C$11,'Inputs &amp; Assumptions'!$C$12*(AL46-AL57),0)))</f>
        <v>0</v>
      </c>
      <c r="AM68" s="39" t="n">
        <f aca="false">IF(35&gt;'Inputs &amp; Assumptions'!$E$142,0,IF(35='Inputs &amp; Assumptions'!$E$142,AM46-AM57,IF(('Inputs &amp; Assumptions'!$C$142+35)&gt;'Inputs &amp; Assumptions'!$C$11,'Inputs &amp; Assumptions'!$C$12*(AM46-AM57),0)))</f>
        <v>0</v>
      </c>
      <c r="AN68" s="39" t="n">
        <f aca="false">IF(36&gt;'Inputs &amp; Assumptions'!$E$142,0,IF(36='Inputs &amp; Assumptions'!$E$142,AN46-AN57,IF(('Inputs &amp; Assumptions'!$C$142+36)&gt;'Inputs &amp; Assumptions'!$C$11,'Inputs &amp; Assumptions'!$C$12*(AN46-AN57),0)))</f>
        <v>0</v>
      </c>
    </row>
    <row r="69" customFormat="false" ht="15" hidden="false" customHeight="false" outlineLevel="0" collapsed="false">
      <c r="B69" s="37" t="n">
        <v>4</v>
      </c>
      <c r="C69" s="38" t="n">
        <f aca="false">'Inputs &amp; Assumptions'!$C$143</f>
        <v>3</v>
      </c>
      <c r="D69" s="38" t="n">
        <f aca="false">'Inputs &amp; Assumptions'!$D$143</f>
        <v>3</v>
      </c>
      <c r="E69" s="39" t="n">
        <f aca="false">IF(1&gt;'Inputs &amp; Assumptions'!$E$143,0,IF(1='Inputs &amp; Assumptions'!$E$143,E47-E58,IF(('Inputs &amp; Assumptions'!$C$143+1)&gt;'Inputs &amp; Assumptions'!$C$11,'Inputs &amp; Assumptions'!$C$12*(E47-E58),0)))</f>
        <v>0</v>
      </c>
      <c r="F69" s="39" t="n">
        <f aca="false">IF(2&gt;'Inputs &amp; Assumptions'!$E$143,0,IF(2='Inputs &amp; Assumptions'!$E$143,F47-F58,IF(('Inputs &amp; Assumptions'!$C$143+2)&gt;'Inputs &amp; Assumptions'!$C$11,'Inputs &amp; Assumptions'!$C$12*(F47-F58),0)))</f>
        <v>1720658.57432968</v>
      </c>
      <c r="G69" s="39" t="n">
        <f aca="false">IF(3&gt;'Inputs &amp; Assumptions'!$E$143,0,IF(3='Inputs &amp; Assumptions'!$E$143,G47-G58,IF(('Inputs &amp; Assumptions'!$C$143+3)&gt;'Inputs &amp; Assumptions'!$C$11,'Inputs &amp; Assumptions'!$C$12*(G47-G58),0)))</f>
        <v>1608255.60513405</v>
      </c>
      <c r="H69" s="39" t="n">
        <f aca="false">IF(4&gt;'Inputs &amp; Assumptions'!$E$143,0,IF(4='Inputs &amp; Assumptions'!$E$143,H47-H58,IF(('Inputs &amp; Assumptions'!$C$143+4)&gt;'Inputs &amp; Assumptions'!$C$11,'Inputs &amp; Assumptions'!$C$12*(H47-H58),0)))</f>
        <v>1503195.42181847</v>
      </c>
      <c r="I69" s="39" t="n">
        <f aca="false">IF(5&gt;'Inputs &amp; Assumptions'!$E$143,0,IF(5='Inputs &amp; Assumptions'!$E$143,I47-I58,IF(('Inputs &amp; Assumptions'!$C$143+5)&gt;'Inputs &amp; Assumptions'!$C$11,'Inputs &amp; Assumptions'!$C$12*(I47-I58),0)))</f>
        <v>1404998.35285056</v>
      </c>
      <c r="J69" s="39" t="n">
        <f aca="false">IF(6&gt;'Inputs &amp; Assumptions'!$E$143,0,IF(6='Inputs &amp; Assumptions'!$E$143,J47-J58,IF(('Inputs &amp; Assumptions'!$C$143+6)&gt;'Inputs &amp; Assumptions'!$C$11,'Inputs &amp; Assumptions'!$C$12*(J47-J58),0)))</f>
        <v>1314808.96484453</v>
      </c>
      <c r="K69" s="39" t="n">
        <f aca="false">IF(7&gt;'Inputs &amp; Assumptions'!$E$143,0,IF(7='Inputs &amp; Assumptions'!$E$143,K47-K58,IF(('Inputs &amp; Assumptions'!$C$143+7)&gt;'Inputs &amp; Assumptions'!$C$11,'Inputs &amp; Assumptions'!$C$12*(K47-K58),0)))</f>
        <v>1230408.99694167</v>
      </c>
      <c r="L69" s="39" t="n">
        <f aca="false">IF(8&gt;'Inputs &amp; Assumptions'!$E$143,0,IF(8='Inputs &amp; Assumptions'!$E$143,L47-L58,IF(('Inputs &amp; Assumptions'!$C$143+8)&gt;'Inputs &amp; Assumptions'!$C$11,'Inputs &amp; Assumptions'!$C$12*(L47-L58),0)))</f>
        <v>1151426.81578385</v>
      </c>
      <c r="M69" s="39" t="n">
        <f aca="false">IF(9&gt;'Inputs &amp; Assumptions'!$E$143,0,IF(9='Inputs &amp; Assumptions'!$E$143,M47-M58,IF(('Inputs &amp; Assumptions'!$C$143+9)&gt;'Inputs &amp; Assumptions'!$C$11,'Inputs &amp; Assumptions'!$C$12*(M47-M58),0)))</f>
        <v>1077514.64383106</v>
      </c>
      <c r="N69" s="39" t="n">
        <f aca="false">IF(10&gt;'Inputs &amp; Assumptions'!$E$143,0,IF(10='Inputs &amp; Assumptions'!$E$143,N47-N58,IF(('Inputs &amp; Assumptions'!$C$143+10)&gt;'Inputs &amp; Assumptions'!$C$11,'Inputs &amp; Assumptions'!$C$12*(N47-N58),0)))</f>
        <v>1010281.26259498</v>
      </c>
      <c r="O69" s="39" t="n">
        <f aca="false">IF(11&gt;'Inputs &amp; Assumptions'!$E$143,0,IF(11='Inputs &amp; Assumptions'!$E$143,O47-O58,IF(('Inputs &amp; Assumptions'!$C$143+11)&gt;'Inputs &amp; Assumptions'!$C$11,'Inputs &amp; Assumptions'!$C$12*(O47-O58),0)))</f>
        <v>947243.023929174</v>
      </c>
      <c r="P69" s="39" t="n">
        <f aca="false">IF(12&gt;'Inputs &amp; Assumptions'!$E$143,0,IF(12='Inputs &amp; Assumptions'!$E$143,P47-P58,IF(('Inputs &amp; Assumptions'!$C$143+12)&gt;'Inputs &amp; Assumptions'!$C$11,'Inputs &amp; Assumptions'!$C$12*(P47-P58),0)))</f>
        <v>888138.164690681</v>
      </c>
      <c r="Q69" s="39" t="n">
        <f aca="false">IF(13&gt;'Inputs &amp; Assumptions'!$E$143,0,IF(13='Inputs &amp; Assumptions'!$E$143,Q47-Q58,IF(('Inputs &amp; Assumptions'!$C$143+13)&gt;'Inputs &amp; Assumptions'!$C$11,'Inputs &amp; Assumptions'!$C$12*(Q47-Q58),0)))</f>
        <v>832721.254898479</v>
      </c>
      <c r="R69" s="39" t="n">
        <f aca="false">IF(14&gt;'Inputs &amp; Assumptions'!$E$143,0,IF(14='Inputs &amp; Assumptions'!$E$143,R47-R58,IF(('Inputs &amp; Assumptions'!$C$143+14)&gt;'Inputs &amp; Assumptions'!$C$11,'Inputs &amp; Assumptions'!$C$12*(R47-R58),0)))</f>
        <v>782079.970465086</v>
      </c>
      <c r="S69" s="39" t="n">
        <f aca="false">IF(15&gt;'Inputs &amp; Assumptions'!$E$143,0,IF(15='Inputs &amp; Assumptions'!$E$143,S47-S58,IF(('Inputs &amp; Assumptions'!$C$143+15)&gt;'Inputs &amp; Assumptions'!$C$11,'Inputs &amp; Assumptions'!$C$12*(S47-S58),0)))</f>
        <v>734518.395687208</v>
      </c>
      <c r="T69" s="39" t="n">
        <f aca="false">IF(16&gt;'Inputs &amp; Assumptions'!$E$143,0,IF(16='Inputs &amp; Assumptions'!$E$143,T47-T58,IF(('Inputs &amp; Assumptions'!$C$143+16)&gt;'Inputs &amp; Assumptions'!$C$11,'Inputs &amp; Assumptions'!$C$12*(T47-T58),0)))</f>
        <v>689849.240458199</v>
      </c>
      <c r="U69" s="39" t="n">
        <f aca="false">IF(17&gt;'Inputs &amp; Assumptions'!$E$143,0,IF(17='Inputs &amp; Assumptions'!$E$143,U47-U58,IF(('Inputs &amp; Assumptions'!$C$143+17)&gt;'Inputs &amp; Assumptions'!$C$11,'Inputs &amp; Assumptions'!$C$12*(U47-U58),0)))</f>
        <v>647896.6045711</v>
      </c>
      <c r="V69" s="39" t="n">
        <f aca="false">IF(18&gt;'Inputs &amp; Assumptions'!$E$143,0,IF(18='Inputs &amp; Assumptions'!$E$143,V47-V58,IF(('Inputs &amp; Assumptions'!$C$143+18)&gt;'Inputs &amp; Assumptions'!$C$11,'Inputs &amp; Assumptions'!$C$12*(V47-V58),0)))</f>
        <v>609183.922423015</v>
      </c>
      <c r="W69" s="39" t="n">
        <f aca="false">IF(19&gt;'Inputs &amp; Assumptions'!$E$143,0,IF(19='Inputs &amp; Assumptions'!$E$143,W47-W58,IF(('Inputs &amp; Assumptions'!$C$143+19)&gt;'Inputs &amp; Assumptions'!$C$11,'Inputs &amp; Assumptions'!$C$12*(W47-W58),0)))</f>
        <v>572784.374420911</v>
      </c>
      <c r="X69" s="39" t="n">
        <f aca="false">IF(20&gt;'Inputs &amp; Assumptions'!$E$143,0,IF(20='Inputs &amp; Assumptions'!$E$143,X47-X58,IF(('Inputs &amp; Assumptions'!$C$143+20)&gt;'Inputs &amp; Assumptions'!$C$11,'Inputs &amp; Assumptions'!$C$12*(X47-X58),0)))</f>
        <v>538559.747729086</v>
      </c>
      <c r="Y69" s="39" t="n">
        <f aca="false">IF(21&gt;'Inputs &amp; Assumptions'!$E$143,0,IF(21='Inputs &amp; Assumptions'!$E$143,Y47-Y58,IF(('Inputs &amp; Assumptions'!$C$143+21)&gt;'Inputs &amp; Assumptions'!$C$11,'Inputs &amp; Assumptions'!$C$12*(Y47-Y58),0)))</f>
        <v>506380.087912238</v>
      </c>
      <c r="Z69" s="39" t="n">
        <f aca="false">IF(22&gt;'Inputs &amp; Assumptions'!$E$143,0,IF(22='Inputs &amp; Assumptions'!$E$143,Z47-Z58,IF(('Inputs &amp; Assumptions'!$C$143+22)&gt;'Inputs &amp; Assumptions'!$C$11,'Inputs &amp; Assumptions'!$C$12*(Z47-Z58),0)))</f>
        <v>476613.585595225</v>
      </c>
      <c r="AA69" s="39" t="n">
        <f aca="false">IF(23&gt;'Inputs &amp; Assumptions'!$E$143,0,IF(23='Inputs &amp; Assumptions'!$E$143,AA47-AA58,IF(('Inputs &amp; Assumptions'!$C$143+23)&gt;'Inputs &amp; Assumptions'!$C$11,'Inputs &amp; Assumptions'!$C$12*(AA47-AA58),0)))</f>
        <v>448596.845327195</v>
      </c>
      <c r="AB69" s="39" t="n">
        <f aca="false">IF(24&gt;'Inputs &amp; Assumptions'!$E$143,0,IF(24='Inputs &amp; Assumptions'!$E$143,AB47-AB58,IF(('Inputs &amp; Assumptions'!$C$143+24)&gt;'Inputs &amp; Assumptions'!$C$11,'Inputs &amp; Assumptions'!$C$12*(AB47-AB58),0)))</f>
        <v>422227.010978277</v>
      </c>
      <c r="AC69" s="39" t="n">
        <f aca="false">IF(25&gt;'Inputs &amp; Assumptions'!$E$143,0,IF(25='Inputs &amp; Assumptions'!$E$143,AC47-AC58,IF(('Inputs &amp; Assumptions'!$C$143+25)&gt;'Inputs &amp; Assumptions'!$C$11,'Inputs &amp; Assumptions'!$C$12*(AC47-AC58),0)))</f>
        <v>13246909.0867562</v>
      </c>
      <c r="AD69" s="39" t="n">
        <f aca="false">IF(26&gt;'Inputs &amp; Assumptions'!$E$143,0,IF(26='Inputs &amp; Assumptions'!$E$143,AD47-AD58,IF(('Inputs &amp; Assumptions'!$C$143+26)&gt;'Inputs &amp; Assumptions'!$C$11,'Inputs &amp; Assumptions'!$C$12*(AD47-AD58),0)))</f>
        <v>0</v>
      </c>
      <c r="AE69" s="39" t="n">
        <f aca="false">IF(27&gt;'Inputs &amp; Assumptions'!$E$143,0,IF(27='Inputs &amp; Assumptions'!$E$143,AE47-AE58,IF(('Inputs &amp; Assumptions'!$C$143+27)&gt;'Inputs &amp; Assumptions'!$C$11,'Inputs &amp; Assumptions'!$C$12*(AE47-AE58),0)))</f>
        <v>0</v>
      </c>
      <c r="AF69" s="39" t="n">
        <f aca="false">IF(28&gt;'Inputs &amp; Assumptions'!$E$143,0,IF(28='Inputs &amp; Assumptions'!$E$143,AF47-AF58,IF(('Inputs &amp; Assumptions'!$C$143+28)&gt;'Inputs &amp; Assumptions'!$C$11,'Inputs &amp; Assumptions'!$C$12*(AF47-AF58),0)))</f>
        <v>0</v>
      </c>
      <c r="AG69" s="39" t="n">
        <f aca="false">IF(29&gt;'Inputs &amp; Assumptions'!$E$143,0,IF(29='Inputs &amp; Assumptions'!$E$143,AG47-AG58,IF(('Inputs &amp; Assumptions'!$C$143+29)&gt;'Inputs &amp; Assumptions'!$C$11,'Inputs &amp; Assumptions'!$C$12*(AG47-AG58),0)))</f>
        <v>0</v>
      </c>
      <c r="AH69" s="39" t="n">
        <f aca="false">IF(30&gt;'Inputs &amp; Assumptions'!$E$143,0,IF(30='Inputs &amp; Assumptions'!$E$143,AH47-AH58,IF(('Inputs &amp; Assumptions'!$C$143+30)&gt;'Inputs &amp; Assumptions'!$C$11,'Inputs &amp; Assumptions'!$C$12*(AH47-AH58),0)))</f>
        <v>0</v>
      </c>
      <c r="AI69" s="39" t="n">
        <f aca="false">IF(31&gt;'Inputs &amp; Assumptions'!$E$143,0,IF(31='Inputs &amp; Assumptions'!$E$143,AI47-AI58,IF(('Inputs &amp; Assumptions'!$C$143+31)&gt;'Inputs &amp; Assumptions'!$C$11,'Inputs &amp; Assumptions'!$C$12*(AI47-AI58),0)))</f>
        <v>0</v>
      </c>
      <c r="AJ69" s="39" t="n">
        <f aca="false">IF(32&gt;'Inputs &amp; Assumptions'!$E$143,0,IF(32='Inputs &amp; Assumptions'!$E$143,AJ47-AJ58,IF(('Inputs &amp; Assumptions'!$C$143+32)&gt;'Inputs &amp; Assumptions'!$C$11,'Inputs &amp; Assumptions'!$C$12*(AJ47-AJ58),0)))</f>
        <v>0</v>
      </c>
      <c r="AK69" s="39" t="n">
        <f aca="false">IF(33&gt;'Inputs &amp; Assumptions'!$E$143,0,IF(33='Inputs &amp; Assumptions'!$E$143,AK47-AK58,IF(('Inputs &amp; Assumptions'!$C$143+33)&gt;'Inputs &amp; Assumptions'!$C$11,'Inputs &amp; Assumptions'!$C$12*(AK47-AK58),0)))</f>
        <v>0</v>
      </c>
      <c r="AL69" s="39" t="n">
        <f aca="false">IF(34&gt;'Inputs &amp; Assumptions'!$E$143,0,IF(34='Inputs &amp; Assumptions'!$E$143,AL47-AL58,IF(('Inputs &amp; Assumptions'!$C$143+34)&gt;'Inputs &amp; Assumptions'!$C$11,'Inputs &amp; Assumptions'!$C$12*(AL47-AL58),0)))</f>
        <v>0</v>
      </c>
      <c r="AM69" s="39" t="n">
        <f aca="false">IF(35&gt;'Inputs &amp; Assumptions'!$E$143,0,IF(35='Inputs &amp; Assumptions'!$E$143,AM47-AM58,IF(('Inputs &amp; Assumptions'!$C$143+35)&gt;'Inputs &amp; Assumptions'!$C$11,'Inputs &amp; Assumptions'!$C$12*(AM47-AM58),0)))</f>
        <v>0</v>
      </c>
      <c r="AN69" s="39" t="n">
        <f aca="false">IF(36&gt;'Inputs &amp; Assumptions'!$E$143,0,IF(36='Inputs &amp; Assumptions'!$E$143,AN47-AN58,IF(('Inputs &amp; Assumptions'!$C$143+36)&gt;'Inputs &amp; Assumptions'!$C$11,'Inputs &amp; Assumptions'!$C$12*(AN47-AN58),0)))</f>
        <v>0</v>
      </c>
    </row>
    <row r="70" customFormat="false" ht="15" hidden="false" customHeight="false" outlineLevel="0" collapsed="false">
      <c r="B70" s="37" t="n">
        <v>5</v>
      </c>
      <c r="C70" s="38" t="n">
        <f aca="false">'Inputs &amp; Assumptions'!$C$144</f>
        <v>4</v>
      </c>
      <c r="D70" s="38" t="n">
        <f aca="false">'Inputs &amp; Assumptions'!$D$144</f>
        <v>3</v>
      </c>
      <c r="E70" s="39" t="n">
        <f aca="false">IF(1&gt;'Inputs &amp; Assumptions'!$E$144,0,IF(1='Inputs &amp; Assumptions'!$E$144,E48-E59,IF(('Inputs &amp; Assumptions'!$C$144+1)&gt;'Inputs &amp; Assumptions'!$C$11,'Inputs &amp; Assumptions'!$C$12*(E48-E59),0)))</f>
        <v>1780740</v>
      </c>
      <c r="F70" s="39" t="n">
        <f aca="false">IF(2&gt;'Inputs &amp; Assumptions'!$E$144,0,IF(2='Inputs &amp; Assumptions'!$E$144,F48-F59,IF(('Inputs &amp; Assumptions'!$C$144+2)&gt;'Inputs &amp; Assumptions'!$C$11,'Inputs &amp; Assumptions'!$C$12*(F48-F59),0)))</f>
        <v>1664412.1785765</v>
      </c>
      <c r="G70" s="39" t="n">
        <f aca="false">IF(3&gt;'Inputs &amp; Assumptions'!$E$144,0,IF(3='Inputs &amp; Assumptions'!$E$144,G48-G59,IF(('Inputs &amp; Assumptions'!$C$144+3)&gt;'Inputs &amp; Assumptions'!$C$11,'Inputs &amp; Assumptions'!$C$12*(G48-G59),0)))</f>
        <v>1555683.53616686</v>
      </c>
      <c r="H70" s="39" t="n">
        <f aca="false">IF(4&gt;'Inputs &amp; Assumptions'!$E$144,0,IF(4='Inputs &amp; Assumptions'!$E$144,H48-H59,IF(('Inputs &amp; Assumptions'!$C$144+4)&gt;'Inputs &amp; Assumptions'!$C$11,'Inputs &amp; Assumptions'!$C$12*(H48-H59),0)))</f>
        <v>1454057.65221598</v>
      </c>
      <c r="I70" s="39" t="n">
        <f aca="false">IF(5&gt;'Inputs &amp; Assumptions'!$E$144,0,IF(5='Inputs &amp; Assumptions'!$E$144,I48-I59,IF(('Inputs &amp; Assumptions'!$C$144+5)&gt;'Inputs &amp; Assumptions'!$C$11,'Inputs &amp; Assumptions'!$C$12*(I48-I59),0)))</f>
        <v>1360719.05896228</v>
      </c>
      <c r="J70" s="39" t="n">
        <f aca="false">IF(6&gt;'Inputs &amp; Assumptions'!$E$144,0,IF(6='Inputs &amp; Assumptions'!$E$144,J48-J59,IF(('Inputs &amp; Assumptions'!$C$144+6)&gt;'Inputs &amp; Assumptions'!$C$11,'Inputs &amp; Assumptions'!$C$12*(J48-J59),0)))</f>
        <v>1273372.03899819</v>
      </c>
      <c r="K70" s="39" t="n">
        <f aca="false">IF(7&gt;'Inputs &amp; Assumptions'!$E$144,0,IF(7='Inputs &amp; Assumptions'!$E$144,K48-K59,IF(('Inputs &amp; Assumptions'!$C$144+7)&gt;'Inputs &amp; Assumptions'!$C$11,'Inputs &amp; Assumptions'!$C$12*(K48-K59),0)))</f>
        <v>1191631.98238657</v>
      </c>
      <c r="L70" s="39" t="n">
        <f aca="false">IF(8&gt;'Inputs &amp; Assumptions'!$E$144,0,IF(8='Inputs &amp; Assumptions'!$E$144,L48-L59,IF(('Inputs &amp; Assumptions'!$C$144+8)&gt;'Inputs &amp; Assumptions'!$C$11,'Inputs &amp; Assumptions'!$C$12*(L48-L59),0)))</f>
        <v>1115138.96799847</v>
      </c>
      <c r="M70" s="39" t="n">
        <f aca="false">IF(9&gt;'Inputs &amp; Assumptions'!$E$144,0,IF(9='Inputs &amp; Assumptions'!$E$144,M48-M59,IF(('Inputs &amp; Assumptions'!$C$144+9)&gt;'Inputs &amp; Assumptions'!$C$11,'Inputs &amp; Assumptions'!$C$12*(M48-M59),0)))</f>
        <v>1045557.95228245</v>
      </c>
      <c r="N70" s="39" t="n">
        <f aca="false">IF(10&gt;'Inputs &amp; Assumptions'!$E$144,0,IF(10='Inputs &amp; Assumptions'!$E$144,N48-N59,IF(('Inputs &amp; Assumptions'!$C$144+10)&gt;'Inputs &amp; Assumptions'!$C$11,'Inputs &amp; Assumptions'!$C$12*(N48-N59),0)))</f>
        <v>980318.563831739</v>
      </c>
      <c r="O70" s="39" t="n">
        <f aca="false">IF(11&gt;'Inputs &amp; Assumptions'!$E$144,0,IF(11='Inputs &amp; Assumptions'!$E$144,O48-O59,IF(('Inputs &amp; Assumptions'!$C$144+11)&gt;'Inputs &amp; Assumptions'!$C$11,'Inputs &amp; Assumptions'!$C$12*(O48-O59),0)))</f>
        <v>919149.899338635</v>
      </c>
      <c r="P70" s="39" t="n">
        <f aca="false">IF(12&gt;'Inputs &amp; Assumptions'!$E$144,0,IF(12='Inputs &amp; Assumptions'!$E$144,P48-P59,IF(('Inputs &amp; Assumptions'!$C$144+12)&gt;'Inputs &amp; Assumptions'!$C$11,'Inputs &amp; Assumptions'!$C$12*(P48-P59),0)))</f>
        <v>861797.958973702</v>
      </c>
      <c r="Q70" s="39" t="n">
        <f aca="false">IF(13&gt;'Inputs &amp; Assumptions'!$E$144,0,IF(13='Inputs &amp; Assumptions'!$E$144,Q48-Q59,IF(('Inputs &amp; Assumptions'!$C$144+13)&gt;'Inputs &amp; Assumptions'!$C$11,'Inputs &amp; Assumptions'!$C$12*(Q48-Q59),0)))</f>
        <v>809388.397781673</v>
      </c>
      <c r="R70" s="39" t="n">
        <f aca="false">IF(14&gt;'Inputs &amp; Assumptions'!$E$144,0,IF(14='Inputs &amp; Assumptions'!$E$144,R48-R59,IF(('Inputs &amp; Assumptions'!$C$144+14)&gt;'Inputs &amp; Assumptions'!$C$11,'Inputs &amp; Assumptions'!$C$12*(R48-R59),0)))</f>
        <v>760166.082597528</v>
      </c>
      <c r="S70" s="39" t="n">
        <f aca="false">IF(15&gt;'Inputs &amp; Assumptions'!$E$144,0,IF(15='Inputs &amp; Assumptions'!$E$144,S48-S59,IF(('Inputs &amp; Assumptions'!$C$144+15)&gt;'Inputs &amp; Assumptions'!$C$11,'Inputs &amp; Assumptions'!$C$12*(S48-S59),0)))</f>
        <v>713937.183576411</v>
      </c>
      <c r="T70" s="39" t="n">
        <f aca="false">IF(16&gt;'Inputs &amp; Assumptions'!$E$144,0,IF(16='Inputs &amp; Assumptions'!$E$144,T48-T59,IF(('Inputs &amp; Assumptions'!$C$144+16)&gt;'Inputs &amp; Assumptions'!$C$11,'Inputs &amp; Assumptions'!$C$12*(T48-T59),0)))</f>
        <v>670519.658482163</v>
      </c>
      <c r="U70" s="39" t="n">
        <f aca="false">IF(17&gt;'Inputs &amp; Assumptions'!$E$144,0,IF(17='Inputs &amp; Assumptions'!$E$144,U48-U59,IF(('Inputs &amp; Assumptions'!$C$144+17)&gt;'Inputs &amp; Assumptions'!$C$11,'Inputs &amp; Assumptions'!$C$12*(U48-U59),0)))</f>
        <v>630455.218832805</v>
      </c>
      <c r="V70" s="39" t="n">
        <f aca="false">IF(18&gt;'Inputs &amp; Assumptions'!$E$144,0,IF(18='Inputs &amp; Assumptions'!$E$144,V48-V59,IF(('Inputs &amp; Assumptions'!$C$144+18)&gt;'Inputs &amp; Assumptions'!$C$11,'Inputs &amp; Assumptions'!$C$12*(V48-V59),0)))</f>
        <v>592784.682634467</v>
      </c>
      <c r="W70" s="39" t="n">
        <f aca="false">IF(19&gt;'Inputs &amp; Assumptions'!$E$144,0,IF(19='Inputs &amp; Assumptions'!$E$144,W48-W59,IF(('Inputs &amp; Assumptions'!$C$144+19)&gt;'Inputs &amp; Assumptions'!$C$11,'Inputs &amp; Assumptions'!$C$12*(W48-W59),0)))</f>
        <v>557365.010978257</v>
      </c>
      <c r="X70" s="39" t="n">
        <f aca="false">IF(20&gt;'Inputs &amp; Assumptions'!$E$144,0,IF(20='Inputs &amp; Assumptions'!$E$144,X48-X59,IF(('Inputs &amp; Assumptions'!$C$144+20)&gt;'Inputs &amp; Assumptions'!$C$11,'Inputs &amp; Assumptions'!$C$12*(X48-X59),0)))</f>
        <v>524061.711719961</v>
      </c>
      <c r="Y70" s="39" t="n">
        <f aca="false">IF(21&gt;'Inputs &amp; Assumptions'!$E$144,0,IF(21='Inputs &amp; Assumptions'!$E$144,Y48-Y59,IF(('Inputs &amp; Assumptions'!$C$144+21)&gt;'Inputs &amp; Assumptions'!$C$11,'Inputs &amp; Assumptions'!$C$12*(Y48-Y59),0)))</f>
        <v>493255.831851175</v>
      </c>
      <c r="Z70" s="39" t="n">
        <f aca="false">IF(22&gt;'Inputs &amp; Assumptions'!$E$144,0,IF(22='Inputs &amp; Assumptions'!$E$144,Z48-Z59,IF(('Inputs &amp; Assumptions'!$C$144+22)&gt;'Inputs &amp; Assumptions'!$C$11,'Inputs &amp; Assumptions'!$C$12*(Z48-Z59),0)))</f>
        <v>464260.811683197</v>
      </c>
      <c r="AA70" s="39" t="n">
        <f aca="false">IF(23&gt;'Inputs &amp; Assumptions'!$E$144,0,IF(23='Inputs &amp; Assumptions'!$E$144,AA48-AA59,IF(('Inputs &amp; Assumptions'!$C$144+23)&gt;'Inputs &amp; Assumptions'!$C$11,'Inputs &amp; Assumptions'!$C$12*(AA48-AA59),0)))</f>
        <v>436970.203587523</v>
      </c>
      <c r="AB70" s="39" t="n">
        <f aca="false">IF(24&gt;'Inputs &amp; Assumptions'!$E$144,0,IF(24='Inputs &amp; Assumptions'!$E$144,AB48-AB59,IF(('Inputs &amp; Assumptions'!$C$144+24)&gt;'Inputs &amp; Assumptions'!$C$11,'Inputs &amp; Assumptions'!$C$12*(AB48-AB59),0)))</f>
        <v>13709460.5746175</v>
      </c>
      <c r="AC70" s="39" t="n">
        <f aca="false">IF(25&gt;'Inputs &amp; Assumptions'!$E$144,0,IF(25='Inputs &amp; Assumptions'!$E$144,AC48-AC59,IF(('Inputs &amp; Assumptions'!$C$144+25)&gt;'Inputs &amp; Assumptions'!$C$11,'Inputs &amp; Assumptions'!$C$12*(AC48-AC59),0)))</f>
        <v>0</v>
      </c>
      <c r="AD70" s="39" t="n">
        <f aca="false">IF(26&gt;'Inputs &amp; Assumptions'!$E$144,0,IF(26='Inputs &amp; Assumptions'!$E$144,AD48-AD59,IF(('Inputs &amp; Assumptions'!$C$144+26)&gt;'Inputs &amp; Assumptions'!$C$11,'Inputs &amp; Assumptions'!$C$12*(AD48-AD59),0)))</f>
        <v>0</v>
      </c>
      <c r="AE70" s="39" t="n">
        <f aca="false">IF(27&gt;'Inputs &amp; Assumptions'!$E$144,0,IF(27='Inputs &amp; Assumptions'!$E$144,AE48-AE59,IF(('Inputs &amp; Assumptions'!$C$144+27)&gt;'Inputs &amp; Assumptions'!$C$11,'Inputs &amp; Assumptions'!$C$12*(AE48-AE59),0)))</f>
        <v>0</v>
      </c>
      <c r="AF70" s="39" t="n">
        <f aca="false">IF(28&gt;'Inputs &amp; Assumptions'!$E$144,0,IF(28='Inputs &amp; Assumptions'!$E$144,AF48-AF59,IF(('Inputs &amp; Assumptions'!$C$144+28)&gt;'Inputs &amp; Assumptions'!$C$11,'Inputs &amp; Assumptions'!$C$12*(AF48-AF59),0)))</f>
        <v>0</v>
      </c>
      <c r="AG70" s="39" t="n">
        <f aca="false">IF(29&gt;'Inputs &amp; Assumptions'!$E$144,0,IF(29='Inputs &amp; Assumptions'!$E$144,AG48-AG59,IF(('Inputs &amp; Assumptions'!$C$144+29)&gt;'Inputs &amp; Assumptions'!$C$11,'Inputs &amp; Assumptions'!$C$12*(AG48-AG59),0)))</f>
        <v>0</v>
      </c>
      <c r="AH70" s="39" t="n">
        <f aca="false">IF(30&gt;'Inputs &amp; Assumptions'!$E$144,0,IF(30='Inputs &amp; Assumptions'!$E$144,AH48-AH59,IF(('Inputs &amp; Assumptions'!$C$144+30)&gt;'Inputs &amp; Assumptions'!$C$11,'Inputs &amp; Assumptions'!$C$12*(AH48-AH59),0)))</f>
        <v>0</v>
      </c>
      <c r="AI70" s="39" t="n">
        <f aca="false">IF(31&gt;'Inputs &amp; Assumptions'!$E$144,0,IF(31='Inputs &amp; Assumptions'!$E$144,AI48-AI59,IF(('Inputs &amp; Assumptions'!$C$144+31)&gt;'Inputs &amp; Assumptions'!$C$11,'Inputs &amp; Assumptions'!$C$12*(AI48-AI59),0)))</f>
        <v>0</v>
      </c>
      <c r="AJ70" s="39" t="n">
        <f aca="false">IF(32&gt;'Inputs &amp; Assumptions'!$E$144,0,IF(32='Inputs &amp; Assumptions'!$E$144,AJ48-AJ59,IF(('Inputs &amp; Assumptions'!$C$144+32)&gt;'Inputs &amp; Assumptions'!$C$11,'Inputs &amp; Assumptions'!$C$12*(AJ48-AJ59),0)))</f>
        <v>0</v>
      </c>
      <c r="AK70" s="39" t="n">
        <f aca="false">IF(33&gt;'Inputs &amp; Assumptions'!$E$144,0,IF(33='Inputs &amp; Assumptions'!$E$144,AK48-AK59,IF(('Inputs &amp; Assumptions'!$C$144+33)&gt;'Inputs &amp; Assumptions'!$C$11,'Inputs &amp; Assumptions'!$C$12*(AK48-AK59),0)))</f>
        <v>0</v>
      </c>
      <c r="AL70" s="39" t="n">
        <f aca="false">IF(34&gt;'Inputs &amp; Assumptions'!$E$144,0,IF(34='Inputs &amp; Assumptions'!$E$144,AL48-AL59,IF(('Inputs &amp; Assumptions'!$C$144+34)&gt;'Inputs &amp; Assumptions'!$C$11,'Inputs &amp; Assumptions'!$C$12*(AL48-AL59),0)))</f>
        <v>0</v>
      </c>
      <c r="AM70" s="39" t="n">
        <f aca="false">IF(35&gt;'Inputs &amp; Assumptions'!$E$144,0,IF(35='Inputs &amp; Assumptions'!$E$144,AM48-AM59,IF(('Inputs &amp; Assumptions'!$C$144+35)&gt;'Inputs &amp; Assumptions'!$C$11,'Inputs &amp; Assumptions'!$C$12*(AM48-AM59),0)))</f>
        <v>0</v>
      </c>
      <c r="AN70" s="39" t="n">
        <f aca="false">IF(36&gt;'Inputs &amp; Assumptions'!$E$144,0,IF(36='Inputs &amp; Assumptions'!$E$144,AN48-AN59,IF(('Inputs &amp; Assumptions'!$C$144+36)&gt;'Inputs &amp; Assumptions'!$C$11,'Inputs &amp; Assumptions'!$C$12*(AN48-AN59),0)))</f>
        <v>0</v>
      </c>
    </row>
    <row r="71" customFormat="false" ht="15" hidden="false" customHeight="false" outlineLevel="0" collapsed="false">
      <c r="B71" s="37" t="n">
        <v>6</v>
      </c>
      <c r="C71" s="38" t="n">
        <f aca="false">'Inputs &amp; Assumptions'!$C$145</f>
        <v>5</v>
      </c>
      <c r="D71" s="38" t="n">
        <f aca="false">'Inputs &amp; Assumptions'!$D$145</f>
        <v>3</v>
      </c>
      <c r="E71" s="39" t="n">
        <f aca="false">IF(1&gt;'Inputs &amp; Assumptions'!$E$145,0,IF(1='Inputs &amp; Assumptions'!$E$145,E49-E60,IF(('Inputs &amp; Assumptions'!$C$145+1)&gt;'Inputs &amp; Assumptions'!$C$11,'Inputs &amp; Assumptions'!$C$12*(E49-E60),0)))</f>
        <v>1727317.8</v>
      </c>
      <c r="F71" s="39" t="n">
        <f aca="false">IF(2&gt;'Inputs &amp; Assumptions'!$E$145,0,IF(2='Inputs &amp; Assumptions'!$E$145,F49-F60,IF(('Inputs &amp; Assumptions'!$C$145+2)&gt;'Inputs &amp; Assumptions'!$C$11,'Inputs &amp; Assumptions'!$C$12*(F49-F60),0)))</f>
        <v>1614479.81321921</v>
      </c>
      <c r="G71" s="39" t="n">
        <f aca="false">IF(3&gt;'Inputs &amp; Assumptions'!$E$145,0,IF(3='Inputs &amp; Assumptions'!$E$145,G49-G60,IF(('Inputs &amp; Assumptions'!$C$145+3)&gt;'Inputs &amp; Assumptions'!$C$11,'Inputs &amp; Assumptions'!$C$12*(G49-G60),0)))</f>
        <v>1509013.03008186</v>
      </c>
      <c r="H71" s="39" t="n">
        <f aca="false">IF(4&gt;'Inputs &amp; Assumptions'!$E$145,0,IF(4='Inputs &amp; Assumptions'!$E$145,H49-H60,IF(('Inputs &amp; Assumptions'!$C$145+4)&gt;'Inputs &amp; Assumptions'!$C$11,'Inputs &amp; Assumptions'!$C$12*(H49-H60),0)))</f>
        <v>1412146.75162674</v>
      </c>
      <c r="I71" s="39" t="n">
        <f aca="false">IF(5&gt;'Inputs &amp; Assumptions'!$E$145,0,IF(5='Inputs &amp; Assumptions'!$E$145,I49-I60,IF(('Inputs &amp; Assumptions'!$C$145+5)&gt;'Inputs &amp; Assumptions'!$C$11,'Inputs &amp; Assumptions'!$C$12*(I49-I60),0)))</f>
        <v>1321498.49496116</v>
      </c>
      <c r="J71" s="39" t="n">
        <f aca="false">IF(6&gt;'Inputs &amp; Assumptions'!$E$145,0,IF(6='Inputs &amp; Assumptions'!$E$145,J49-J60,IF(('Inputs &amp; Assumptions'!$C$145+6)&gt;'Inputs &amp; Assumptions'!$C$11,'Inputs &amp; Assumptions'!$C$12*(J49-J60),0)))</f>
        <v>1236669.11400877</v>
      </c>
      <c r="K71" s="39" t="n">
        <f aca="false">IF(7&gt;'Inputs &amp; Assumptions'!$E$145,0,IF(7='Inputs &amp; Assumptions'!$E$145,K49-K60,IF(('Inputs &amp; Assumptions'!$C$145+7)&gt;'Inputs &amp; Assumptions'!$C$11,'Inputs &amp; Assumptions'!$C$12*(K49-K60),0)))</f>
        <v>1157285.08460253</v>
      </c>
      <c r="L71" s="39" t="n">
        <f aca="false">IF(8&gt;'Inputs &amp; Assumptions'!$E$145,0,IF(8='Inputs &amp; Assumptions'!$E$145,L49-L60,IF(('Inputs &amp; Assumptions'!$C$145+8)&gt;'Inputs &amp; Assumptions'!$C$11,'Inputs &amp; Assumptions'!$C$12*(L49-L60),0)))</f>
        <v>1085074.28938283</v>
      </c>
      <c r="M71" s="39" t="n">
        <f aca="false">IF(9&gt;'Inputs &amp; Assumptions'!$E$145,0,IF(9='Inputs &amp; Assumptions'!$E$145,M49-M60,IF(('Inputs &amp; Assumptions'!$C$145+9)&gt;'Inputs &amp; Assumptions'!$C$11,'Inputs &amp; Assumptions'!$C$12*(M49-M60),0)))</f>
        <v>1017369.21104796</v>
      </c>
      <c r="N71" s="39" t="n">
        <f aca="false">IF(10&gt;'Inputs &amp; Assumptions'!$E$145,0,IF(10='Inputs &amp; Assumptions'!$E$145,N49-N60,IF(('Inputs &amp; Assumptions'!$C$145+10)&gt;'Inputs &amp; Assumptions'!$C$11,'Inputs &amp; Assumptions'!$C$12*(N49-N60),0)))</f>
        <v>953888.707635924</v>
      </c>
      <c r="O71" s="39" t="n">
        <f aca="false">IF(11&gt;'Inputs &amp; Assumptions'!$E$145,0,IF(11='Inputs &amp; Assumptions'!$E$145,O49-O60,IF(('Inputs &amp; Assumptions'!$C$145+11)&gt;'Inputs &amp; Assumptions'!$C$11,'Inputs &amp; Assumptions'!$C$12*(O49-O60),0)))</f>
        <v>894369.179521431</v>
      </c>
      <c r="P71" s="39" t="n">
        <f aca="false">IF(12&gt;'Inputs &amp; Assumptions'!$E$145,0,IF(12='Inputs &amp; Assumptions'!$E$145,P49-P60,IF(('Inputs &amp; Assumptions'!$C$145+12)&gt;'Inputs &amp; Assumptions'!$C$11,'Inputs &amp; Assumptions'!$C$12*(P49-P60),0)))</f>
        <v>839978.825315657</v>
      </c>
      <c r="Q71" s="39" t="n">
        <f aca="false">IF(13&gt;'Inputs &amp; Assumptions'!$E$145,0,IF(13='Inputs &amp; Assumptions'!$E$145,Q49-Q60,IF(('Inputs &amp; Assumptions'!$C$145+13)&gt;'Inputs &amp; Assumptions'!$C$11,'Inputs &amp; Assumptions'!$C$12*(Q49-Q60),0)))</f>
        <v>788896.177478088</v>
      </c>
      <c r="R71" s="39" t="n">
        <f aca="false">IF(14&gt;'Inputs &amp; Assumptions'!$E$145,0,IF(14='Inputs &amp; Assumptions'!$E$145,R49-R60,IF(('Inputs &amp; Assumptions'!$C$145+14)&gt;'Inputs &amp; Assumptions'!$C$11,'Inputs &amp; Assumptions'!$C$12*(R49-R60),0)))</f>
        <v>740920.080462341</v>
      </c>
      <c r="S71" s="39" t="n">
        <f aca="false">IF(15&gt;'Inputs &amp; Assumptions'!$E$145,0,IF(15='Inputs &amp; Assumptions'!$E$145,S49-S60,IF(('Inputs &amp; Assumptions'!$C$145+15)&gt;'Inputs &amp; Assumptions'!$C$11,'Inputs &amp; Assumptions'!$C$12*(S49-S60),0)))</f>
        <v>695861.61183747</v>
      </c>
      <c r="T71" s="39" t="n">
        <f aca="false">IF(16&gt;'Inputs &amp; Assumptions'!$E$145,0,IF(16='Inputs &amp; Assumptions'!$E$145,T49-T60,IF(('Inputs &amp; Assumptions'!$C$145+16)&gt;'Inputs &amp; Assumptions'!$C$11,'Inputs &amp; Assumptions'!$C$12*(T49-T60),0)))</f>
        <v>654282.95683595</v>
      </c>
      <c r="U71" s="39" t="n">
        <f aca="false">IF(17&gt;'Inputs &amp; Assumptions'!$E$145,0,IF(17='Inputs &amp; Assumptions'!$E$145,U49-U60,IF(('Inputs &amp; Assumptions'!$C$145+17)&gt;'Inputs &amp; Assumptions'!$C$11,'Inputs &amp; Assumptions'!$C$12*(U49-U60),0)))</f>
        <v>615188.681662726</v>
      </c>
      <c r="V71" s="39" t="n">
        <f aca="false">IF(18&gt;'Inputs &amp; Assumptions'!$E$145,0,IF(18='Inputs &amp; Assumptions'!$E$145,V49-V60,IF(('Inputs &amp; Assumptions'!$C$145+18)&gt;'Inputs &amp; Assumptions'!$C$11,'Inputs &amp; Assumptions'!$C$12*(V49-V60),0)))</f>
        <v>578430.341325267</v>
      </c>
      <c r="W71" s="39" t="n">
        <f aca="false">IF(19&gt;'Inputs &amp; Assumptions'!$E$145,0,IF(19='Inputs &amp; Assumptions'!$E$145,W49-W60,IF(('Inputs &amp; Assumptions'!$C$145+19)&gt;'Inputs &amp; Assumptions'!$C$11,'Inputs &amp; Assumptions'!$C$12*(W49-W60),0)))</f>
        <v>543868.36061639</v>
      </c>
      <c r="X71" s="39" t="n">
        <f aca="false">IF(20&gt;'Inputs &amp; Assumptions'!$E$145,0,IF(20='Inputs &amp; Assumptions'!$E$145,X49-X60,IF(('Inputs &amp; Assumptions'!$C$145+20)&gt;'Inputs &amp; Assumptions'!$C$11,'Inputs &amp; Assumptions'!$C$12*(X49-X60),0)))</f>
        <v>511898.188007148</v>
      </c>
      <c r="Y71" s="39" t="n">
        <f aca="false">IF(21&gt;'Inputs &amp; Assumptions'!$E$145,0,IF(21='Inputs &amp; Assumptions'!$E$145,Y49-Y60,IF(('Inputs &amp; Assumptions'!$C$145+21)&gt;'Inputs &amp; Assumptions'!$C$11,'Inputs &amp; Assumptions'!$C$12*(Y49-Y60),0)))</f>
        <v>481807.315630606</v>
      </c>
      <c r="Z71" s="39" t="n">
        <f aca="false">IF(22&gt;'Inputs &amp; Assumptions'!$E$145,0,IF(22='Inputs &amp; Assumptions'!$E$145,Z49-Z60,IF(('Inputs &amp; Assumptions'!$C$145+22)&gt;'Inputs &amp; Assumptions'!$C$11,'Inputs &amp; Assumptions'!$C$12*(Z49-Z60),0)))</f>
        <v>453485.272723663</v>
      </c>
      <c r="AA71" s="39" t="n">
        <f aca="false">IF(23&gt;'Inputs &amp; Assumptions'!$E$145,0,IF(23='Inputs &amp; Assumptions'!$E$145,AA49-AA60,IF(('Inputs &amp; Assumptions'!$C$145+23)&gt;'Inputs &amp; Assumptions'!$C$11,'Inputs &amp; Assumptions'!$C$12*(AA49-AA60),0)))</f>
        <v>14227602.7439237</v>
      </c>
      <c r="AB71" s="39" t="n">
        <f aca="false">IF(24&gt;'Inputs &amp; Assumptions'!$E$145,0,IF(24='Inputs &amp; Assumptions'!$E$145,AB49-AB60,IF(('Inputs &amp; Assumptions'!$C$145+24)&gt;'Inputs &amp; Assumptions'!$C$11,'Inputs &amp; Assumptions'!$C$12*(AB49-AB60),0)))</f>
        <v>0</v>
      </c>
      <c r="AC71" s="39" t="n">
        <f aca="false">IF(25&gt;'Inputs &amp; Assumptions'!$E$145,0,IF(25='Inputs &amp; Assumptions'!$E$145,AC49-AC60,IF(('Inputs &amp; Assumptions'!$C$145+25)&gt;'Inputs &amp; Assumptions'!$C$11,'Inputs &amp; Assumptions'!$C$12*(AC49-AC60),0)))</f>
        <v>0</v>
      </c>
      <c r="AD71" s="39" t="n">
        <f aca="false">IF(26&gt;'Inputs &amp; Assumptions'!$E$145,0,IF(26='Inputs &amp; Assumptions'!$E$145,AD49-AD60,IF(('Inputs &amp; Assumptions'!$C$145+26)&gt;'Inputs &amp; Assumptions'!$C$11,'Inputs &amp; Assumptions'!$C$12*(AD49-AD60),0)))</f>
        <v>0</v>
      </c>
      <c r="AE71" s="39" t="n">
        <f aca="false">IF(27&gt;'Inputs &amp; Assumptions'!$E$145,0,IF(27='Inputs &amp; Assumptions'!$E$145,AE49-AE60,IF(('Inputs &amp; Assumptions'!$C$145+27)&gt;'Inputs &amp; Assumptions'!$C$11,'Inputs &amp; Assumptions'!$C$12*(AE49-AE60),0)))</f>
        <v>0</v>
      </c>
      <c r="AF71" s="39" t="n">
        <f aca="false">IF(28&gt;'Inputs &amp; Assumptions'!$E$145,0,IF(28='Inputs &amp; Assumptions'!$E$145,AF49-AF60,IF(('Inputs &amp; Assumptions'!$C$145+28)&gt;'Inputs &amp; Assumptions'!$C$11,'Inputs &amp; Assumptions'!$C$12*(AF49-AF60),0)))</f>
        <v>0</v>
      </c>
      <c r="AG71" s="39" t="n">
        <f aca="false">IF(29&gt;'Inputs &amp; Assumptions'!$E$145,0,IF(29='Inputs &amp; Assumptions'!$E$145,AG49-AG60,IF(('Inputs &amp; Assumptions'!$C$145+29)&gt;'Inputs &amp; Assumptions'!$C$11,'Inputs &amp; Assumptions'!$C$12*(AG49-AG60),0)))</f>
        <v>0</v>
      </c>
      <c r="AH71" s="39" t="n">
        <f aca="false">IF(30&gt;'Inputs &amp; Assumptions'!$E$145,0,IF(30='Inputs &amp; Assumptions'!$E$145,AH49-AH60,IF(('Inputs &amp; Assumptions'!$C$145+30)&gt;'Inputs &amp; Assumptions'!$C$11,'Inputs &amp; Assumptions'!$C$12*(AH49-AH60),0)))</f>
        <v>0</v>
      </c>
      <c r="AI71" s="39" t="n">
        <f aca="false">IF(31&gt;'Inputs &amp; Assumptions'!$E$145,0,IF(31='Inputs &amp; Assumptions'!$E$145,AI49-AI60,IF(('Inputs &amp; Assumptions'!$C$145+31)&gt;'Inputs &amp; Assumptions'!$C$11,'Inputs &amp; Assumptions'!$C$12*(AI49-AI60),0)))</f>
        <v>0</v>
      </c>
      <c r="AJ71" s="39" t="n">
        <f aca="false">IF(32&gt;'Inputs &amp; Assumptions'!$E$145,0,IF(32='Inputs &amp; Assumptions'!$E$145,AJ49-AJ60,IF(('Inputs &amp; Assumptions'!$C$145+32)&gt;'Inputs &amp; Assumptions'!$C$11,'Inputs &amp; Assumptions'!$C$12*(AJ49-AJ60),0)))</f>
        <v>0</v>
      </c>
      <c r="AK71" s="39" t="n">
        <f aca="false">IF(33&gt;'Inputs &amp; Assumptions'!$E$145,0,IF(33='Inputs &amp; Assumptions'!$E$145,AK49-AK60,IF(('Inputs &amp; Assumptions'!$C$145+33)&gt;'Inputs &amp; Assumptions'!$C$11,'Inputs &amp; Assumptions'!$C$12*(AK49-AK60),0)))</f>
        <v>0</v>
      </c>
      <c r="AL71" s="39" t="n">
        <f aca="false">IF(34&gt;'Inputs &amp; Assumptions'!$E$145,0,IF(34='Inputs &amp; Assumptions'!$E$145,AL49-AL60,IF(('Inputs &amp; Assumptions'!$C$145+34)&gt;'Inputs &amp; Assumptions'!$C$11,'Inputs &amp; Assumptions'!$C$12*(AL49-AL60),0)))</f>
        <v>0</v>
      </c>
      <c r="AM71" s="39" t="n">
        <f aca="false">IF(35&gt;'Inputs &amp; Assumptions'!$E$145,0,IF(35='Inputs &amp; Assumptions'!$E$145,AM49-AM60,IF(('Inputs &amp; Assumptions'!$C$145+35)&gt;'Inputs &amp; Assumptions'!$C$11,'Inputs &amp; Assumptions'!$C$12*(AM49-AM60),0)))</f>
        <v>0</v>
      </c>
      <c r="AN71" s="39" t="n">
        <f aca="false">IF(36&gt;'Inputs &amp; Assumptions'!$E$145,0,IF(36='Inputs &amp; Assumptions'!$E$145,AN49-AN60,IF(('Inputs &amp; Assumptions'!$C$145+36)&gt;'Inputs &amp; Assumptions'!$C$11,'Inputs &amp; Assumptions'!$C$12*(AN49-AN60),0)))</f>
        <v>0</v>
      </c>
    </row>
    <row r="72" customFormat="false" ht="15" hidden="false" customHeight="false" outlineLevel="0" collapsed="false">
      <c r="B72" s="37" t="n">
        <v>7</v>
      </c>
      <c r="C72" s="38" t="n">
        <f aca="false">'Inputs &amp; Assumptions'!$C$146</f>
        <v>6</v>
      </c>
      <c r="D72" s="38" t="n">
        <f aca="false">'Inputs &amp; Assumptions'!$D$146</f>
        <v>3</v>
      </c>
      <c r="E72" s="39" t="n">
        <f aca="false">IF(1&gt;'Inputs &amp; Assumptions'!$E$146,0,IF(1='Inputs &amp; Assumptions'!$E$146,E50-E61,IF(('Inputs &amp; Assumptions'!$C$146+1)&gt;'Inputs &amp; Assumptions'!$C$11,'Inputs &amp; Assumptions'!$C$12*(E50-E61),0)))</f>
        <v>1675498.266</v>
      </c>
      <c r="F72" s="39" t="n">
        <f aca="false">IF(2&gt;'Inputs &amp; Assumptions'!$E$146,0,IF(2='Inputs &amp; Assumptions'!$E$146,F50-F61,IF(('Inputs &amp; Assumptions'!$C$146+2)&gt;'Inputs &amp; Assumptions'!$C$11,'Inputs &amp; Assumptions'!$C$12*(F50-F61),0)))</f>
        <v>1566045.41882263</v>
      </c>
      <c r="G72" s="39" t="n">
        <f aca="false">IF(3&gt;'Inputs &amp; Assumptions'!$E$146,0,IF(3='Inputs &amp; Assumptions'!$E$146,G50-G61,IF(('Inputs &amp; Assumptions'!$C$146+3)&gt;'Inputs &amp; Assumptions'!$C$11,'Inputs &amp; Assumptions'!$C$12*(G50-G61),0)))</f>
        <v>1465518.12807763</v>
      </c>
      <c r="H72" s="39" t="n">
        <f aca="false">IF(4&gt;'Inputs &amp; Assumptions'!$E$146,0,IF(4='Inputs &amp; Assumptions'!$E$146,H50-H61,IF(('Inputs &amp; Assumptions'!$C$146+4)&gt;'Inputs &amp; Assumptions'!$C$11,'Inputs &amp; Assumptions'!$C$12*(H50-H61),0)))</f>
        <v>1371443.86612928</v>
      </c>
      <c r="I72" s="39" t="n">
        <f aca="false">IF(5&gt;'Inputs &amp; Assumptions'!$E$146,0,IF(5='Inputs &amp; Assumptions'!$E$146,I50-I61,IF(('Inputs &amp; Assumptions'!$C$146+5)&gt;'Inputs &amp; Assumptions'!$C$11,'Inputs &amp; Assumptions'!$C$12*(I50-I61),0)))</f>
        <v>1283408.40137598</v>
      </c>
      <c r="J72" s="39" t="n">
        <f aca="false">IF(6&gt;'Inputs &amp; Assumptions'!$E$146,0,IF(6='Inputs &amp; Assumptions'!$E$146,J50-J61,IF(('Inputs &amp; Assumptions'!$C$146+6)&gt;'Inputs &amp; Assumptions'!$C$11,'Inputs &amp; Assumptions'!$C$12*(J50-J61),0)))</f>
        <v>1201024.09249259</v>
      </c>
      <c r="K72" s="39" t="n">
        <f aca="false">IF(7&gt;'Inputs &amp; Assumptions'!$E$146,0,IF(7='Inputs &amp; Assumptions'!$E$146,K50-K61,IF(('Inputs &amp; Assumptions'!$C$146+7)&gt;'Inputs &amp; Assumptions'!$C$11,'Inputs &amp; Assumptions'!$C$12*(K50-K61),0)))</f>
        <v>1126084.12657512</v>
      </c>
      <c r="L72" s="39" t="n">
        <f aca="false">IF(8&gt;'Inputs &amp; Assumptions'!$E$146,0,IF(8='Inputs &amp; Assumptions'!$E$146,L50-L61,IF(('Inputs &amp; Assumptions'!$C$146+8)&gt;'Inputs &amp; Assumptions'!$C$11,'Inputs &amp; Assumptions'!$C$12*(L50-L61),0)))</f>
        <v>1055820.16884667</v>
      </c>
      <c r="M72" s="39" t="n">
        <f aca="false">IF(9&gt;'Inputs &amp; Assumptions'!$E$146,0,IF(9='Inputs &amp; Assumptions'!$E$146,M50-M61,IF(('Inputs &amp; Assumptions'!$C$146+9)&gt;'Inputs &amp; Assumptions'!$C$11,'Inputs &amp; Assumptions'!$C$12*(M50-M61),0)))</f>
        <v>989940.451726148</v>
      </c>
      <c r="N72" s="39" t="n">
        <f aca="false">IF(10&gt;'Inputs &amp; Assumptions'!$E$146,0,IF(10='Inputs &amp; Assumptions'!$E$146,N50-N61,IF(('Inputs &amp; Assumptions'!$C$146+10)&gt;'Inputs &amp; Assumptions'!$C$11,'Inputs &amp; Assumptions'!$C$12*(N50-N61),0)))</f>
        <v>928171.412972965</v>
      </c>
      <c r="O72" s="39" t="n">
        <f aca="false">IF(11&gt;'Inputs &amp; Assumptions'!$E$146,0,IF(11='Inputs &amp; Assumptions'!$E$146,O50-O61,IF(('Inputs &amp; Assumptions'!$C$146+11)&gt;'Inputs &amp; Assumptions'!$C$11,'Inputs &amp; Assumptions'!$C$12*(O50-O61),0)))</f>
        <v>871725.402677432</v>
      </c>
      <c r="P72" s="39" t="n">
        <f aca="false">IF(12&gt;'Inputs &amp; Assumptions'!$E$146,0,IF(12='Inputs &amp; Assumptions'!$E$146,P50-P61,IF(('Inputs &amp; Assumptions'!$C$146+12)&gt;'Inputs &amp; Assumptions'!$C$11,'Inputs &amp; Assumptions'!$C$12*(P50-P61),0)))</f>
        <v>818712.111849178</v>
      </c>
      <c r="Q72" s="39" t="n">
        <f aca="false">IF(13&gt;'Inputs &amp; Assumptions'!$E$146,0,IF(13='Inputs &amp; Assumptions'!$E$146,Q50-Q61,IF(('Inputs &amp; Assumptions'!$C$146+13)&gt;'Inputs &amp; Assumptions'!$C$11,'Inputs &amp; Assumptions'!$C$12*(Q50-Q61),0)))</f>
        <v>768922.782369083</v>
      </c>
      <c r="R72" s="39" t="n">
        <f aca="false">IF(14&gt;'Inputs &amp; Assumptions'!$E$146,0,IF(14='Inputs &amp; Assumptions'!$E$146,R50-R61,IF(('Inputs &amp; Assumptions'!$C$146+14)&gt;'Inputs &amp; Assumptions'!$C$11,'Inputs &amp; Assumptions'!$C$12*(R50-R61),0)))</f>
        <v>722161.351577916</v>
      </c>
      <c r="S72" s="39" t="n">
        <f aca="false">IF(15&gt;'Inputs &amp; Assumptions'!$E$146,0,IF(15='Inputs &amp; Assumptions'!$E$146,S50-S61,IF(('Inputs &amp; Assumptions'!$C$146+15)&gt;'Inputs &amp; Assumptions'!$C$11,'Inputs &amp; Assumptions'!$C$12*(S50-S61),0)))</f>
        <v>679011.252216345</v>
      </c>
      <c r="T72" s="39" t="n">
        <f aca="false">IF(16&gt;'Inputs &amp; Assumptions'!$E$146,0,IF(16='Inputs &amp; Assumptions'!$E$146,T50-T61,IF(('Inputs &amp; Assumptions'!$C$146+16)&gt;'Inputs &amp; Assumptions'!$C$11,'Inputs &amp; Assumptions'!$C$12*(T50-T61),0)))</f>
        <v>638439.428569537</v>
      </c>
      <c r="U72" s="39" t="n">
        <f aca="false">IF(17&gt;'Inputs &amp; Assumptions'!$E$146,0,IF(17='Inputs &amp; Assumptions'!$E$146,U50-U61,IF(('Inputs &amp; Assumptions'!$C$146+17)&gt;'Inputs &amp; Assumptions'!$C$11,'Inputs &amp; Assumptions'!$C$12*(U50-U61),0)))</f>
        <v>600291.825241102</v>
      </c>
      <c r="V72" s="39" t="n">
        <f aca="false">IF(18&gt;'Inputs &amp; Assumptions'!$E$146,0,IF(18='Inputs &amp; Assumptions'!$E$146,V50-V61,IF(('Inputs &amp; Assumptions'!$C$146+18)&gt;'Inputs &amp; Assumptions'!$C$11,'Inputs &amp; Assumptions'!$C$12*(V50-V61),0)))</f>
        <v>564423.591849084</v>
      </c>
      <c r="W72" s="39" t="n">
        <f aca="false">IF(19&gt;'Inputs &amp; Assumptions'!$E$146,0,IF(19='Inputs &amp; Assumptions'!$E$146,W50-W61,IF(('Inputs &amp; Assumptions'!$C$146+19)&gt;'Inputs &amp; Assumptions'!$C$11,'Inputs &amp; Assumptions'!$C$12*(W50-W61),0)))</f>
        <v>531245.122640666</v>
      </c>
      <c r="X72" s="39" t="n">
        <f aca="false">IF(20&gt;'Inputs &amp; Assumptions'!$E$146,0,IF(20='Inputs &amp; Assumptions'!$E$146,X50-X61,IF(('Inputs &amp; Assumptions'!$C$146+20)&gt;'Inputs &amp; Assumptions'!$C$11,'Inputs &amp; Assumptions'!$C$12*(X50-X61),0)))</f>
        <v>500016.980872332</v>
      </c>
      <c r="Y72" s="39" t="n">
        <f aca="false">IF(21&gt;'Inputs &amp; Assumptions'!$E$146,0,IF(21='Inputs &amp; Assumptions'!$E$146,Y50-Y61,IF(('Inputs &amp; Assumptions'!$C$146+21)&gt;'Inputs &amp; Assumptions'!$C$11,'Inputs &amp; Assumptions'!$C$12*(Y50-Y61),0)))</f>
        <v>470624.520594033</v>
      </c>
      <c r="Z72" s="39" t="n">
        <f aca="false">IF(22&gt;'Inputs &amp; Assumptions'!$E$146,0,IF(22='Inputs &amp; Assumptions'!$E$146,Z50-Z61,IF(('Inputs &amp; Assumptions'!$C$146+22)&gt;'Inputs &amp; Assumptions'!$C$11,'Inputs &amp; Assumptions'!$C$12*(Z50-Z61),0)))</f>
        <v>14765327.8359971</v>
      </c>
      <c r="AA72" s="39" t="n">
        <f aca="false">IF(23&gt;'Inputs &amp; Assumptions'!$E$146,0,IF(23='Inputs &amp; Assumptions'!$E$146,AA50-AA61,IF(('Inputs &amp; Assumptions'!$C$146+23)&gt;'Inputs &amp; Assumptions'!$C$11,'Inputs &amp; Assumptions'!$C$12*(AA50-AA61),0)))</f>
        <v>0</v>
      </c>
      <c r="AB72" s="39" t="n">
        <f aca="false">IF(24&gt;'Inputs &amp; Assumptions'!$E$146,0,IF(24='Inputs &amp; Assumptions'!$E$146,AB50-AB61,IF(('Inputs &amp; Assumptions'!$C$146+24)&gt;'Inputs &amp; Assumptions'!$C$11,'Inputs &amp; Assumptions'!$C$12*(AB50-AB61),0)))</f>
        <v>0</v>
      </c>
      <c r="AC72" s="39" t="n">
        <f aca="false">IF(25&gt;'Inputs &amp; Assumptions'!$E$146,0,IF(25='Inputs &amp; Assumptions'!$E$146,AC50-AC61,IF(('Inputs &amp; Assumptions'!$C$146+25)&gt;'Inputs &amp; Assumptions'!$C$11,'Inputs &amp; Assumptions'!$C$12*(AC50-AC61),0)))</f>
        <v>0</v>
      </c>
      <c r="AD72" s="39" t="n">
        <f aca="false">IF(26&gt;'Inputs &amp; Assumptions'!$E$146,0,IF(26='Inputs &amp; Assumptions'!$E$146,AD50-AD61,IF(('Inputs &amp; Assumptions'!$C$146+26)&gt;'Inputs &amp; Assumptions'!$C$11,'Inputs &amp; Assumptions'!$C$12*(AD50-AD61),0)))</f>
        <v>0</v>
      </c>
      <c r="AE72" s="39" t="n">
        <f aca="false">IF(27&gt;'Inputs &amp; Assumptions'!$E$146,0,IF(27='Inputs &amp; Assumptions'!$E$146,AE50-AE61,IF(('Inputs &amp; Assumptions'!$C$146+27)&gt;'Inputs &amp; Assumptions'!$C$11,'Inputs &amp; Assumptions'!$C$12*(AE50-AE61),0)))</f>
        <v>0</v>
      </c>
      <c r="AF72" s="39" t="n">
        <f aca="false">IF(28&gt;'Inputs &amp; Assumptions'!$E$146,0,IF(28='Inputs &amp; Assumptions'!$E$146,AF50-AF61,IF(('Inputs &amp; Assumptions'!$C$146+28)&gt;'Inputs &amp; Assumptions'!$C$11,'Inputs &amp; Assumptions'!$C$12*(AF50-AF61),0)))</f>
        <v>0</v>
      </c>
      <c r="AG72" s="39" t="n">
        <f aca="false">IF(29&gt;'Inputs &amp; Assumptions'!$E$146,0,IF(29='Inputs &amp; Assumptions'!$E$146,AG50-AG61,IF(('Inputs &amp; Assumptions'!$C$146+29)&gt;'Inputs &amp; Assumptions'!$C$11,'Inputs &amp; Assumptions'!$C$12*(AG50-AG61),0)))</f>
        <v>0</v>
      </c>
      <c r="AH72" s="39" t="n">
        <f aca="false">IF(30&gt;'Inputs &amp; Assumptions'!$E$146,0,IF(30='Inputs &amp; Assumptions'!$E$146,AH50-AH61,IF(('Inputs &amp; Assumptions'!$C$146+30)&gt;'Inputs &amp; Assumptions'!$C$11,'Inputs &amp; Assumptions'!$C$12*(AH50-AH61),0)))</f>
        <v>0</v>
      </c>
      <c r="AI72" s="39" t="n">
        <f aca="false">IF(31&gt;'Inputs &amp; Assumptions'!$E$146,0,IF(31='Inputs &amp; Assumptions'!$E$146,AI50-AI61,IF(('Inputs &amp; Assumptions'!$C$146+31)&gt;'Inputs &amp; Assumptions'!$C$11,'Inputs &amp; Assumptions'!$C$12*(AI50-AI61),0)))</f>
        <v>0</v>
      </c>
      <c r="AJ72" s="39" t="n">
        <f aca="false">IF(32&gt;'Inputs &amp; Assumptions'!$E$146,0,IF(32='Inputs &amp; Assumptions'!$E$146,AJ50-AJ61,IF(('Inputs &amp; Assumptions'!$C$146+32)&gt;'Inputs &amp; Assumptions'!$C$11,'Inputs &amp; Assumptions'!$C$12*(AJ50-AJ61),0)))</f>
        <v>0</v>
      </c>
      <c r="AK72" s="39" t="n">
        <f aca="false">IF(33&gt;'Inputs &amp; Assumptions'!$E$146,0,IF(33='Inputs &amp; Assumptions'!$E$146,AK50-AK61,IF(('Inputs &amp; Assumptions'!$C$146+33)&gt;'Inputs &amp; Assumptions'!$C$11,'Inputs &amp; Assumptions'!$C$12*(AK50-AK61),0)))</f>
        <v>0</v>
      </c>
      <c r="AL72" s="39" t="n">
        <f aca="false">IF(34&gt;'Inputs &amp; Assumptions'!$E$146,0,IF(34='Inputs &amp; Assumptions'!$E$146,AL50-AL61,IF(('Inputs &amp; Assumptions'!$C$146+34)&gt;'Inputs &amp; Assumptions'!$C$11,'Inputs &amp; Assumptions'!$C$12*(AL50-AL61),0)))</f>
        <v>0</v>
      </c>
      <c r="AM72" s="39" t="n">
        <f aca="false">IF(35&gt;'Inputs &amp; Assumptions'!$E$146,0,IF(35='Inputs &amp; Assumptions'!$E$146,AM50-AM61,IF(('Inputs &amp; Assumptions'!$C$146+35)&gt;'Inputs &amp; Assumptions'!$C$11,'Inputs &amp; Assumptions'!$C$12*(AM50-AM61),0)))</f>
        <v>0</v>
      </c>
      <c r="AN72" s="39" t="n">
        <f aca="false">IF(36&gt;'Inputs &amp; Assumptions'!$E$146,0,IF(36='Inputs &amp; Assumptions'!$E$146,AN50-AN61,IF(('Inputs &amp; Assumptions'!$C$146+36)&gt;'Inputs &amp; Assumptions'!$C$11,'Inputs &amp; Assumptions'!$C$12*(AN50-AN61),0)))</f>
        <v>0</v>
      </c>
    </row>
    <row r="73" customFormat="false" ht="15" hidden="false" customHeight="false" outlineLevel="0" collapsed="false">
      <c r="B73" s="37" t="n">
        <v>8</v>
      </c>
      <c r="C73" s="38" t="n">
        <f aca="false">'Inputs &amp; Assumptions'!$C$147</f>
        <v>7</v>
      </c>
      <c r="D73" s="38" t="n">
        <f aca="false">'Inputs &amp; Assumptions'!$D$147</f>
        <v>3</v>
      </c>
      <c r="E73" s="39" t="n">
        <f aca="false">IF(1&gt;'Inputs &amp; Assumptions'!$E$147,0,IF(1='Inputs &amp; Assumptions'!$E$147,E51-E62,IF(('Inputs &amp; Assumptions'!$C$147+1)&gt;'Inputs &amp; Assumptions'!$C$11,'Inputs &amp; Assumptions'!$C$12*(E51-E62),0)))</f>
        <v>1625233.31802</v>
      </c>
      <c r="F73" s="39" t="n">
        <f aca="false">IF(2&gt;'Inputs &amp; Assumptions'!$E$147,0,IF(2='Inputs &amp; Assumptions'!$E$147,F51-F62,IF(('Inputs &amp; Assumptions'!$C$147+2)&gt;'Inputs &amp; Assumptions'!$C$11,'Inputs &amp; Assumptions'!$C$12*(F51-F62),0)))</f>
        <v>1520906.64886637</v>
      </c>
      <c r="G73" s="39" t="n">
        <f aca="false">IF(3&gt;'Inputs &amp; Assumptions'!$E$147,0,IF(3='Inputs &amp; Assumptions'!$E$147,G51-G62,IF(('Inputs &amp; Assumptions'!$C$147+3)&gt;'Inputs &amp; Assumptions'!$C$11,'Inputs &amp; Assumptions'!$C$12*(G51-G62),0)))</f>
        <v>1423276.89748819</v>
      </c>
      <c r="H73" s="39" t="n">
        <f aca="false">IF(4&gt;'Inputs &amp; Assumptions'!$E$147,0,IF(4='Inputs &amp; Assumptions'!$E$147,H51-H62,IF(('Inputs &amp; Assumptions'!$C$147+4)&gt;'Inputs &amp; Assumptions'!$C$11,'Inputs &amp; Assumptions'!$C$12*(H51-H62),0)))</f>
        <v>1331914.17660873</v>
      </c>
      <c r="I73" s="39" t="n">
        <f aca="false">IF(5&gt;'Inputs &amp; Assumptions'!$E$147,0,IF(5='Inputs &amp; Assumptions'!$E$147,I51-I62,IF(('Inputs &amp; Assumptions'!$C$147+5)&gt;'Inputs &amp; Assumptions'!$C$11,'Inputs &amp; Assumptions'!$C$12*(I51-I62),0)))</f>
        <v>1246416.19419389</v>
      </c>
      <c r="J73" s="39" t="n">
        <f aca="false">IF(6&gt;'Inputs &amp; Assumptions'!$E$147,0,IF(6='Inputs &amp; Assumptions'!$E$147,J51-J62,IF(('Inputs &amp; Assumptions'!$C$147+6)&gt;'Inputs &amp; Assumptions'!$C$11,'Inputs &amp; Assumptions'!$C$12*(J51-J62),0)))</f>
        <v>1168643.90994436</v>
      </c>
      <c r="K73" s="39" t="n">
        <f aca="false">IF(7&gt;'Inputs &amp; Assumptions'!$E$147,0,IF(7='Inputs &amp; Assumptions'!$E$147,K51-K62,IF(('Inputs &amp; Assumptions'!$C$147+7)&gt;'Inputs &amp; Assumptions'!$C$11,'Inputs &amp; Assumptions'!$C$12*(K51-K62),0)))</f>
        <v>1095724.36126226</v>
      </c>
      <c r="L73" s="39" t="n">
        <f aca="false">IF(8&gt;'Inputs &amp; Assumptions'!$E$147,0,IF(8='Inputs &amp; Assumptions'!$E$147,L51-L62,IF(('Inputs &amp; Assumptions'!$C$147+8)&gt;'Inputs &amp; Assumptions'!$C$11,'Inputs &amp; Assumptions'!$C$12*(L51-L62),0)))</f>
        <v>1027354.75335746</v>
      </c>
      <c r="M73" s="39" t="n">
        <f aca="false">IF(9&gt;'Inputs &amp; Assumptions'!$E$147,0,IF(9='Inputs &amp; Assumptions'!$E$147,M51-M62,IF(('Inputs &amp; Assumptions'!$C$147+9)&gt;'Inputs &amp; Assumptions'!$C$11,'Inputs &amp; Assumptions'!$C$12*(M51-M62),0)))</f>
        <v>963251.184842049</v>
      </c>
      <c r="N73" s="39" t="n">
        <f aca="false">IF(10&gt;'Inputs &amp; Assumptions'!$E$147,0,IF(10='Inputs &amp; Assumptions'!$E$147,N51-N62,IF(('Inputs &amp; Assumptions'!$C$147+10)&gt;'Inputs &amp; Assumptions'!$C$11,'Inputs &amp; Assumptions'!$C$12*(N51-N62),0)))</f>
        <v>904671.825968429</v>
      </c>
      <c r="O73" s="39" t="n">
        <f aca="false">IF(11&gt;'Inputs &amp; Assumptions'!$E$147,0,IF(11='Inputs &amp; Assumptions'!$E$147,O51-O62,IF(('Inputs &amp; Assumptions'!$C$147+11)&gt;'Inputs &amp; Assumptions'!$C$11,'Inputs &amp; Assumptions'!$C$12*(O51-O62),0)))</f>
        <v>849654.924468383</v>
      </c>
      <c r="P73" s="39" t="n">
        <f aca="false">IF(12&gt;'Inputs &amp; Assumptions'!$E$147,0,IF(12='Inputs &amp; Assumptions'!$E$147,P51-P62,IF(('Inputs &amp; Assumptions'!$C$147+12)&gt;'Inputs &amp; Assumptions'!$C$11,'Inputs &amp; Assumptions'!$C$12*(P51-P62),0)))</f>
        <v>797983.832314644</v>
      </c>
      <c r="Q73" s="39" t="n">
        <f aca="false">IF(13&gt;'Inputs &amp; Assumptions'!$E$147,0,IF(13='Inputs &amp; Assumptions'!$E$147,Q51-Q62,IF(('Inputs &amp; Assumptions'!$C$147+13)&gt;'Inputs &amp; Assumptions'!$C$11,'Inputs &amp; Assumptions'!$C$12*(Q51-Q62),0)))</f>
        <v>749455.076758354</v>
      </c>
      <c r="R73" s="39" t="n">
        <f aca="false">IF(14&gt;'Inputs &amp; Assumptions'!$E$147,0,IF(14='Inputs &amp; Assumptions'!$E$147,R51-R62,IF(('Inputs &amp; Assumptions'!$C$147+14)&gt;'Inputs &amp; Assumptions'!$C$11,'Inputs &amp; Assumptions'!$C$12*(R51-R62),0)))</f>
        <v>704674.141087266</v>
      </c>
      <c r="S73" s="39" t="n">
        <f aca="false">IF(15&gt;'Inputs &amp; Assumptions'!$E$147,0,IF(15='Inputs &amp; Assumptions'!$E$147,S51-S62,IF(('Inputs &amp; Assumptions'!$C$147+15)&gt;'Inputs &amp; Assumptions'!$C$11,'Inputs &amp; Assumptions'!$C$12*(S51-S62),0)))</f>
        <v>662568.925765224</v>
      </c>
      <c r="T73" s="39" t="n">
        <f aca="false">IF(16&gt;'Inputs &amp; Assumptions'!$E$147,0,IF(16='Inputs &amp; Assumptions'!$E$147,T51-T62,IF(('Inputs &amp; Assumptions'!$C$147+16)&gt;'Inputs &amp; Assumptions'!$C$11,'Inputs &amp; Assumptions'!$C$12*(T51-T62),0)))</f>
        <v>622979.552949591</v>
      </c>
      <c r="U73" s="39" t="n">
        <f aca="false">IF(17&gt;'Inputs &amp; Assumptions'!$E$147,0,IF(17='Inputs &amp; Assumptions'!$E$147,U51-U62,IF(('Inputs &amp; Assumptions'!$C$147+17)&gt;'Inputs &amp; Assumptions'!$C$11,'Inputs &amp; Assumptions'!$C$12*(U51-U62),0)))</f>
        <v>585755.697711055</v>
      </c>
      <c r="V73" s="39" t="n">
        <f aca="false">IF(18&gt;'Inputs &amp; Assumptions'!$E$147,0,IF(18='Inputs &amp; Assumptions'!$E$147,V51-V62,IF(('Inputs &amp; Assumptions'!$C$147+18)&gt;'Inputs &amp; Assumptions'!$C$11,'Inputs &amp; Assumptions'!$C$12*(V51-V62),0)))</f>
        <v>551323.264941027</v>
      </c>
      <c r="W73" s="39" t="n">
        <f aca="false">IF(19&gt;'Inputs &amp; Assumptions'!$E$147,0,IF(19='Inputs &amp; Assumptions'!$E$147,W51-W62,IF(('Inputs &amp; Assumptions'!$C$147+19)&gt;'Inputs &amp; Assumptions'!$C$11,'Inputs &amp; Assumptions'!$C$12*(W51-W62),0)))</f>
        <v>518914.871256056</v>
      </c>
      <c r="X73" s="39" t="n">
        <f aca="false">IF(20&gt;'Inputs &amp; Assumptions'!$E$147,0,IF(20='Inputs &amp; Assumptions'!$E$147,X51-X62,IF(('Inputs &amp; Assumptions'!$C$147+20)&gt;'Inputs &amp; Assumptions'!$C$11,'Inputs &amp; Assumptions'!$C$12*(X51-X62),0)))</f>
        <v>488411.537720057</v>
      </c>
      <c r="Y73" s="39" t="n">
        <f aca="false">IF(21&gt;'Inputs &amp; Assumptions'!$E$147,0,IF(21='Inputs &amp; Assumptions'!$E$147,Y51-Y62,IF(('Inputs &amp; Assumptions'!$C$147+21)&gt;'Inputs &amp; Assumptions'!$C$11,'Inputs &amp; Assumptions'!$C$12*(Y51-Y62),0)))</f>
        <v>15323375.9775574</v>
      </c>
      <c r="Z73" s="39" t="n">
        <f aca="false">IF(22&gt;'Inputs &amp; Assumptions'!$E$147,0,IF(22='Inputs &amp; Assumptions'!$E$147,Z51-Z62,IF(('Inputs &amp; Assumptions'!$C$147+22)&gt;'Inputs &amp; Assumptions'!$C$11,'Inputs &amp; Assumptions'!$C$12*(Z51-Z62),0)))</f>
        <v>0</v>
      </c>
      <c r="AA73" s="39" t="n">
        <f aca="false">IF(23&gt;'Inputs &amp; Assumptions'!$E$147,0,IF(23='Inputs &amp; Assumptions'!$E$147,AA51-AA62,IF(('Inputs &amp; Assumptions'!$C$147+23)&gt;'Inputs &amp; Assumptions'!$C$11,'Inputs &amp; Assumptions'!$C$12*(AA51-AA62),0)))</f>
        <v>0</v>
      </c>
      <c r="AB73" s="39" t="n">
        <f aca="false">IF(24&gt;'Inputs &amp; Assumptions'!$E$147,0,IF(24='Inputs &amp; Assumptions'!$E$147,AB51-AB62,IF(('Inputs &amp; Assumptions'!$C$147+24)&gt;'Inputs &amp; Assumptions'!$C$11,'Inputs &amp; Assumptions'!$C$12*(AB51-AB62),0)))</f>
        <v>0</v>
      </c>
      <c r="AC73" s="39" t="n">
        <f aca="false">IF(25&gt;'Inputs &amp; Assumptions'!$E$147,0,IF(25='Inputs &amp; Assumptions'!$E$147,AC51-AC62,IF(('Inputs &amp; Assumptions'!$C$147+25)&gt;'Inputs &amp; Assumptions'!$C$11,'Inputs &amp; Assumptions'!$C$12*(AC51-AC62),0)))</f>
        <v>0</v>
      </c>
      <c r="AD73" s="39" t="n">
        <f aca="false">IF(26&gt;'Inputs &amp; Assumptions'!$E$147,0,IF(26='Inputs &amp; Assumptions'!$E$147,AD51-AD62,IF(('Inputs &amp; Assumptions'!$C$147+26)&gt;'Inputs &amp; Assumptions'!$C$11,'Inputs &amp; Assumptions'!$C$12*(AD51-AD62),0)))</f>
        <v>0</v>
      </c>
      <c r="AE73" s="39" t="n">
        <f aca="false">IF(27&gt;'Inputs &amp; Assumptions'!$E$147,0,IF(27='Inputs &amp; Assumptions'!$E$147,AE51-AE62,IF(('Inputs &amp; Assumptions'!$C$147+27)&gt;'Inputs &amp; Assumptions'!$C$11,'Inputs &amp; Assumptions'!$C$12*(AE51-AE62),0)))</f>
        <v>0</v>
      </c>
      <c r="AF73" s="39" t="n">
        <f aca="false">IF(28&gt;'Inputs &amp; Assumptions'!$E$147,0,IF(28='Inputs &amp; Assumptions'!$E$147,AF51-AF62,IF(('Inputs &amp; Assumptions'!$C$147+28)&gt;'Inputs &amp; Assumptions'!$C$11,'Inputs &amp; Assumptions'!$C$12*(AF51-AF62),0)))</f>
        <v>0</v>
      </c>
      <c r="AG73" s="39" t="n">
        <f aca="false">IF(29&gt;'Inputs &amp; Assumptions'!$E$147,0,IF(29='Inputs &amp; Assumptions'!$E$147,AG51-AG62,IF(('Inputs &amp; Assumptions'!$C$147+29)&gt;'Inputs &amp; Assumptions'!$C$11,'Inputs &amp; Assumptions'!$C$12*(AG51-AG62),0)))</f>
        <v>0</v>
      </c>
      <c r="AH73" s="39" t="n">
        <f aca="false">IF(30&gt;'Inputs &amp; Assumptions'!$E$147,0,IF(30='Inputs &amp; Assumptions'!$E$147,AH51-AH62,IF(('Inputs &amp; Assumptions'!$C$147+30)&gt;'Inputs &amp; Assumptions'!$C$11,'Inputs &amp; Assumptions'!$C$12*(AH51-AH62),0)))</f>
        <v>0</v>
      </c>
      <c r="AI73" s="39" t="n">
        <f aca="false">IF(31&gt;'Inputs &amp; Assumptions'!$E$147,0,IF(31='Inputs &amp; Assumptions'!$E$147,AI51-AI62,IF(('Inputs &amp; Assumptions'!$C$147+31)&gt;'Inputs &amp; Assumptions'!$C$11,'Inputs &amp; Assumptions'!$C$12*(AI51-AI62),0)))</f>
        <v>0</v>
      </c>
      <c r="AJ73" s="39" t="n">
        <f aca="false">IF(32&gt;'Inputs &amp; Assumptions'!$E$147,0,IF(32='Inputs &amp; Assumptions'!$E$147,AJ51-AJ62,IF(('Inputs &amp; Assumptions'!$C$147+32)&gt;'Inputs &amp; Assumptions'!$C$11,'Inputs &amp; Assumptions'!$C$12*(AJ51-AJ62),0)))</f>
        <v>0</v>
      </c>
      <c r="AK73" s="39" t="n">
        <f aca="false">IF(33&gt;'Inputs &amp; Assumptions'!$E$147,0,IF(33='Inputs &amp; Assumptions'!$E$147,AK51-AK62,IF(('Inputs &amp; Assumptions'!$C$147+33)&gt;'Inputs &amp; Assumptions'!$C$11,'Inputs &amp; Assumptions'!$C$12*(AK51-AK62),0)))</f>
        <v>0</v>
      </c>
      <c r="AL73" s="39" t="n">
        <f aca="false">IF(34&gt;'Inputs &amp; Assumptions'!$E$147,0,IF(34='Inputs &amp; Assumptions'!$E$147,AL51-AL62,IF(('Inputs &amp; Assumptions'!$C$147+34)&gt;'Inputs &amp; Assumptions'!$C$11,'Inputs &amp; Assumptions'!$C$12*(AL51-AL62),0)))</f>
        <v>0</v>
      </c>
      <c r="AM73" s="39" t="n">
        <f aca="false">IF(35&gt;'Inputs &amp; Assumptions'!$E$147,0,IF(35='Inputs &amp; Assumptions'!$E$147,AM51-AM62,IF(('Inputs &amp; Assumptions'!$C$147+35)&gt;'Inputs &amp; Assumptions'!$C$11,'Inputs &amp; Assumptions'!$C$12*(AM51-AM62),0)))</f>
        <v>0</v>
      </c>
      <c r="AN73" s="39" t="n">
        <f aca="false">IF(36&gt;'Inputs &amp; Assumptions'!$E$147,0,IF(36='Inputs &amp; Assumptions'!$E$147,AN51-AN62,IF(('Inputs &amp; Assumptions'!$C$147+36)&gt;'Inputs &amp; Assumptions'!$C$11,'Inputs &amp; Assumptions'!$C$12*(AN51-AN62),0)))</f>
        <v>0</v>
      </c>
    </row>
    <row r="74" customFormat="false" ht="15" hidden="false" customHeight="false" outlineLevel="0" collapsed="false">
      <c r="B74" s="37" t="n">
        <v>9</v>
      </c>
      <c r="C74" s="38" t="n">
        <f aca="false">'Inputs &amp; Assumptions'!$C$148</f>
        <v>8</v>
      </c>
      <c r="D74" s="38" t="n">
        <f aca="false">'Inputs &amp; Assumptions'!$D$148</f>
        <v>3</v>
      </c>
      <c r="E74" s="39" t="n">
        <f aca="false">IF(1&gt;'Inputs &amp; Assumptions'!$E$148,0,IF(1='Inputs &amp; Assumptions'!$E$148,E52-E63,IF(('Inputs &amp; Assumptions'!$C$148+1)&gt;'Inputs &amp; Assumptions'!$C$11,'Inputs &amp; Assumptions'!$C$12*(E52-E63),0)))</f>
        <v>1578388.550949</v>
      </c>
      <c r="F74" s="39" t="n">
        <f aca="false">IF(2&gt;'Inputs &amp; Assumptions'!$E$148,0,IF(2='Inputs &amp; Assumptions'!$E$148,F52-F63,IF(('Inputs &amp; Assumptions'!$C$148+2)&gt;'Inputs &amp; Assumptions'!$C$11,'Inputs &amp; Assumptions'!$C$12*(F52-F63),0)))</f>
        <v>1477068.93220568</v>
      </c>
      <c r="G74" s="39" t="n">
        <f aca="false">IF(3&gt;'Inputs &amp; Assumptions'!$E$148,0,IF(3='Inputs &amp; Assumptions'!$E$148,G52-G63,IF(('Inputs &amp; Assumptions'!$C$148+3)&gt;'Inputs &amp; Assumptions'!$C$11,'Inputs &amp; Assumptions'!$C$12*(G52-G63),0)))</f>
        <v>1382253.20322773</v>
      </c>
      <c r="H74" s="39" t="n">
        <f aca="false">IF(4&gt;'Inputs &amp; Assumptions'!$E$148,0,IF(4='Inputs &amp; Assumptions'!$E$148,H52-H63,IF(('Inputs &amp; Assumptions'!$C$148+4)&gt;'Inputs &amp; Assumptions'!$C$11,'Inputs &amp; Assumptions'!$C$12*(H52-H63),0)))</f>
        <v>1293523.86755587</v>
      </c>
      <c r="I74" s="39" t="n">
        <f aca="false">IF(5&gt;'Inputs &amp; Assumptions'!$E$148,0,IF(5='Inputs &amp; Assumptions'!$E$148,I52-I63,IF(('Inputs &amp; Assumptions'!$C$148+5)&gt;'Inputs &amp; Assumptions'!$C$11,'Inputs &amp; Assumptions'!$C$12*(I52-I63),0)))</f>
        <v>1212812.218927</v>
      </c>
      <c r="J74" s="39" t="n">
        <f aca="false">IF(6&gt;'Inputs &amp; Assumptions'!$E$148,0,IF(6='Inputs &amp; Assumptions'!$E$148,J52-J63,IF(('Inputs &amp; Assumptions'!$C$148+6)&gt;'Inputs &amp; Assumptions'!$C$11,'Inputs &amp; Assumptions'!$C$12*(J52-J63),0)))</f>
        <v>1137136.71256638</v>
      </c>
      <c r="K74" s="39" t="n">
        <f aca="false">IF(7&gt;'Inputs &amp; Assumptions'!$E$148,0,IF(7='Inputs &amp; Assumptions'!$E$148,K52-K63,IF(('Inputs &amp; Assumptions'!$C$148+7)&gt;'Inputs &amp; Assumptions'!$C$11,'Inputs &amp; Assumptions'!$C$12*(K52-K63),0)))</f>
        <v>1066183.10970703</v>
      </c>
      <c r="L74" s="39" t="n">
        <f aca="false">IF(8&gt;'Inputs &amp; Assumptions'!$E$148,0,IF(8='Inputs &amp; Assumptions'!$E$148,L52-L63,IF(('Inputs &amp; Assumptions'!$C$148+8)&gt;'Inputs &amp; Assumptions'!$C$11,'Inputs &amp; Assumptions'!$C$12*(L52-L63),0)))</f>
        <v>999656.779050829</v>
      </c>
      <c r="M74" s="39" t="n">
        <f aca="false">IF(9&gt;'Inputs &amp; Assumptions'!$E$148,0,IF(9='Inputs &amp; Assumptions'!$E$148,M52-M63,IF(('Inputs &amp; Assumptions'!$C$148+9)&gt;'Inputs &amp; Assumptions'!$C$11,'Inputs &amp; Assumptions'!$C$12*(M52-M63),0)))</f>
        <v>938863.44276226</v>
      </c>
      <c r="N74" s="39" t="n">
        <f aca="false">IF(10&gt;'Inputs &amp; Assumptions'!$E$148,0,IF(10='Inputs &amp; Assumptions'!$E$148,N52-N63,IF(('Inputs &amp; Assumptions'!$C$148+10)&gt;'Inputs &amp; Assumptions'!$C$11,'Inputs &amp; Assumptions'!$C$12*(N52-N63),0)))</f>
        <v>881767.205132497</v>
      </c>
      <c r="O74" s="39" t="n">
        <f aca="false">IF(11&gt;'Inputs &amp; Assumptions'!$E$148,0,IF(11='Inputs &amp; Assumptions'!$E$148,O52-O63,IF(('Inputs &amp; Assumptions'!$C$148+11)&gt;'Inputs &amp; Assumptions'!$C$11,'Inputs &amp; Assumptions'!$C$12*(O52-O63),0)))</f>
        <v>828143.230031013</v>
      </c>
      <c r="P74" s="39" t="n">
        <f aca="false">IF(12&gt;'Inputs &amp; Assumptions'!$E$148,0,IF(12='Inputs &amp; Assumptions'!$E$148,P52-P63,IF(('Inputs &amp; Assumptions'!$C$148+12)&gt;'Inputs &amp; Assumptions'!$C$11,'Inputs &amp; Assumptions'!$C$12*(P52-P63),0)))</f>
        <v>777780.354558713</v>
      </c>
      <c r="Q74" s="39" t="n">
        <f aca="false">IF(13&gt;'Inputs &amp; Assumptions'!$E$148,0,IF(13='Inputs &amp; Assumptions'!$E$148,Q52-Q63,IF(('Inputs &amp; Assumptions'!$C$148+13)&gt;'Inputs &amp; Assumptions'!$C$11,'Inputs &amp; Assumptions'!$C$12*(Q52-Q63),0)))</f>
        <v>731306.945939773</v>
      </c>
      <c r="R74" s="39" t="n">
        <f aca="false">IF(14&gt;'Inputs &amp; Assumptions'!$E$148,0,IF(14='Inputs &amp; Assumptions'!$E$148,R52-R63,IF(('Inputs &amp; Assumptions'!$C$148+14)&gt;'Inputs &amp; Assumptions'!$C$11,'Inputs &amp; Assumptions'!$C$12*(R52-R63),0)))</f>
        <v>687610.38517512</v>
      </c>
      <c r="S74" s="39" t="n">
        <f aca="false">IF(15&gt;'Inputs &amp; Assumptions'!$E$148,0,IF(15='Inputs &amp; Assumptions'!$E$148,S52-S63,IF(('Inputs &amp; Assumptions'!$C$148+15)&gt;'Inputs &amp; Assumptions'!$C$11,'Inputs &amp; Assumptions'!$C$12*(S52-S63),0)))</f>
        <v>646524.751919442</v>
      </c>
      <c r="T74" s="39" t="n">
        <f aca="false">IF(16&gt;'Inputs &amp; Assumptions'!$E$148,0,IF(16='Inputs &amp; Assumptions'!$E$148,T52-T63,IF(('Inputs &amp; Assumptions'!$C$148+16)&gt;'Inputs &amp; Assumptions'!$C$11,'Inputs &amp; Assumptions'!$C$12*(T52-T63),0)))</f>
        <v>607894.039788305</v>
      </c>
      <c r="U74" s="39" t="n">
        <f aca="false">IF(17&gt;'Inputs &amp; Assumptions'!$E$148,0,IF(17='Inputs &amp; Assumptions'!$E$148,U52-U63,IF(('Inputs &amp; Assumptions'!$C$148+17)&gt;'Inputs &amp; Assumptions'!$C$11,'Inputs &amp; Assumptions'!$C$12*(U52-U63),0)))</f>
        <v>572160.250534348</v>
      </c>
      <c r="V74" s="39" t="n">
        <f aca="false">IF(18&gt;'Inputs &amp; Assumptions'!$E$148,0,IF(18='Inputs &amp; Assumptions'!$E$148,V52-V63,IF(('Inputs &amp; Assumptions'!$C$148+18)&gt;'Inputs &amp; Assumptions'!$C$11,'Inputs &amp; Assumptions'!$C$12*(V52-V63),0)))</f>
        <v>538526.997904982</v>
      </c>
      <c r="W74" s="39" t="n">
        <f aca="false">IF(19&gt;'Inputs &amp; Assumptions'!$E$148,0,IF(19='Inputs &amp; Assumptions'!$E$148,W52-W63,IF(('Inputs &amp; Assumptions'!$C$148+19)&gt;'Inputs &amp; Assumptions'!$C$11,'Inputs &amp; Assumptions'!$C$12*(W52-W63),0)))</f>
        <v>506870.806215054</v>
      </c>
      <c r="X74" s="39" t="n">
        <f aca="false">IF(20&gt;'Inputs &amp; Assumptions'!$E$148,0,IF(20='Inputs &amp; Assumptions'!$E$148,X52-X63,IF(('Inputs &amp; Assumptions'!$C$148+20)&gt;'Inputs &amp; Assumptions'!$C$11,'Inputs &amp; Assumptions'!$C$12*(X52-X63),0)))</f>
        <v>15902515.2680417</v>
      </c>
      <c r="Y74" s="39" t="n">
        <f aca="false">IF(21&gt;'Inputs &amp; Assumptions'!$E$148,0,IF(21='Inputs &amp; Assumptions'!$E$148,Y52-Y63,IF(('Inputs &amp; Assumptions'!$C$148+21)&gt;'Inputs &amp; Assumptions'!$C$11,'Inputs &amp; Assumptions'!$C$12*(Y52-Y63),0)))</f>
        <v>0</v>
      </c>
      <c r="Z74" s="39" t="n">
        <f aca="false">IF(22&gt;'Inputs &amp; Assumptions'!$E$148,0,IF(22='Inputs &amp; Assumptions'!$E$148,Z52-Z63,IF(('Inputs &amp; Assumptions'!$C$148+22)&gt;'Inputs &amp; Assumptions'!$C$11,'Inputs &amp; Assumptions'!$C$12*(Z52-Z63),0)))</f>
        <v>0</v>
      </c>
      <c r="AA74" s="39" t="n">
        <f aca="false">IF(23&gt;'Inputs &amp; Assumptions'!$E$148,0,IF(23='Inputs &amp; Assumptions'!$E$148,AA52-AA63,IF(('Inputs &amp; Assumptions'!$C$148+23)&gt;'Inputs &amp; Assumptions'!$C$11,'Inputs &amp; Assumptions'!$C$12*(AA52-AA63),0)))</f>
        <v>0</v>
      </c>
      <c r="AB74" s="39" t="n">
        <f aca="false">IF(24&gt;'Inputs &amp; Assumptions'!$E$148,0,IF(24='Inputs &amp; Assumptions'!$E$148,AB52-AB63,IF(('Inputs &amp; Assumptions'!$C$148+24)&gt;'Inputs &amp; Assumptions'!$C$11,'Inputs &amp; Assumptions'!$C$12*(AB52-AB63),0)))</f>
        <v>0</v>
      </c>
      <c r="AC74" s="39" t="n">
        <f aca="false">IF(25&gt;'Inputs &amp; Assumptions'!$E$148,0,IF(25='Inputs &amp; Assumptions'!$E$148,AC52-AC63,IF(('Inputs &amp; Assumptions'!$C$148+25)&gt;'Inputs &amp; Assumptions'!$C$11,'Inputs &amp; Assumptions'!$C$12*(AC52-AC63),0)))</f>
        <v>0</v>
      </c>
      <c r="AD74" s="39" t="n">
        <f aca="false">IF(26&gt;'Inputs &amp; Assumptions'!$E$148,0,IF(26='Inputs &amp; Assumptions'!$E$148,AD52-AD63,IF(('Inputs &amp; Assumptions'!$C$148+26)&gt;'Inputs &amp; Assumptions'!$C$11,'Inputs &amp; Assumptions'!$C$12*(AD52-AD63),0)))</f>
        <v>0</v>
      </c>
      <c r="AE74" s="39" t="n">
        <f aca="false">IF(27&gt;'Inputs &amp; Assumptions'!$E$148,0,IF(27='Inputs &amp; Assumptions'!$E$148,AE52-AE63,IF(('Inputs &amp; Assumptions'!$C$148+27)&gt;'Inputs &amp; Assumptions'!$C$11,'Inputs &amp; Assumptions'!$C$12*(AE52-AE63),0)))</f>
        <v>0</v>
      </c>
      <c r="AF74" s="39" t="n">
        <f aca="false">IF(28&gt;'Inputs &amp; Assumptions'!$E$148,0,IF(28='Inputs &amp; Assumptions'!$E$148,AF52-AF63,IF(('Inputs &amp; Assumptions'!$C$148+28)&gt;'Inputs &amp; Assumptions'!$C$11,'Inputs &amp; Assumptions'!$C$12*(AF52-AF63),0)))</f>
        <v>0</v>
      </c>
      <c r="AG74" s="39" t="n">
        <f aca="false">IF(29&gt;'Inputs &amp; Assumptions'!$E$148,0,IF(29='Inputs &amp; Assumptions'!$E$148,AG52-AG63,IF(('Inputs &amp; Assumptions'!$C$148+29)&gt;'Inputs &amp; Assumptions'!$C$11,'Inputs &amp; Assumptions'!$C$12*(AG52-AG63),0)))</f>
        <v>0</v>
      </c>
      <c r="AH74" s="39" t="n">
        <f aca="false">IF(30&gt;'Inputs &amp; Assumptions'!$E$148,0,IF(30='Inputs &amp; Assumptions'!$E$148,AH52-AH63,IF(('Inputs &amp; Assumptions'!$C$148+30)&gt;'Inputs &amp; Assumptions'!$C$11,'Inputs &amp; Assumptions'!$C$12*(AH52-AH63),0)))</f>
        <v>0</v>
      </c>
      <c r="AI74" s="39" t="n">
        <f aca="false">IF(31&gt;'Inputs &amp; Assumptions'!$E$148,0,IF(31='Inputs &amp; Assumptions'!$E$148,AI52-AI63,IF(('Inputs &amp; Assumptions'!$C$148+31)&gt;'Inputs &amp; Assumptions'!$C$11,'Inputs &amp; Assumptions'!$C$12*(AI52-AI63),0)))</f>
        <v>0</v>
      </c>
      <c r="AJ74" s="39" t="n">
        <f aca="false">IF(32&gt;'Inputs &amp; Assumptions'!$E$148,0,IF(32='Inputs &amp; Assumptions'!$E$148,AJ52-AJ63,IF(('Inputs &amp; Assumptions'!$C$148+32)&gt;'Inputs &amp; Assumptions'!$C$11,'Inputs &amp; Assumptions'!$C$12*(AJ52-AJ63),0)))</f>
        <v>0</v>
      </c>
      <c r="AK74" s="39" t="n">
        <f aca="false">IF(33&gt;'Inputs &amp; Assumptions'!$E$148,0,IF(33='Inputs &amp; Assumptions'!$E$148,AK52-AK63,IF(('Inputs &amp; Assumptions'!$C$148+33)&gt;'Inputs &amp; Assumptions'!$C$11,'Inputs &amp; Assumptions'!$C$12*(AK52-AK63),0)))</f>
        <v>0</v>
      </c>
      <c r="AL74" s="39" t="n">
        <f aca="false">IF(34&gt;'Inputs &amp; Assumptions'!$E$148,0,IF(34='Inputs &amp; Assumptions'!$E$148,AL52-AL63,IF(('Inputs &amp; Assumptions'!$C$148+34)&gt;'Inputs &amp; Assumptions'!$C$11,'Inputs &amp; Assumptions'!$C$12*(AL52-AL63),0)))</f>
        <v>0</v>
      </c>
      <c r="AM74" s="39" t="n">
        <f aca="false">IF(35&gt;'Inputs &amp; Assumptions'!$E$148,0,IF(35='Inputs &amp; Assumptions'!$E$148,AM52-AM63,IF(('Inputs &amp; Assumptions'!$C$148+35)&gt;'Inputs &amp; Assumptions'!$C$11,'Inputs &amp; Assumptions'!$C$12*(AM52-AM63),0)))</f>
        <v>0</v>
      </c>
      <c r="AN74" s="39" t="n">
        <f aca="false">IF(36&gt;'Inputs &amp; Assumptions'!$E$148,0,IF(36='Inputs &amp; Assumptions'!$E$148,AN52-AN63,IF(('Inputs &amp; Assumptions'!$C$148+36)&gt;'Inputs &amp; Assumptions'!$C$11,'Inputs &amp; Assumptions'!$C$12*(AN52-AN63),0)))</f>
        <v>0</v>
      </c>
    </row>
    <row r="75" customFormat="false" ht="15" hidden="false" customHeight="false" outlineLevel="0" collapsed="false">
      <c r="B75" s="37" t="n">
        <v>10</v>
      </c>
      <c r="C75" s="38" t="n">
        <f aca="false">'Inputs &amp; Assumptions'!$C$149</f>
        <v>9</v>
      </c>
      <c r="D75" s="38" t="n">
        <f aca="false">'Inputs &amp; Assumptions'!$D$149</f>
        <v>3</v>
      </c>
      <c r="E75" s="39" t="n">
        <f aca="false">IF(1&gt;'Inputs &amp; Assumptions'!$E$149,0,IF(1='Inputs &amp; Assumptions'!$E$149,E53-E64,IF(('Inputs &amp; Assumptions'!$C$149+1)&gt;'Inputs &amp; Assumptions'!$C$11,'Inputs &amp; Assumptions'!$C$12*(E53-E64),0)))</f>
        <v>1531036.89442053</v>
      </c>
      <c r="F75" s="39" t="n">
        <f aca="false">IF(2&gt;'Inputs &amp; Assumptions'!$E$149,0,IF(2='Inputs &amp; Assumptions'!$E$149,F53-F64,IF(('Inputs &amp; Assumptions'!$C$149+2)&gt;'Inputs &amp; Assumptions'!$C$11,'Inputs &amp; Assumptions'!$C$12*(F53-F64),0)))</f>
        <v>1432756.86423951</v>
      </c>
      <c r="G75" s="39" t="n">
        <f aca="false">IF(3&gt;'Inputs &amp; Assumptions'!$E$149,0,IF(3='Inputs &amp; Assumptions'!$E$149,G53-G64,IF(('Inputs &amp; Assumptions'!$C$149+3)&gt;'Inputs &amp; Assumptions'!$C$11,'Inputs &amp; Assumptions'!$C$12*(G53-G64),0)))</f>
        <v>1340785.60713089</v>
      </c>
      <c r="H75" s="39" t="n">
        <f aca="false">IF(4&gt;'Inputs &amp; Assumptions'!$E$149,0,IF(4='Inputs &amp; Assumptions'!$E$149,H53-H64,IF(('Inputs &amp; Assumptions'!$C$149+4)&gt;'Inputs &amp; Assumptions'!$C$11,'Inputs &amp; Assumptions'!$C$12*(H53-H64),0)))</f>
        <v>1257124.98089609</v>
      </c>
      <c r="I75" s="39" t="n">
        <f aca="false">IF(5&gt;'Inputs &amp; Assumptions'!$E$149,0,IF(5='Inputs &amp; Assumptions'!$E$149,I53-I64,IF(('Inputs &amp; Assumptions'!$C$149+5)&gt;'Inputs &amp; Assumptions'!$C$11,'Inputs &amp; Assumptions'!$C$12*(I53-I64),0)))</f>
        <v>1178684.50346417</v>
      </c>
      <c r="J75" s="39" t="n">
        <f aca="false">IF(6&gt;'Inputs &amp; Assumptions'!$E$149,0,IF(6='Inputs &amp; Assumptions'!$E$149,J53-J64,IF(('Inputs &amp; Assumptions'!$C$149+6)&gt;'Inputs &amp; Assumptions'!$C$11,'Inputs &amp; Assumptions'!$C$12*(J53-J64),0)))</f>
        <v>1105138.45466365</v>
      </c>
      <c r="K75" s="39" t="n">
        <f aca="false">IF(7&gt;'Inputs &amp; Assumptions'!$E$149,0,IF(7='Inputs &amp; Assumptions'!$E$149,K53-K64,IF(('Inputs &amp; Assumptions'!$C$149+7)&gt;'Inputs &amp; Assumptions'!$C$11,'Inputs &amp; Assumptions'!$C$12*(K53-K64),0)))</f>
        <v>1036181.4381939</v>
      </c>
      <c r="L75" s="39" t="n">
        <f aca="false">IF(8&gt;'Inputs &amp; Assumptions'!$E$149,0,IF(8='Inputs &amp; Assumptions'!$E$149,L53-L64,IF(('Inputs &amp; Assumptions'!$C$149+8)&gt;'Inputs &amp; Assumptions'!$C$11,'Inputs &amp; Assumptions'!$C$12*(L53-L64),0)))</f>
        <v>973166.883650585</v>
      </c>
      <c r="M75" s="39" t="n">
        <f aca="false">IF(9&gt;'Inputs &amp; Assumptions'!$E$149,0,IF(9='Inputs &amp; Assumptions'!$E$149,M53-M64,IF(('Inputs &amp; Assumptions'!$C$149+9)&gt;'Inputs &amp; Assumptions'!$C$11,'Inputs &amp; Assumptions'!$C$12*(M53-M64),0)))</f>
        <v>913984.509397251</v>
      </c>
      <c r="N75" s="39" t="n">
        <f aca="false">IF(10&gt;'Inputs &amp; Assumptions'!$E$149,0,IF(10='Inputs &amp; Assumptions'!$E$149,N53-N64,IF(('Inputs &amp; Assumptions'!$C$149+10)&gt;'Inputs &amp; Assumptions'!$C$11,'Inputs &amp; Assumptions'!$C$12*(N53-N64),0)))</f>
        <v>858401.264420822</v>
      </c>
      <c r="O75" s="39" t="n">
        <f aca="false">IF(11&gt;'Inputs &amp; Assumptions'!$E$149,0,IF(11='Inputs &amp; Assumptions'!$E$149,O53-O64,IF(('Inputs &amp; Assumptions'!$C$149+11)&gt;'Inputs &amp; Assumptions'!$C$11,'Inputs &amp; Assumptions'!$C$12*(O53-O64),0)))</f>
        <v>806198.270521238</v>
      </c>
      <c r="P75" s="39" t="n">
        <f aca="false">IF(12&gt;'Inputs &amp; Assumptions'!$E$149,0,IF(12='Inputs &amp; Assumptions'!$E$149,P53-P64,IF(('Inputs &amp; Assumptions'!$C$149+12)&gt;'Inputs &amp; Assumptions'!$C$11,'Inputs &amp; Assumptions'!$C$12*(P53-P64),0)))</f>
        <v>758026.853701288</v>
      </c>
      <c r="Q75" s="39" t="n">
        <f aca="false">IF(13&gt;'Inputs &amp; Assumptions'!$E$149,0,IF(13='Inputs &amp; Assumptions'!$E$149,Q53-Q64,IF(('Inputs &amp; Assumptions'!$C$149+13)&gt;'Inputs &amp; Assumptions'!$C$11,'Inputs &amp; Assumptions'!$C$12*(Q53-Q64),0)))</f>
        <v>712733.74297959</v>
      </c>
      <c r="R75" s="39" t="n">
        <f aca="false">IF(14&gt;'Inputs &amp; Assumptions'!$E$149,0,IF(14='Inputs &amp; Assumptions'!$E$149,R53-R64,IF(('Inputs &amp; Assumptions'!$C$149+14)&gt;'Inputs &amp; Assumptions'!$C$11,'Inputs &amp; Assumptions'!$C$12*(R53-R64),0)))</f>
        <v>670146.955746078</v>
      </c>
      <c r="S75" s="39" t="n">
        <f aca="false">IF(15&gt;'Inputs &amp; Assumptions'!$E$149,0,IF(15='Inputs &amp; Assumptions'!$E$149,S53-S64,IF(('Inputs &amp; Assumptions'!$C$149+15)&gt;'Inputs &amp; Assumptions'!$C$11,'Inputs &amp; Assumptions'!$C$12*(S53-S64),0)))</f>
        <v>630104.785579931</v>
      </c>
      <c r="T75" s="39" t="n">
        <f aca="false">IF(16&gt;'Inputs &amp; Assumptions'!$E$149,0,IF(16='Inputs &amp; Assumptions'!$E$149,T53-T64,IF(('Inputs &amp; Assumptions'!$C$149+16)&gt;'Inputs &amp; Assumptions'!$C$11,'Inputs &amp; Assumptions'!$C$12*(T53-T64),0)))</f>
        <v>593065.383739991</v>
      </c>
      <c r="U75" s="39" t="n">
        <f aca="false">IF(17&gt;'Inputs &amp; Assumptions'!$E$149,0,IF(17='Inputs &amp; Assumptions'!$E$149,U53-U64,IF(('Inputs &amp; Assumptions'!$C$149+17)&gt;'Inputs &amp; Assumptions'!$C$11,'Inputs &amp; Assumptions'!$C$12*(U53-U64),0)))</f>
        <v>558203.266250301</v>
      </c>
      <c r="V75" s="39" t="n">
        <f aca="false">IF(18&gt;'Inputs &amp; Assumptions'!$E$149,0,IF(18='Inputs &amp; Assumptions'!$E$149,V53-V64,IF(('Inputs &amp; Assumptions'!$C$149+18)&gt;'Inputs &amp; Assumptions'!$C$11,'Inputs &amp; Assumptions'!$C$12*(V53-V64),0)))</f>
        <v>525390.445969968</v>
      </c>
      <c r="W75" s="39" t="n">
        <f aca="false">IF(19&gt;'Inputs &amp; Assumptions'!$E$149,0,IF(19='Inputs &amp; Assumptions'!$E$149,W53-W64,IF(('Inputs &amp; Assumptions'!$C$149+19)&gt;'Inputs &amp; Assumptions'!$C$11,'Inputs &amp; Assumptions'!$C$12*(W53-W64),0)))</f>
        <v>16483548.64055</v>
      </c>
      <c r="X75" s="39" t="n">
        <f aca="false">IF(20&gt;'Inputs &amp; Assumptions'!$E$149,0,IF(20='Inputs &amp; Assumptions'!$E$149,X53-X64,IF(('Inputs &amp; Assumptions'!$C$149+20)&gt;'Inputs &amp; Assumptions'!$C$11,'Inputs &amp; Assumptions'!$C$12*(X53-X64),0)))</f>
        <v>0</v>
      </c>
      <c r="Y75" s="39" t="n">
        <f aca="false">IF(21&gt;'Inputs &amp; Assumptions'!$E$149,0,IF(21='Inputs &amp; Assumptions'!$E$149,Y53-Y64,IF(('Inputs &amp; Assumptions'!$C$149+21)&gt;'Inputs &amp; Assumptions'!$C$11,'Inputs &amp; Assumptions'!$C$12*(Y53-Y64),0)))</f>
        <v>0</v>
      </c>
      <c r="Z75" s="39" t="n">
        <f aca="false">IF(22&gt;'Inputs &amp; Assumptions'!$E$149,0,IF(22='Inputs &amp; Assumptions'!$E$149,Z53-Z64,IF(('Inputs &amp; Assumptions'!$C$149+22)&gt;'Inputs &amp; Assumptions'!$C$11,'Inputs &amp; Assumptions'!$C$12*(Z53-Z64),0)))</f>
        <v>0</v>
      </c>
      <c r="AA75" s="39" t="n">
        <f aca="false">IF(23&gt;'Inputs &amp; Assumptions'!$E$149,0,IF(23='Inputs &amp; Assumptions'!$E$149,AA53-AA64,IF(('Inputs &amp; Assumptions'!$C$149+23)&gt;'Inputs &amp; Assumptions'!$C$11,'Inputs &amp; Assumptions'!$C$12*(AA53-AA64),0)))</f>
        <v>0</v>
      </c>
      <c r="AB75" s="39" t="n">
        <f aca="false">IF(24&gt;'Inputs &amp; Assumptions'!$E$149,0,IF(24='Inputs &amp; Assumptions'!$E$149,AB53-AB64,IF(('Inputs &amp; Assumptions'!$C$149+24)&gt;'Inputs &amp; Assumptions'!$C$11,'Inputs &amp; Assumptions'!$C$12*(AB53-AB64),0)))</f>
        <v>0</v>
      </c>
      <c r="AC75" s="39" t="n">
        <f aca="false">IF(25&gt;'Inputs &amp; Assumptions'!$E$149,0,IF(25='Inputs &amp; Assumptions'!$E$149,AC53-AC64,IF(('Inputs &amp; Assumptions'!$C$149+25)&gt;'Inputs &amp; Assumptions'!$C$11,'Inputs &amp; Assumptions'!$C$12*(AC53-AC64),0)))</f>
        <v>0</v>
      </c>
      <c r="AD75" s="39" t="n">
        <f aca="false">IF(26&gt;'Inputs &amp; Assumptions'!$E$149,0,IF(26='Inputs &amp; Assumptions'!$E$149,AD53-AD64,IF(('Inputs &amp; Assumptions'!$C$149+26)&gt;'Inputs &amp; Assumptions'!$C$11,'Inputs &amp; Assumptions'!$C$12*(AD53-AD64),0)))</f>
        <v>0</v>
      </c>
      <c r="AE75" s="39" t="n">
        <f aca="false">IF(27&gt;'Inputs &amp; Assumptions'!$E$149,0,IF(27='Inputs &amp; Assumptions'!$E$149,AE53-AE64,IF(('Inputs &amp; Assumptions'!$C$149+27)&gt;'Inputs &amp; Assumptions'!$C$11,'Inputs &amp; Assumptions'!$C$12*(AE53-AE64),0)))</f>
        <v>0</v>
      </c>
      <c r="AF75" s="39" t="n">
        <f aca="false">IF(28&gt;'Inputs &amp; Assumptions'!$E$149,0,IF(28='Inputs &amp; Assumptions'!$E$149,AF53-AF64,IF(('Inputs &amp; Assumptions'!$C$149+28)&gt;'Inputs &amp; Assumptions'!$C$11,'Inputs &amp; Assumptions'!$C$12*(AF53-AF64),0)))</f>
        <v>0</v>
      </c>
      <c r="AG75" s="39" t="n">
        <f aca="false">IF(29&gt;'Inputs &amp; Assumptions'!$E$149,0,IF(29='Inputs &amp; Assumptions'!$E$149,AG53-AG64,IF(('Inputs &amp; Assumptions'!$C$149+29)&gt;'Inputs &amp; Assumptions'!$C$11,'Inputs &amp; Assumptions'!$C$12*(AG53-AG64),0)))</f>
        <v>0</v>
      </c>
      <c r="AH75" s="39" t="n">
        <f aca="false">IF(30&gt;'Inputs &amp; Assumptions'!$E$149,0,IF(30='Inputs &amp; Assumptions'!$E$149,AH53-AH64,IF(('Inputs &amp; Assumptions'!$C$149+30)&gt;'Inputs &amp; Assumptions'!$C$11,'Inputs &amp; Assumptions'!$C$12*(AH53-AH64),0)))</f>
        <v>0</v>
      </c>
      <c r="AI75" s="39" t="n">
        <f aca="false">IF(31&gt;'Inputs &amp; Assumptions'!$E$149,0,IF(31='Inputs &amp; Assumptions'!$E$149,AI53-AI64,IF(('Inputs &amp; Assumptions'!$C$149+31)&gt;'Inputs &amp; Assumptions'!$C$11,'Inputs &amp; Assumptions'!$C$12*(AI53-AI64),0)))</f>
        <v>0</v>
      </c>
      <c r="AJ75" s="39" t="n">
        <f aca="false">IF(32&gt;'Inputs &amp; Assumptions'!$E$149,0,IF(32='Inputs &amp; Assumptions'!$E$149,AJ53-AJ64,IF(('Inputs &amp; Assumptions'!$C$149+32)&gt;'Inputs &amp; Assumptions'!$C$11,'Inputs &amp; Assumptions'!$C$12*(AJ53-AJ64),0)))</f>
        <v>0</v>
      </c>
      <c r="AK75" s="39" t="n">
        <f aca="false">IF(33&gt;'Inputs &amp; Assumptions'!$E$149,0,IF(33='Inputs &amp; Assumptions'!$E$149,AK53-AK64,IF(('Inputs &amp; Assumptions'!$C$149+33)&gt;'Inputs &amp; Assumptions'!$C$11,'Inputs &amp; Assumptions'!$C$12*(AK53-AK64),0)))</f>
        <v>0</v>
      </c>
      <c r="AL75" s="39" t="n">
        <f aca="false">IF(34&gt;'Inputs &amp; Assumptions'!$E$149,0,IF(34='Inputs &amp; Assumptions'!$E$149,AL53-AL64,IF(('Inputs &amp; Assumptions'!$C$149+34)&gt;'Inputs &amp; Assumptions'!$C$11,'Inputs &amp; Assumptions'!$C$12*(AL53-AL64),0)))</f>
        <v>0</v>
      </c>
      <c r="AM75" s="39" t="n">
        <f aca="false">IF(35&gt;'Inputs &amp; Assumptions'!$E$149,0,IF(35='Inputs &amp; Assumptions'!$E$149,AM53-AM64,IF(('Inputs &amp; Assumptions'!$C$149+35)&gt;'Inputs &amp; Assumptions'!$C$11,'Inputs &amp; Assumptions'!$C$12*(AM53-AM64),0)))</f>
        <v>0</v>
      </c>
      <c r="AN75" s="39" t="n">
        <f aca="false">IF(36&gt;'Inputs &amp; Assumptions'!$E$149,0,IF(36='Inputs &amp; Assumptions'!$E$149,AN53-AN64,IF(('Inputs &amp; Assumptions'!$C$149+36)&gt;'Inputs &amp; Assumptions'!$C$11,'Inputs &amp; Assumptions'!$C$12*(AN53-AN64),0)))</f>
        <v>0</v>
      </c>
    </row>
    <row r="76" customFormat="false" ht="15" hidden="false" customHeight="false" outlineLevel="0" collapsed="false">
      <c r="B76" s="37" t="n">
        <v>11</v>
      </c>
      <c r="C76" s="38" t="n">
        <f aca="false">'Inputs &amp; Assumptions'!$C$150</f>
        <v>10</v>
      </c>
      <c r="D76" s="38" t="n">
        <f aca="false">'Inputs &amp; Assumptions'!$D$150</f>
        <v>2</v>
      </c>
      <c r="E76" s="39" t="n">
        <f aca="false">IF(1&gt;'Inputs &amp; Assumptions'!$E$150,0,IF(1='Inputs &amp; Assumptions'!$E$150,E54-E65,IF(('Inputs &amp; Assumptions'!$C$150+1)&gt;'Inputs &amp; Assumptions'!$C$11,'Inputs &amp; Assumptions'!$C$12*(E54-E65),0)))</f>
        <v>990070.525058609</v>
      </c>
      <c r="F76" s="39" t="n">
        <f aca="false">IF(2&gt;'Inputs &amp; Assumptions'!$E$150,0,IF(2='Inputs &amp; Assumptions'!$E$150,F54-F65,IF(('Inputs &amp; Assumptions'!$C$150+2)&gt;'Inputs &amp; Assumptions'!$C$11,'Inputs &amp; Assumptions'!$C$12*(F54-F65),0)))</f>
        <v>926516.105541549</v>
      </c>
      <c r="G76" s="39" t="n">
        <f aca="false">IF(3&gt;'Inputs &amp; Assumptions'!$E$150,0,IF(3='Inputs &amp; Assumptions'!$E$150,G54-G65,IF(('Inputs &amp; Assumptions'!$C$150+3)&gt;'Inputs &amp; Assumptions'!$C$11,'Inputs &amp; Assumptions'!$C$12*(G54-G65),0)))</f>
        <v>868704.538059026</v>
      </c>
      <c r="H76" s="39" t="n">
        <f aca="false">IF(4&gt;'Inputs &amp; Assumptions'!$E$150,0,IF(4='Inputs &amp; Assumptions'!$E$150,H54-H65,IF(('Inputs &amp; Assumptions'!$C$150+4)&gt;'Inputs &amp; Assumptions'!$C$11,'Inputs &amp; Assumptions'!$C$12*(H54-H65),0)))</f>
        <v>814500.222857168</v>
      </c>
      <c r="I76" s="39" t="n">
        <f aca="false">IF(5&gt;'Inputs &amp; Assumptions'!$E$150,0,IF(5='Inputs &amp; Assumptions'!$E$150,I54-I65,IF(('Inputs &amp; Assumptions'!$C$150+5)&gt;'Inputs &amp; Assumptions'!$C$11,'Inputs &amp; Assumptions'!$C$12*(I54-I65),0)))</f>
        <v>763678.079219725</v>
      </c>
      <c r="J76" s="39" t="n">
        <f aca="false">IF(6&gt;'Inputs &amp; Assumptions'!$E$150,0,IF(6='Inputs &amp; Assumptions'!$E$150,J54-J65,IF(('Inputs &amp; Assumptions'!$C$150+6)&gt;'Inputs &amp; Assumptions'!$C$11,'Inputs &amp; Assumptions'!$C$12*(J54-J65),0)))</f>
        <v>716027.070729237</v>
      </c>
      <c r="K76" s="39" t="n">
        <f aca="false">IF(7&gt;'Inputs &amp; Assumptions'!$E$150,0,IF(7='Inputs &amp; Assumptions'!$E$150,K54-K65,IF(('Inputs &amp; Assumptions'!$C$150+7)&gt;'Inputs &amp; Assumptions'!$C$11,'Inputs &amp; Assumptions'!$C$12*(K54-K65),0)))</f>
        <v>672482.450800892</v>
      </c>
      <c r="L76" s="39" t="n">
        <f aca="false">IF(8&gt;'Inputs &amp; Assumptions'!$E$150,0,IF(8='Inputs &amp; Assumptions'!$E$150,L54-L65,IF(('Inputs &amp; Assumptions'!$C$150+8)&gt;'Inputs &amp; Assumptions'!$C$11,'Inputs &amp; Assumptions'!$C$12*(L54-L65),0)))</f>
        <v>631585.962489656</v>
      </c>
      <c r="M76" s="39" t="n">
        <f aca="false">IF(9&gt;'Inputs &amp; Assumptions'!$E$150,0,IF(9='Inputs &amp; Assumptions'!$E$150,M54-M65,IF(('Inputs &amp; Assumptions'!$C$150+9)&gt;'Inputs &amp; Assumptions'!$C$11,'Inputs &amp; Assumptions'!$C$12*(M54-M65),0)))</f>
        <v>593176.56176591</v>
      </c>
      <c r="N76" s="39" t="n">
        <f aca="false">IF(10&gt;'Inputs &amp; Assumptions'!$E$150,0,IF(10='Inputs &amp; Assumptions'!$E$150,N54-N65,IF(('Inputs &amp; Assumptions'!$C$150+10)&gt;'Inputs &amp; Assumptions'!$C$11,'Inputs &amp; Assumptions'!$C$12*(N54-N65),0)))</f>
        <v>557102.998365307</v>
      </c>
      <c r="O76" s="39" t="n">
        <f aca="false">IF(11&gt;'Inputs &amp; Assumptions'!$E$150,0,IF(11='Inputs &amp; Assumptions'!$E$150,O54-O65,IF(('Inputs &amp; Assumptions'!$C$150+11)&gt;'Inputs &amp; Assumptions'!$C$11,'Inputs &amp; Assumptions'!$C$12*(O54-O65),0)))</f>
        <v>523815.354708433</v>
      </c>
      <c r="P76" s="39" t="n">
        <f aca="false">IF(12&gt;'Inputs &amp; Assumptions'!$E$150,0,IF(12='Inputs &amp; Assumptions'!$E$150,P54-P65,IF(('Inputs &amp; Assumptions'!$C$150+12)&gt;'Inputs &amp; Assumptions'!$C$11,'Inputs &amp; Assumptions'!$C$12*(P54-P65),0)))</f>
        <v>492516.691946436</v>
      </c>
      <c r="Q76" s="39" t="n">
        <f aca="false">IF(13&gt;'Inputs &amp; Assumptions'!$E$150,0,IF(13='Inputs &amp; Assumptions'!$E$150,Q54-Q65,IF(('Inputs &amp; Assumptions'!$C$150+13)&gt;'Inputs &amp; Assumptions'!$C$11,'Inputs &amp; Assumptions'!$C$12*(Q54-Q65),0)))</f>
        <v>463088.165830651</v>
      </c>
      <c r="R76" s="39" t="n">
        <f aca="false">IF(14&gt;'Inputs &amp; Assumptions'!$E$150,0,IF(14='Inputs &amp; Assumptions'!$E$150,R54-R65,IF(('Inputs &amp; Assumptions'!$C$150+14)&gt;'Inputs &amp; Assumptions'!$C$11,'Inputs &amp; Assumptions'!$C$12*(R54-R65),0)))</f>
        <v>435418.033214028</v>
      </c>
      <c r="S76" s="39" t="n">
        <f aca="false">IF(15&gt;'Inputs &amp; Assumptions'!$E$150,0,IF(15='Inputs &amp; Assumptions'!$E$150,S54-S65,IF(('Inputs &amp; Assumptions'!$C$150+15)&gt;'Inputs &amp; Assumptions'!$C$11,'Inputs &amp; Assumptions'!$C$12*(S54-S65),0)))</f>
        <v>409822.887978419</v>
      </c>
      <c r="T76" s="39" t="n">
        <f aca="false">IF(16&gt;'Inputs &amp; Assumptions'!$E$150,0,IF(16='Inputs &amp; Assumptions'!$E$150,T54-T65,IF(('Inputs &amp; Assumptions'!$C$150+16)&gt;'Inputs &amp; Assumptions'!$C$11,'Inputs &amp; Assumptions'!$C$12*(T54-T65),0)))</f>
        <v>385732.300224723</v>
      </c>
      <c r="U76" s="39" t="n">
        <f aca="false">IF(17&gt;'Inputs &amp; Assumptions'!$E$150,0,IF(17='Inputs &amp; Assumptions'!$E$150,U54-U65,IF(('Inputs &amp; Assumptions'!$C$150+17)&gt;'Inputs &amp; Assumptions'!$C$11,'Inputs &amp; Assumptions'!$C$12*(U54-U65),0)))</f>
        <v>363057.827664547</v>
      </c>
      <c r="V76" s="39" t="n">
        <f aca="false">IF(18&gt;'Inputs &amp; Assumptions'!$E$150,0,IF(18='Inputs &amp; Assumptions'!$E$150,V54-V65,IF(('Inputs &amp; Assumptions'!$C$150+18)&gt;'Inputs &amp; Assumptions'!$C$11,'Inputs &amp; Assumptions'!$C$12*(V54-V65),0)))</f>
        <v>11390540.896861</v>
      </c>
      <c r="W76" s="39" t="n">
        <f aca="false">IF(19&gt;'Inputs &amp; Assumptions'!$E$150,0,IF(19='Inputs &amp; Assumptions'!$E$150,W54-W65,IF(('Inputs &amp; Assumptions'!$C$150+19)&gt;'Inputs &amp; Assumptions'!$C$11,'Inputs &amp; Assumptions'!$C$12*(W54-W65),0)))</f>
        <v>0</v>
      </c>
      <c r="X76" s="39" t="n">
        <f aca="false">IF(20&gt;'Inputs &amp; Assumptions'!$E$150,0,IF(20='Inputs &amp; Assumptions'!$E$150,X54-X65,IF(('Inputs &amp; Assumptions'!$C$150+20)&gt;'Inputs &amp; Assumptions'!$C$11,'Inputs &amp; Assumptions'!$C$12*(X54-X65),0)))</f>
        <v>0</v>
      </c>
      <c r="Y76" s="39" t="n">
        <f aca="false">IF(21&gt;'Inputs &amp; Assumptions'!$E$150,0,IF(21='Inputs &amp; Assumptions'!$E$150,Y54-Y65,IF(('Inputs &amp; Assumptions'!$C$150+21)&gt;'Inputs &amp; Assumptions'!$C$11,'Inputs &amp; Assumptions'!$C$12*(Y54-Y65),0)))</f>
        <v>0</v>
      </c>
      <c r="Z76" s="39" t="n">
        <f aca="false">IF(22&gt;'Inputs &amp; Assumptions'!$E$150,0,IF(22='Inputs &amp; Assumptions'!$E$150,Z54-Z65,IF(('Inputs &amp; Assumptions'!$C$150+22)&gt;'Inputs &amp; Assumptions'!$C$11,'Inputs &amp; Assumptions'!$C$12*(Z54-Z65),0)))</f>
        <v>0</v>
      </c>
      <c r="AA76" s="39" t="n">
        <f aca="false">IF(23&gt;'Inputs &amp; Assumptions'!$E$150,0,IF(23='Inputs &amp; Assumptions'!$E$150,AA54-AA65,IF(('Inputs &amp; Assumptions'!$C$150+23)&gt;'Inputs &amp; Assumptions'!$C$11,'Inputs &amp; Assumptions'!$C$12*(AA54-AA65),0)))</f>
        <v>0</v>
      </c>
      <c r="AB76" s="39" t="n">
        <f aca="false">IF(24&gt;'Inputs &amp; Assumptions'!$E$150,0,IF(24='Inputs &amp; Assumptions'!$E$150,AB54-AB65,IF(('Inputs &amp; Assumptions'!$C$150+24)&gt;'Inputs &amp; Assumptions'!$C$11,'Inputs &amp; Assumptions'!$C$12*(AB54-AB65),0)))</f>
        <v>0</v>
      </c>
      <c r="AC76" s="39" t="n">
        <f aca="false">IF(25&gt;'Inputs &amp; Assumptions'!$E$150,0,IF(25='Inputs &amp; Assumptions'!$E$150,AC54-AC65,IF(('Inputs &amp; Assumptions'!$C$150+25)&gt;'Inputs &amp; Assumptions'!$C$11,'Inputs &amp; Assumptions'!$C$12*(AC54-AC65),0)))</f>
        <v>0</v>
      </c>
      <c r="AD76" s="39" t="n">
        <f aca="false">IF(26&gt;'Inputs &amp; Assumptions'!$E$150,0,IF(26='Inputs &amp; Assumptions'!$E$150,AD54-AD65,IF(('Inputs &amp; Assumptions'!$C$150+26)&gt;'Inputs &amp; Assumptions'!$C$11,'Inputs &amp; Assumptions'!$C$12*(AD54-AD65),0)))</f>
        <v>0</v>
      </c>
      <c r="AE76" s="39" t="n">
        <f aca="false">IF(27&gt;'Inputs &amp; Assumptions'!$E$150,0,IF(27='Inputs &amp; Assumptions'!$E$150,AE54-AE65,IF(('Inputs &amp; Assumptions'!$C$150+27)&gt;'Inputs &amp; Assumptions'!$C$11,'Inputs &amp; Assumptions'!$C$12*(AE54-AE65),0)))</f>
        <v>0</v>
      </c>
      <c r="AF76" s="39" t="n">
        <f aca="false">IF(28&gt;'Inputs &amp; Assumptions'!$E$150,0,IF(28='Inputs &amp; Assumptions'!$E$150,AF54-AF65,IF(('Inputs &amp; Assumptions'!$C$150+28)&gt;'Inputs &amp; Assumptions'!$C$11,'Inputs &amp; Assumptions'!$C$12*(AF54-AF65),0)))</f>
        <v>0</v>
      </c>
      <c r="AG76" s="39" t="n">
        <f aca="false">IF(29&gt;'Inputs &amp; Assumptions'!$E$150,0,IF(29='Inputs &amp; Assumptions'!$E$150,AG54-AG65,IF(('Inputs &amp; Assumptions'!$C$150+29)&gt;'Inputs &amp; Assumptions'!$C$11,'Inputs &amp; Assumptions'!$C$12*(AG54-AG65),0)))</f>
        <v>0</v>
      </c>
      <c r="AH76" s="39" t="n">
        <f aca="false">IF(30&gt;'Inputs &amp; Assumptions'!$E$150,0,IF(30='Inputs &amp; Assumptions'!$E$150,AH54-AH65,IF(('Inputs &amp; Assumptions'!$C$150+30)&gt;'Inputs &amp; Assumptions'!$C$11,'Inputs &amp; Assumptions'!$C$12*(AH54-AH65),0)))</f>
        <v>0</v>
      </c>
      <c r="AI76" s="39" t="n">
        <f aca="false">IF(31&gt;'Inputs &amp; Assumptions'!$E$150,0,IF(31='Inputs &amp; Assumptions'!$E$150,AI54-AI65,IF(('Inputs &amp; Assumptions'!$C$150+31)&gt;'Inputs &amp; Assumptions'!$C$11,'Inputs &amp; Assumptions'!$C$12*(AI54-AI65),0)))</f>
        <v>0</v>
      </c>
      <c r="AJ76" s="39" t="n">
        <f aca="false">IF(32&gt;'Inputs &amp; Assumptions'!$E$150,0,IF(32='Inputs &amp; Assumptions'!$E$150,AJ54-AJ65,IF(('Inputs &amp; Assumptions'!$C$150+32)&gt;'Inputs &amp; Assumptions'!$C$11,'Inputs &amp; Assumptions'!$C$12*(AJ54-AJ65),0)))</f>
        <v>0</v>
      </c>
      <c r="AK76" s="39" t="n">
        <f aca="false">IF(33&gt;'Inputs &amp; Assumptions'!$E$150,0,IF(33='Inputs &amp; Assumptions'!$E$150,AK54-AK65,IF(('Inputs &amp; Assumptions'!$C$150+33)&gt;'Inputs &amp; Assumptions'!$C$11,'Inputs &amp; Assumptions'!$C$12*(AK54-AK65),0)))</f>
        <v>0</v>
      </c>
      <c r="AL76" s="39" t="n">
        <f aca="false">IF(34&gt;'Inputs &amp; Assumptions'!$E$150,0,IF(34='Inputs &amp; Assumptions'!$E$150,AL54-AL65,IF(('Inputs &amp; Assumptions'!$C$150+34)&gt;'Inputs &amp; Assumptions'!$C$11,'Inputs &amp; Assumptions'!$C$12*(AL54-AL65),0)))</f>
        <v>0</v>
      </c>
      <c r="AM76" s="39" t="n">
        <f aca="false">IF(35&gt;'Inputs &amp; Assumptions'!$E$150,0,IF(35='Inputs &amp; Assumptions'!$E$150,AM54-AM65,IF(('Inputs &amp; Assumptions'!$C$150+35)&gt;'Inputs &amp; Assumptions'!$C$11,'Inputs &amp; Assumptions'!$C$12*(AM54-AM65),0)))</f>
        <v>0</v>
      </c>
      <c r="AN76" s="39" t="n">
        <f aca="false">IF(36&gt;'Inputs &amp; Assumptions'!$E$150,0,IF(36='Inputs &amp; Assumptions'!$E$150,AN54-AN65,IF(('Inputs &amp; Assumptions'!$C$150+36)&gt;'Inputs &amp; Assumptions'!$C$11,'Inputs &amp; Assumptions'!$C$12*(AN54-AN65),0)))</f>
        <v>0</v>
      </c>
    </row>
    <row r="77" customFormat="false" ht="15" hidden="false" customHeight="false" outlineLevel="0" collapsed="false">
      <c r="A77" s="14" t="s">
        <v>129</v>
      </c>
      <c r="B77" s="37" t="n">
        <v>1</v>
      </c>
      <c r="C77" s="38" t="n">
        <f aca="false">'Inputs &amp; Assumptions'!$C$140</f>
        <v>0</v>
      </c>
      <c r="D77" s="38" t="n">
        <f aca="false">'Inputs &amp; Assumptions'!$D$140</f>
        <v>1</v>
      </c>
      <c r="E77" s="39" t="n">
        <f aca="false">IF(1&gt;='Inputs &amp; Assumptions'!$E$140,0,'Inputs &amp; Assumptions'!$G$58*MAX(E44-E55-E66,0))</f>
        <v>515791.667175687</v>
      </c>
      <c r="F77" s="39" t="n">
        <f aca="false">IF(2&gt;='Inputs &amp; Assumptions'!$E$140,0,'Inputs &amp; Assumptions'!$G$58*MAX(F44-F55-F66,0))</f>
        <v>498389.071225247</v>
      </c>
      <c r="G77" s="39" t="n">
        <f aca="false">IF(3&gt;='Inputs &amp; Assumptions'!$E$140,0,'Inputs &amp; Assumptions'!$G$58*MAX(G44-G55-G66,0))</f>
        <v>481573.631611535</v>
      </c>
      <c r="H77" s="39" t="n">
        <f aca="false">IF(4&gt;='Inputs &amp; Assumptions'!$E$140,0,'Inputs &amp; Assumptions'!$G$58*MAX(H44-H55-H66,0))</f>
        <v>465325.537924385</v>
      </c>
      <c r="I77" s="39" t="n">
        <f aca="false">IF(5&gt;='Inputs &amp; Assumptions'!$E$140,0,'Inputs &amp; Assumptions'!$G$58*MAX(I44-I55-I66,0))</f>
        <v>434927.890834153</v>
      </c>
      <c r="J77" s="39" t="n">
        <f aca="false">IF(6&gt;='Inputs &amp; Assumptions'!$E$140,0,'Inputs &amp; Assumptions'!$G$58*MAX(J44-J55-J66,0))</f>
        <v>406515.986784683</v>
      </c>
      <c r="K77" s="39" t="n">
        <f aca="false">IF(7&gt;='Inputs &amp; Assumptions'!$E$140,0,'Inputs &amp; Assumptions'!$G$58*MAX(K44-K55-K66,0))</f>
        <v>379960.106017988</v>
      </c>
      <c r="L77" s="39" t="n">
        <f aca="false">IF(8&gt;='Inputs &amp; Assumptions'!$E$140,0,'Inputs &amp; Assumptions'!$G$58*MAX(L44-L55-L66,0))</f>
        <v>355139.002790726</v>
      </c>
      <c r="M77" s="39" t="n">
        <f aca="false">IF(9&gt;='Inputs &amp; Assumptions'!$E$140,0,'Inputs &amp; Assumptions'!$G$58*MAX(M44-M55-M66,0))</f>
        <v>332341.987225703</v>
      </c>
      <c r="N77" s="39" t="n">
        <f aca="false">IF(10&gt;='Inputs &amp; Assumptions'!$E$140,0,'Inputs &amp; Assumptions'!$G$58*MAX(N44-N55-N66,0))</f>
        <v>311008.353363584</v>
      </c>
      <c r="O77" s="39" t="n">
        <f aca="false">IF(11&gt;='Inputs &amp; Assumptions'!$E$140,0,'Inputs &amp; Assumptions'!$G$58*MAX(O44-O55-O66,0))</f>
        <v>291044.164083422</v>
      </c>
      <c r="P77" s="39" t="n">
        <f aca="false">IF(12&gt;='Inputs &amp; Assumptions'!$E$140,0,'Inputs &amp; Assumptions'!$G$58*MAX(P44-P55-P66,0))</f>
        <v>272361.512258134</v>
      </c>
      <c r="Q77" s="39" t="n">
        <f aca="false">IF(13&gt;='Inputs &amp; Assumptions'!$E$140,0,'Inputs &amp; Assumptions'!$G$58*MAX(Q44-Q55-Q66,0))</f>
        <v>255367.046806992</v>
      </c>
      <c r="R77" s="39" t="n">
        <f aca="false">IF(14&gt;='Inputs &amp; Assumptions'!$E$140,0,'Inputs &amp; Assumptions'!$G$58*MAX(R44-R55-R66,0))</f>
        <v>239432.980285109</v>
      </c>
      <c r="S77" s="39" t="n">
        <f aca="false">IF(15&gt;='Inputs &amp; Assumptions'!$E$140,0,'Inputs &amp; Assumptions'!$G$58*MAX(S44-S55-S66,0))</f>
        <v>224493.147275726</v>
      </c>
      <c r="T77" s="39" t="n">
        <f aca="false">IF(16&gt;='Inputs &amp; Assumptions'!$E$140,0,'Inputs &amp; Assumptions'!$G$58*MAX(T44-T55-T66,0))</f>
        <v>210485.510867173</v>
      </c>
      <c r="U77" s="39" t="n">
        <f aca="false">IF(17&gt;='Inputs &amp; Assumptions'!$E$140,0,'Inputs &amp; Assumptions'!$G$58*MAX(U44-U55-U66,0))</f>
        <v>197685.001018014</v>
      </c>
      <c r="V77" s="39" t="n">
        <f aca="false">IF(18&gt;='Inputs &amp; Assumptions'!$E$140,0,'Inputs &amp; Assumptions'!$G$58*MAX(V44-V55-V66,0))</f>
        <v>185662.944050116</v>
      </c>
      <c r="W77" s="39" t="n">
        <f aca="false">IF(19&gt;='Inputs &amp; Assumptions'!$E$140,0,'Inputs &amp; Assumptions'!$G$58*MAX(W44-W55-W66,0))</f>
        <v>174371.998967263</v>
      </c>
      <c r="X77" s="39" t="n">
        <f aca="false">IF(20&gt;='Inputs &amp; Assumptions'!$E$140,0,'Inputs &amp; Assumptions'!$G$58*MAX(X44-X55-X66,0))</f>
        <v>163767.703778476</v>
      </c>
      <c r="Y77" s="39" t="n">
        <f aca="false">IF(21&gt;='Inputs &amp; Assumptions'!$E$140,0,'Inputs &amp; Assumptions'!$G$58*MAX(Y44-Y55-Y66,0))</f>
        <v>153982.366090691</v>
      </c>
      <c r="Z77" s="39" t="n">
        <f aca="false">IF(22&gt;='Inputs &amp; Assumptions'!$E$140,0,'Inputs &amp; Assumptions'!$G$58*MAX(Z44-Z55-Z66,0))</f>
        <v>144781.715318913</v>
      </c>
      <c r="AA77" s="39" t="n">
        <f aca="false">IF(23&gt;='Inputs &amp; Assumptions'!$E$140,0,'Inputs &amp; Assumptions'!$G$58*MAX(AA44-AA55-AA66,0))</f>
        <v>136130.815643793</v>
      </c>
      <c r="AB77" s="39" t="n">
        <f aca="false">IF(24&gt;='Inputs &amp; Assumptions'!$E$140,0,'Inputs &amp; Assumptions'!$G$58*MAX(AB44-AB55-AB66,0))</f>
        <v>127996.818707559</v>
      </c>
      <c r="AC77" s="39" t="n">
        <f aca="false">IF(25&gt;='Inputs &amp; Assumptions'!$E$140,0,'Inputs &amp; Assumptions'!$G$58*MAX(AC44-AC55-AC66,0))</f>
        <v>120472.791417432</v>
      </c>
      <c r="AD77" s="39" t="n">
        <f aca="false">IF(26&gt;='Inputs &amp; Assumptions'!$E$140,0,'Inputs &amp; Assumptions'!$G$58*MAX(AD44-AD55-AD66,0))</f>
        <v>113391.048453073</v>
      </c>
      <c r="AE77" s="39" t="n">
        <f aca="false">IF(27&gt;='Inputs &amp; Assumptions'!$E$140,0,'Inputs &amp; Assumptions'!$G$58*MAX(AE44-AE55-AE66,0))</f>
        <v>106725.591048492</v>
      </c>
      <c r="AF77" s="39" t="n">
        <f aca="false">IF(28&gt;='Inputs &amp; Assumptions'!$E$140,0,'Inputs &amp; Assumptions'!$G$58*MAX(AF44-AF55-AF66,0))</f>
        <v>0</v>
      </c>
      <c r="AG77" s="39" t="n">
        <f aca="false">IF(29&gt;='Inputs &amp; Assumptions'!$E$140,0,'Inputs &amp; Assumptions'!$G$58*MAX(AG44-AG55-AG66,0))</f>
        <v>0</v>
      </c>
      <c r="AH77" s="39" t="n">
        <f aca="false">IF(30&gt;='Inputs &amp; Assumptions'!$E$140,0,'Inputs &amp; Assumptions'!$G$58*MAX(AH44-AH55-AH66,0))</f>
        <v>0</v>
      </c>
      <c r="AI77" s="39" t="n">
        <f aca="false">IF(31&gt;='Inputs &amp; Assumptions'!$E$140,0,'Inputs &amp; Assumptions'!$G$58*MAX(AI44-AI55-AI66,0))</f>
        <v>0</v>
      </c>
      <c r="AJ77" s="39" t="n">
        <f aca="false">IF(32&gt;='Inputs &amp; Assumptions'!$E$140,0,'Inputs &amp; Assumptions'!$G$58*MAX(AJ44-AJ55-AJ66,0))</f>
        <v>0</v>
      </c>
      <c r="AK77" s="39" t="n">
        <f aca="false">IF(33&gt;='Inputs &amp; Assumptions'!$E$140,0,'Inputs &amp; Assumptions'!$G$58*MAX(AK44-AK55-AK66,0))</f>
        <v>0</v>
      </c>
      <c r="AL77" s="39" t="n">
        <f aca="false">IF(34&gt;='Inputs &amp; Assumptions'!$E$140,0,'Inputs &amp; Assumptions'!$G$58*MAX(AL44-AL55-AL66,0))</f>
        <v>0</v>
      </c>
      <c r="AM77" s="39" t="n">
        <f aca="false">IF(35&gt;='Inputs &amp; Assumptions'!$E$140,0,'Inputs &amp; Assumptions'!$G$58*MAX(AM44-AM55-AM66,0))</f>
        <v>0</v>
      </c>
      <c r="AN77" s="39" t="n">
        <f aca="false">IF(36&gt;='Inputs &amp; Assumptions'!$E$140,0,'Inputs &amp; Assumptions'!$G$58*MAX(AN44-AN55-AN66,0))</f>
        <v>0</v>
      </c>
    </row>
    <row r="78" customFormat="false" ht="15" hidden="false" customHeight="false" outlineLevel="0" collapsed="false">
      <c r="B78" s="37" t="n">
        <v>2</v>
      </c>
      <c r="C78" s="38" t="n">
        <f aca="false">'Inputs &amp; Assumptions'!$C$141</f>
        <v>1</v>
      </c>
      <c r="D78" s="38" t="n">
        <f aca="false">'Inputs &amp; Assumptions'!$D$141</f>
        <v>3</v>
      </c>
      <c r="E78" s="39" t="n">
        <f aca="false">IF(1&gt;='Inputs &amp; Assumptions'!$E$141,0,'Inputs &amp; Assumptions'!$G$58*MAX(E45-E56-E67,0))</f>
        <v>1547375.00152706</v>
      </c>
      <c r="F78" s="39" t="n">
        <f aca="false">IF(2&gt;='Inputs &amp; Assumptions'!$E$141,0,'Inputs &amp; Assumptions'!$G$58*MAX(F45-F56-F67,0))</f>
        <v>1495167.21367574</v>
      </c>
      <c r="G78" s="39" t="n">
        <f aca="false">IF(3&gt;='Inputs &amp; Assumptions'!$E$141,0,'Inputs &amp; Assumptions'!$G$58*MAX(G45-G56-G67,0))</f>
        <v>1444720.89483461</v>
      </c>
      <c r="H78" s="39" t="n">
        <f aca="false">IF(4&gt;='Inputs &amp; Assumptions'!$E$141,0,'Inputs &amp; Assumptions'!$G$58*MAX(H45-H56-H67,0))</f>
        <v>1350343.7065527</v>
      </c>
      <c r="I78" s="39" t="n">
        <f aca="false">IF(5&gt;='Inputs &amp; Assumptions'!$E$141,0,'Inputs &amp; Assumptions'!$G$58*MAX(I45-I56-I67,0))</f>
        <v>1262131.76008314</v>
      </c>
      <c r="J78" s="39" t="n">
        <f aca="false">IF(6&gt;='Inputs &amp; Assumptions'!$E$141,0,'Inputs &amp; Assumptions'!$G$58*MAX(J45-J56-J67,0))</f>
        <v>1179682.3076084</v>
      </c>
      <c r="K78" s="39" t="n">
        <f aca="false">IF(7&gt;='Inputs &amp; Assumptions'!$E$141,0,'Inputs &amp; Assumptions'!$G$58*MAX(K45-K56-K67,0))</f>
        <v>1102618.91103398</v>
      </c>
      <c r="L78" s="39" t="n">
        <f aca="false">IF(8&gt;='Inputs &amp; Assumptions'!$E$141,0,'Inputs &amp; Assumptions'!$G$58*MAX(L45-L56-L67,0))</f>
        <v>1031839.80685335</v>
      </c>
      <c r="M78" s="39" t="n">
        <f aca="false">IF(9&gt;='Inputs &amp; Assumptions'!$E$141,0,'Inputs &amp; Assumptions'!$G$58*MAX(M45-M56-M67,0))</f>
        <v>965604.141514984</v>
      </c>
      <c r="N78" s="39" t="n">
        <f aca="false">IF(10&gt;='Inputs &amp; Assumptions'!$E$141,0,'Inputs &amp; Assumptions'!$G$58*MAX(N45-N56-N67,0))</f>
        <v>903620.26345375</v>
      </c>
      <c r="O78" s="39" t="n">
        <f aca="false">IF(11&gt;='Inputs &amp; Assumptions'!$E$141,0,'Inputs &amp; Assumptions'!$G$58*MAX(O45-O56-O67,0))</f>
        <v>845615.242746506</v>
      </c>
      <c r="P78" s="39" t="n">
        <f aca="false">IF(12&gt;='Inputs &amp; Assumptions'!$E$141,0,'Inputs &amp; Assumptions'!$G$58*MAX(P45-P56-P67,0))</f>
        <v>792851.623875882</v>
      </c>
      <c r="Q78" s="39" t="n">
        <f aca="false">IF(13&gt;='Inputs &amp; Assumptions'!$E$141,0,'Inputs &amp; Assumptions'!$G$58*MAX(Q45-Q56-Q67,0))</f>
        <v>743380.281841804</v>
      </c>
      <c r="R78" s="39" t="n">
        <f aca="false">IF(14&gt;='Inputs &amp; Assumptions'!$E$141,0,'Inputs &amp; Assumptions'!$G$58*MAX(R45-R56-R67,0))</f>
        <v>696995.789363117</v>
      </c>
      <c r="S78" s="39" t="n">
        <f aca="false">IF(15&gt;='Inputs &amp; Assumptions'!$E$141,0,'Inputs &amp; Assumptions'!$G$58*MAX(S45-S56-S67,0))</f>
        <v>653505.537147536</v>
      </c>
      <c r="T78" s="39" t="n">
        <f aca="false">IF(16&gt;='Inputs &amp; Assumptions'!$E$141,0,'Inputs &amp; Assumptions'!$G$58*MAX(T45-T56-T67,0))</f>
        <v>613763.114829374</v>
      </c>
      <c r="U78" s="39" t="n">
        <f aca="false">IF(17&gt;='Inputs &amp; Assumptions'!$E$141,0,'Inputs &amp; Assumptions'!$G$58*MAX(U45-U56-U67,0))</f>
        <v>576437.596488199</v>
      </c>
      <c r="V78" s="39" t="n">
        <f aca="false">IF(18&gt;='Inputs &amp; Assumptions'!$E$141,0,'Inputs &amp; Assumptions'!$G$58*MAX(V45-V56-V67,0))</f>
        <v>541382.000020424</v>
      </c>
      <c r="W78" s="39" t="n">
        <f aca="false">IF(19&gt;='Inputs &amp; Assumptions'!$E$141,0,'Inputs &amp; Assumptions'!$G$58*MAX(W45-W56-W67,0))</f>
        <v>508458.281922828</v>
      </c>
      <c r="X78" s="39" t="n">
        <f aca="false">IF(20&gt;='Inputs &amp; Assumptions'!$E$141,0,'Inputs &amp; Assumptions'!$G$58*MAX(X45-X56-X67,0))</f>
        <v>478077.224644915</v>
      </c>
      <c r="Y78" s="39" t="n">
        <f aca="false">IF(21&gt;='Inputs &amp; Assumptions'!$E$141,0,'Inputs &amp; Assumptions'!$G$58*MAX(Y45-Y56-Y67,0))</f>
        <v>449511.475867502</v>
      </c>
      <c r="Z78" s="39" t="n">
        <f aca="false">IF(22&gt;='Inputs &amp; Assumptions'!$E$141,0,'Inputs &amp; Assumptions'!$G$58*MAX(Z45-Z56-Z67,0))</f>
        <v>422652.568498022</v>
      </c>
      <c r="AA78" s="39" t="n">
        <f aca="false">IF(23&gt;='Inputs &amp; Assumptions'!$E$141,0,'Inputs &amp; Assumptions'!$G$58*MAX(AA45-AA56-AA67,0))</f>
        <v>397398.516496674</v>
      </c>
      <c r="AB78" s="39" t="n">
        <f aca="false">IF(24&gt;='Inputs &amp; Assumptions'!$E$141,0,'Inputs &amp; Assumptions'!$G$58*MAX(AB45-AB56-AB67,0))</f>
        <v>374038.269629847</v>
      </c>
      <c r="AC78" s="39" t="n">
        <f aca="false">IF(25&gt;='Inputs &amp; Assumptions'!$E$141,0,'Inputs &amp; Assumptions'!$G$58*MAX(AC45-AC56-AC67,0))</f>
        <v>352051.206383557</v>
      </c>
      <c r="AD78" s="39" t="n">
        <f aca="false">IF(26&gt;='Inputs &amp; Assumptions'!$E$141,0,'Inputs &amp; Assumptions'!$G$58*MAX(AD45-AD56-AD67,0))</f>
        <v>331356.607009146</v>
      </c>
      <c r="AE78" s="39" t="n">
        <f aca="false">IF(27&gt;='Inputs &amp; Assumptions'!$E$141,0,'Inputs &amp; Assumptions'!$G$58*MAX(AE45-AE56-AE67,0))</f>
        <v>0</v>
      </c>
      <c r="AF78" s="39" t="n">
        <f aca="false">IF(28&gt;='Inputs &amp; Assumptions'!$E$141,0,'Inputs &amp; Assumptions'!$G$58*MAX(AF45-AF56-AF67,0))</f>
        <v>0</v>
      </c>
      <c r="AG78" s="39" t="n">
        <f aca="false">IF(29&gt;='Inputs &amp; Assumptions'!$E$141,0,'Inputs &amp; Assumptions'!$G$58*MAX(AG45-AG56-AG67,0))</f>
        <v>0</v>
      </c>
      <c r="AH78" s="39" t="n">
        <f aca="false">IF(30&gt;='Inputs &amp; Assumptions'!$E$141,0,'Inputs &amp; Assumptions'!$G$58*MAX(AH45-AH56-AH67,0))</f>
        <v>0</v>
      </c>
      <c r="AI78" s="39" t="n">
        <f aca="false">IF(31&gt;='Inputs &amp; Assumptions'!$E$141,0,'Inputs &amp; Assumptions'!$G$58*MAX(AI45-AI56-AI67,0))</f>
        <v>0</v>
      </c>
      <c r="AJ78" s="39" t="n">
        <f aca="false">IF(32&gt;='Inputs &amp; Assumptions'!$E$141,0,'Inputs &amp; Assumptions'!$G$58*MAX(AJ45-AJ56-AJ67,0))</f>
        <v>0</v>
      </c>
      <c r="AK78" s="39" t="n">
        <f aca="false">IF(33&gt;='Inputs &amp; Assumptions'!$E$141,0,'Inputs &amp; Assumptions'!$G$58*MAX(AK45-AK56-AK67,0))</f>
        <v>0</v>
      </c>
      <c r="AL78" s="39" t="n">
        <f aca="false">IF(34&gt;='Inputs &amp; Assumptions'!$E$141,0,'Inputs &amp; Assumptions'!$G$58*MAX(AL45-AL56-AL67,0))</f>
        <v>0</v>
      </c>
      <c r="AM78" s="39" t="n">
        <f aca="false">IF(35&gt;='Inputs &amp; Assumptions'!$E$141,0,'Inputs &amp; Assumptions'!$G$58*MAX(AM45-AM56-AM67,0))</f>
        <v>0</v>
      </c>
      <c r="AN78" s="39" t="n">
        <f aca="false">IF(36&gt;='Inputs &amp; Assumptions'!$E$141,0,'Inputs &amp; Assumptions'!$G$58*MAX(AN45-AN56-AN67,0))</f>
        <v>0</v>
      </c>
    </row>
    <row r="79" customFormat="false" ht="15" hidden="false" customHeight="false" outlineLevel="0" collapsed="false">
      <c r="B79" s="37" t="n">
        <v>3</v>
      </c>
      <c r="C79" s="38" t="n">
        <f aca="false">'Inputs &amp; Assumptions'!$C$142</f>
        <v>2</v>
      </c>
      <c r="D79" s="38" t="n">
        <f aca="false">'Inputs &amp; Assumptions'!$D$142</f>
        <v>3</v>
      </c>
      <c r="E79" s="39" t="n">
        <f aca="false">IF(1&gt;='Inputs &amp; Assumptions'!$E$142,0,'Inputs &amp; Assumptions'!$G$58*MAX(E46-E57-E68,0))</f>
        <v>1547375.00152706</v>
      </c>
      <c r="F79" s="39" t="n">
        <f aca="false">IF(2&gt;='Inputs &amp; Assumptions'!$E$142,0,'Inputs &amp; Assumptions'!$G$58*MAX(F46-F57-F68,0))</f>
        <v>1495167.21367574</v>
      </c>
      <c r="G79" s="39" t="n">
        <f aca="false">IF(3&gt;='Inputs &amp; Assumptions'!$E$142,0,'Inputs &amp; Assumptions'!$G$58*MAX(G46-G57-G68,0))</f>
        <v>1397494.59182711</v>
      </c>
      <c r="H79" s="39" t="n">
        <f aca="false">IF(4&gt;='Inputs &amp; Assumptions'!$E$142,0,'Inputs &amp; Assumptions'!$G$58*MAX(H46-H57-H68,0))</f>
        <v>1306202.48780385</v>
      </c>
      <c r="I79" s="39" t="n">
        <f aca="false">IF(5&gt;='Inputs &amp; Assumptions'!$E$142,0,'Inputs &amp; Assumptions'!$G$58*MAX(I46-I57-I68,0))</f>
        <v>1220874.09076432</v>
      </c>
      <c r="J79" s="39" t="n">
        <f aca="false">IF(6&gt;='Inputs &amp; Assumptions'!$E$142,0,'Inputs &amp; Assumptions'!$G$58*MAX(J46-J57-J68,0))</f>
        <v>1141119.81826468</v>
      </c>
      <c r="K79" s="39" t="n">
        <f aca="false">IF(7&gt;='Inputs &amp; Assumptions'!$E$142,0,'Inputs &amp; Assumptions'!$G$58*MAX(K46-K57-K68,0))</f>
        <v>1067869.27114337</v>
      </c>
      <c r="L79" s="39" t="n">
        <f aca="false">IF(8&gt;='Inputs &amp; Assumptions'!$E$142,0,'Inputs &amp; Assumptions'!$G$58*MAX(L46-L57-L68,0))</f>
        <v>999320.809261221</v>
      </c>
      <c r="M79" s="39" t="n">
        <f aca="false">IF(9&gt;='Inputs &amp; Assumptions'!$E$142,0,'Inputs &amp; Assumptions'!$G$58*MAX(M46-M57-M68,0))</f>
        <v>935172.597253641</v>
      </c>
      <c r="N79" s="39" t="n">
        <f aca="false">IF(10&gt;='Inputs &amp; Assumptions'!$E$142,0,'Inputs &amp; Assumptions'!$G$58*MAX(N46-N57-N68,0))</f>
        <v>875142.175114573</v>
      </c>
      <c r="O79" s="39" t="n">
        <f aca="false">IF(11&gt;='Inputs &amp; Assumptions'!$E$142,0,'Inputs &amp; Assumptions'!$G$58*MAX(O46-O57-O68,0))</f>
        <v>820536.172465686</v>
      </c>
      <c r="P79" s="39" t="n">
        <f aca="false">IF(12&gt;='Inputs &amp; Assumptions'!$E$142,0,'Inputs &amp; Assumptions'!$G$58*MAX(P46-P57-P68,0))</f>
        <v>769337.405361013</v>
      </c>
      <c r="Q79" s="39" t="n">
        <f aca="false">IF(13&gt;='Inputs &amp; Assumptions'!$E$142,0,'Inputs &amp; Assumptions'!$G$58*MAX(Q46-Q57-Q68,0))</f>
        <v>721333.273472922</v>
      </c>
      <c r="R79" s="39" t="n">
        <f aca="false">IF(14&gt;='Inputs &amp; Assumptions'!$E$142,0,'Inputs &amp; Assumptions'!$G$58*MAX(R46-R57-R68,0))</f>
        <v>676324.442037235</v>
      </c>
      <c r="S79" s="39" t="n">
        <f aca="false">IF(15&gt;='Inputs &amp; Assumptions'!$E$142,0,'Inputs &amp; Assumptions'!$G$58*MAX(S46-S57-S68,0))</f>
        <v>635194.30606798</v>
      </c>
      <c r="T79" s="39" t="n">
        <f aca="false">IF(16&gt;='Inputs &amp; Assumptions'!$E$142,0,'Inputs &amp; Assumptions'!$G$58*MAX(T46-T57-T68,0))</f>
        <v>596565.46678372</v>
      </c>
      <c r="U79" s="39" t="n">
        <f aca="false">IF(17&gt;='Inputs &amp; Assumptions'!$E$142,0,'Inputs &amp; Assumptions'!$G$58*MAX(U46-U57-U68,0))</f>
        <v>560285.809805086</v>
      </c>
      <c r="V79" s="39" t="n">
        <f aca="false">IF(18&gt;='Inputs &amp; Assumptions'!$E$142,0,'Inputs &amp; Assumptions'!$G$58*MAX(V46-V57-V68,0))</f>
        <v>526212.471468367</v>
      </c>
      <c r="W79" s="39" t="n">
        <f aca="false">IF(19&gt;='Inputs &amp; Assumptions'!$E$142,0,'Inputs &amp; Assumptions'!$G$58*MAX(W46-W57-W68,0))</f>
        <v>494770.577798005</v>
      </c>
      <c r="X79" s="39" t="n">
        <f aca="false">IF(20&gt;='Inputs &amp; Assumptions'!$E$142,0,'Inputs &amp; Assumptions'!$G$58*MAX(X46-X57-X68,0))</f>
        <v>465207.379010756</v>
      </c>
      <c r="Y79" s="39" t="n">
        <f aca="false">IF(21&gt;='Inputs &amp; Assumptions'!$E$142,0,'Inputs &amp; Assumptions'!$G$58*MAX(Y46-Y57-Y68,0))</f>
        <v>437410.620593556</v>
      </c>
      <c r="Z79" s="39" t="n">
        <f aca="false">IF(22&gt;='Inputs &amp; Assumptions'!$E$142,0,'Inputs &amp; Assumptions'!$G$58*MAX(Z46-Z57-Z68,0))</f>
        <v>411274.755389501</v>
      </c>
      <c r="AA79" s="39" t="n">
        <f aca="false">IF(23&gt;='Inputs &amp; Assumptions'!$E$142,0,'Inputs &amp; Assumptions'!$G$58*MAX(AA46-AA57-AA68,0))</f>
        <v>387098.822623851</v>
      </c>
      <c r="AB79" s="39" t="n">
        <f aca="false">IF(24&gt;='Inputs &amp; Assumptions'!$E$142,0,'Inputs &amp; Assumptions'!$G$58*MAX(AB46-AB57-AB68,0))</f>
        <v>364344.021881089</v>
      </c>
      <c r="AC79" s="39" t="n">
        <f aca="false">IF(25&gt;='Inputs &amp; Assumptions'!$E$142,0,'Inputs &amp; Assumptions'!$G$58*MAX(AC46-AC57-AC68,0))</f>
        <v>342926.814865254</v>
      </c>
      <c r="AD79" s="39" t="n">
        <f aca="false">IF(26&gt;='Inputs &amp; Assumptions'!$E$142,0,'Inputs &amp; Assumptions'!$G$58*MAX(AD46-AD57-AD68,0))</f>
        <v>0</v>
      </c>
      <c r="AE79" s="39" t="n">
        <f aca="false">IF(27&gt;='Inputs &amp; Assumptions'!$E$142,0,'Inputs &amp; Assumptions'!$G$58*MAX(AE46-AE57-AE68,0))</f>
        <v>0</v>
      </c>
      <c r="AF79" s="39" t="n">
        <f aca="false">IF(28&gt;='Inputs &amp; Assumptions'!$E$142,0,'Inputs &amp; Assumptions'!$G$58*MAX(AF46-AF57-AF68,0))</f>
        <v>0</v>
      </c>
      <c r="AG79" s="39" t="n">
        <f aca="false">IF(29&gt;='Inputs &amp; Assumptions'!$E$142,0,'Inputs &amp; Assumptions'!$G$58*MAX(AG46-AG57-AG68,0))</f>
        <v>0</v>
      </c>
      <c r="AH79" s="39" t="n">
        <f aca="false">IF(30&gt;='Inputs &amp; Assumptions'!$E$142,0,'Inputs &amp; Assumptions'!$G$58*MAX(AH46-AH57-AH68,0))</f>
        <v>0</v>
      </c>
      <c r="AI79" s="39" t="n">
        <f aca="false">IF(31&gt;='Inputs &amp; Assumptions'!$E$142,0,'Inputs &amp; Assumptions'!$G$58*MAX(AI46-AI57-AI68,0))</f>
        <v>0</v>
      </c>
      <c r="AJ79" s="39" t="n">
        <f aca="false">IF(32&gt;='Inputs &amp; Assumptions'!$E$142,0,'Inputs &amp; Assumptions'!$G$58*MAX(AJ46-AJ57-AJ68,0))</f>
        <v>0</v>
      </c>
      <c r="AK79" s="39" t="n">
        <f aca="false">IF(33&gt;='Inputs &amp; Assumptions'!$E$142,0,'Inputs &amp; Assumptions'!$G$58*MAX(AK46-AK57-AK68,0))</f>
        <v>0</v>
      </c>
      <c r="AL79" s="39" t="n">
        <f aca="false">IF(34&gt;='Inputs &amp; Assumptions'!$E$142,0,'Inputs &amp; Assumptions'!$G$58*MAX(AL46-AL57-AL68,0))</f>
        <v>0</v>
      </c>
      <c r="AM79" s="39" t="n">
        <f aca="false">IF(35&gt;='Inputs &amp; Assumptions'!$E$142,0,'Inputs &amp; Assumptions'!$G$58*MAX(AM46-AM57-AM68,0))</f>
        <v>0</v>
      </c>
      <c r="AN79" s="39" t="n">
        <f aca="false">IF(36&gt;='Inputs &amp; Assumptions'!$E$142,0,'Inputs &amp; Assumptions'!$G$58*MAX(AN46-AN57-AN68,0))</f>
        <v>0</v>
      </c>
    </row>
    <row r="80" customFormat="false" ht="15" hidden="false" customHeight="false" outlineLevel="0" collapsed="false">
      <c r="B80" s="37" t="n">
        <v>4</v>
      </c>
      <c r="C80" s="38" t="n">
        <f aca="false">'Inputs &amp; Assumptions'!$C$143</f>
        <v>3</v>
      </c>
      <c r="D80" s="38" t="n">
        <f aca="false">'Inputs &amp; Assumptions'!$D$143</f>
        <v>3</v>
      </c>
      <c r="E80" s="39" t="n">
        <f aca="false">IF(1&gt;='Inputs &amp; Assumptions'!$E$143,0,'Inputs &amp; Assumptions'!$G$58*MAX(E47-E58-E69,0))</f>
        <v>1547375.00152706</v>
      </c>
      <c r="F80" s="39" t="n">
        <f aca="false">IF(2&gt;='Inputs &amp; Assumptions'!$E$143,0,'Inputs &amp; Assumptions'!$G$58*MAX(F47-F58-F69,0))</f>
        <v>1446291.8771783</v>
      </c>
      <c r="G80" s="39" t="n">
        <f aca="false">IF(3&gt;='Inputs &amp; Assumptions'!$E$143,0,'Inputs &amp; Assumptions'!$G$58*MAX(G47-G58-G69,0))</f>
        <v>1351812.06360941</v>
      </c>
      <c r="H80" s="39" t="n">
        <f aca="false">IF(4&gt;='Inputs &amp; Assumptions'!$E$143,0,'Inputs &amp; Assumptions'!$G$58*MAX(H47-H58-H69,0))</f>
        <v>1263504.19590628</v>
      </c>
      <c r="I80" s="39" t="n">
        <f aca="false">IF(5&gt;='Inputs &amp; Assumptions'!$E$143,0,'Inputs &amp; Assumptions'!$G$58*MAX(I47-I58-I69,0))</f>
        <v>1180965.08830538</v>
      </c>
      <c r="J80" s="39" t="n">
        <f aca="false">IF(6&gt;='Inputs &amp; Assumptions'!$E$143,0,'Inputs &amp; Assumptions'!$G$58*MAX(J47-J58-J69,0))</f>
        <v>1105156.80116066</v>
      </c>
      <c r="K80" s="39" t="n">
        <f aca="false">IF(7&gt;='Inputs &amp; Assumptions'!$E$143,0,'Inputs &amp; Assumptions'!$G$58*MAX(K47-K58-K69,0))</f>
        <v>1034214.78521797</v>
      </c>
      <c r="L80" s="39" t="n">
        <f aca="false">IF(8&gt;='Inputs &amp; Assumptions'!$E$143,0,'Inputs &amp; Assumptions'!$G$58*MAX(L47-L58-L69,0))</f>
        <v>967826.665718504</v>
      </c>
      <c r="M80" s="39" t="n">
        <f aca="false">IF(9&gt;='Inputs &amp; Assumptions'!$E$143,0,'Inputs &amp; Assumptions'!$G$58*MAX(M47-M58-M69,0))</f>
        <v>905700.119804787</v>
      </c>
      <c r="N80" s="39" t="n">
        <f aca="false">IF(10&gt;='Inputs &amp; Assumptions'!$E$143,0,'Inputs &amp; Assumptions'!$G$58*MAX(N47-N58-N69,0))</f>
        <v>849187.401588822</v>
      </c>
      <c r="O80" s="39" t="n">
        <f aca="false">IF(11&gt;='Inputs &amp; Assumptions'!$E$143,0,'Inputs &amp; Assumptions'!$G$58*MAX(O47-O58-O69,0))</f>
        <v>796200.891717452</v>
      </c>
      <c r="P80" s="39" t="n">
        <f aca="false">IF(12&gt;='Inputs &amp; Assumptions'!$E$143,0,'Inputs &amp; Assumptions'!$G$58*MAX(P47-P58-P69,0))</f>
        <v>746520.566350346</v>
      </c>
      <c r="Q80" s="39" t="n">
        <f aca="false">IF(13&gt;='Inputs &amp; Assumptions'!$E$143,0,'Inputs &amp; Assumptions'!$G$58*MAX(Q47-Q58-Q69,0))</f>
        <v>699940.130413479</v>
      </c>
      <c r="R80" s="39" t="n">
        <f aca="false">IF(14&gt;='Inputs &amp; Assumptions'!$E$143,0,'Inputs &amp; Assumptions'!$G$58*MAX(R47-R58-R69,0))</f>
        <v>657373.825035653</v>
      </c>
      <c r="S80" s="39" t="n">
        <f aca="false">IF(15&gt;='Inputs &amp; Assumptions'!$E$143,0,'Inputs &amp; Assumptions'!$G$58*MAX(S47-S58-S69,0))</f>
        <v>617396.155849394</v>
      </c>
      <c r="T80" s="39" t="n">
        <f aca="false">IF(16&gt;='Inputs &amp; Assumptions'!$E$143,0,'Inputs &amp; Assumptions'!$G$58*MAX(T47-T58-T69,0))</f>
        <v>579849.696992325</v>
      </c>
      <c r="U80" s="39" t="n">
        <f aca="false">IF(17&gt;='Inputs &amp; Assumptions'!$E$143,0,'Inputs &amp; Assumptions'!$G$58*MAX(U47-U58-U69,0))</f>
        <v>544586.596331366</v>
      </c>
      <c r="V80" s="39" t="n">
        <f aca="false">IF(18&gt;='Inputs &amp; Assumptions'!$E$143,0,'Inputs &amp; Assumptions'!$G$58*MAX(V47-V58-V69,0))</f>
        <v>512046.824310427</v>
      </c>
      <c r="W80" s="39" t="n">
        <f aca="false">IF(19&gt;='Inputs &amp; Assumptions'!$E$143,0,'Inputs &amp; Assumptions'!$G$58*MAX(W47-W58-W69,0))</f>
        <v>481451.346861385</v>
      </c>
      <c r="X80" s="39" t="n">
        <f aca="false">IF(20&gt;='Inputs &amp; Assumptions'!$E$143,0,'Inputs &amp; Assumptions'!$G$58*MAX(X47-X58-X69,0))</f>
        <v>452683.989802691</v>
      </c>
      <c r="Y80" s="39" t="n">
        <f aca="false">IF(21&gt;='Inputs &amp; Assumptions'!$E$143,0,'Inputs &amp; Assumptions'!$G$58*MAX(Y47-Y58-Y69,0))</f>
        <v>425635.520514355</v>
      </c>
      <c r="Z80" s="39" t="n">
        <f aca="false">IF(22&gt;='Inputs &amp; Assumptions'!$E$143,0,'Inputs &amp; Assumptions'!$G$58*MAX(Z47-Z58-Z69,0))</f>
        <v>400615.419981118</v>
      </c>
      <c r="AA80" s="39" t="n">
        <f aca="false">IF(23&gt;='Inputs &amp; Assumptions'!$E$143,0,'Inputs &amp; Assumptions'!$G$58*MAX(AA47-AA58-AA69,0))</f>
        <v>377066.074120652</v>
      </c>
      <c r="AB80" s="39" t="n">
        <f aca="false">IF(24&gt;='Inputs &amp; Assumptions'!$E$143,0,'Inputs &amp; Assumptions'!$G$58*MAX(AB47-AB58-AB69,0))</f>
        <v>354901.02767253</v>
      </c>
      <c r="AC80" s="39" t="n">
        <f aca="false">IF(25&gt;='Inputs &amp; Assumptions'!$E$143,0,'Inputs &amp; Assumptions'!$G$58*MAX(AC47-AC58-AC69,0))</f>
        <v>0</v>
      </c>
      <c r="AD80" s="39" t="n">
        <f aca="false">IF(26&gt;='Inputs &amp; Assumptions'!$E$143,0,'Inputs &amp; Assumptions'!$G$58*MAX(AD47-AD58-AD69,0))</f>
        <v>0</v>
      </c>
      <c r="AE80" s="39" t="n">
        <f aca="false">IF(27&gt;='Inputs &amp; Assumptions'!$E$143,0,'Inputs &amp; Assumptions'!$G$58*MAX(AE47-AE58-AE69,0))</f>
        <v>0</v>
      </c>
      <c r="AF80" s="39" t="n">
        <f aca="false">IF(28&gt;='Inputs &amp; Assumptions'!$E$143,0,'Inputs &amp; Assumptions'!$G$58*MAX(AF47-AF58-AF69,0))</f>
        <v>0</v>
      </c>
      <c r="AG80" s="39" t="n">
        <f aca="false">IF(29&gt;='Inputs &amp; Assumptions'!$E$143,0,'Inputs &amp; Assumptions'!$G$58*MAX(AG47-AG58-AG69,0))</f>
        <v>0</v>
      </c>
      <c r="AH80" s="39" t="n">
        <f aca="false">IF(30&gt;='Inputs &amp; Assumptions'!$E$143,0,'Inputs &amp; Assumptions'!$G$58*MAX(AH47-AH58-AH69,0))</f>
        <v>0</v>
      </c>
      <c r="AI80" s="39" t="n">
        <f aca="false">IF(31&gt;='Inputs &amp; Assumptions'!$E$143,0,'Inputs &amp; Assumptions'!$G$58*MAX(AI47-AI58-AI69,0))</f>
        <v>0</v>
      </c>
      <c r="AJ80" s="39" t="n">
        <f aca="false">IF(32&gt;='Inputs &amp; Assumptions'!$E$143,0,'Inputs &amp; Assumptions'!$G$58*MAX(AJ47-AJ58-AJ69,0))</f>
        <v>0</v>
      </c>
      <c r="AK80" s="39" t="n">
        <f aca="false">IF(33&gt;='Inputs &amp; Assumptions'!$E$143,0,'Inputs &amp; Assumptions'!$G$58*MAX(AK47-AK58-AK69,0))</f>
        <v>0</v>
      </c>
      <c r="AL80" s="39" t="n">
        <f aca="false">IF(34&gt;='Inputs &amp; Assumptions'!$E$143,0,'Inputs &amp; Assumptions'!$G$58*MAX(AL47-AL58-AL69,0))</f>
        <v>0</v>
      </c>
      <c r="AM80" s="39" t="n">
        <f aca="false">IF(35&gt;='Inputs &amp; Assumptions'!$E$143,0,'Inputs &amp; Assumptions'!$G$58*MAX(AM47-AM58-AM69,0))</f>
        <v>0</v>
      </c>
      <c r="AN80" s="39" t="n">
        <f aca="false">IF(36&gt;='Inputs &amp; Assumptions'!$E$143,0,'Inputs &amp; Assumptions'!$G$58*MAX(AN47-AN58-AN69,0))</f>
        <v>0</v>
      </c>
    </row>
    <row r="81" customFormat="false" ht="15" hidden="false" customHeight="false" outlineLevel="0" collapsed="false">
      <c r="B81" s="37" t="n">
        <v>5</v>
      </c>
      <c r="C81" s="38" t="n">
        <f aca="false">'Inputs &amp; Assumptions'!$C$144</f>
        <v>4</v>
      </c>
      <c r="D81" s="38" t="n">
        <f aca="false">'Inputs &amp; Assumptions'!$D$144</f>
        <v>3</v>
      </c>
      <c r="E81" s="39" t="n">
        <f aca="false">IF(1&gt;='Inputs &amp; Assumptions'!$E$144,0,'Inputs &amp; Assumptions'!$G$58*MAX(E48-E59-E70,0))</f>
        <v>1496793.05109662</v>
      </c>
      <c r="F81" s="39" t="n">
        <f aca="false">IF(2&gt;='Inputs &amp; Assumptions'!$E$144,0,'Inputs &amp; Assumptions'!$G$58*MAX(F48-F59-F70,0))</f>
        <v>1399014.22052287</v>
      </c>
      <c r="G81" s="39" t="n">
        <f aca="false">IF(3&gt;='Inputs &amp; Assumptions'!$E$144,0,'Inputs &amp; Assumptions'!$G$58*MAX(G48-G59-G70,0))</f>
        <v>1307622.84591798</v>
      </c>
      <c r="H81" s="39" t="n">
        <f aca="false">IF(4&gt;='Inputs &amp; Assumptions'!$E$144,0,'Inputs &amp; Assumptions'!$G$58*MAX(H48-H59-H70,0))</f>
        <v>1222201.66320223</v>
      </c>
      <c r="I81" s="39" t="n">
        <f aca="false">IF(5&gt;='Inputs &amp; Assumptions'!$E$144,0,'Inputs &amp; Assumptions'!$G$58*MAX(I48-I59-I70,0))</f>
        <v>1143746.32565645</v>
      </c>
      <c r="J81" s="39" t="n">
        <f aca="false">IF(6&gt;='Inputs &amp; Assumptions'!$E$144,0,'Inputs &amp; Assumptions'!$G$58*MAX(J48-J59-J70,0))</f>
        <v>1070327.1782704</v>
      </c>
      <c r="K81" s="39" t="n">
        <f aca="false">IF(7&gt;='Inputs &amp; Assumptions'!$E$144,0,'Inputs &amp; Assumptions'!$G$58*MAX(K48-K59-K70,0))</f>
        <v>1001620.93887974</v>
      </c>
      <c r="L81" s="39" t="n">
        <f aca="false">IF(8&gt;='Inputs &amp; Assumptions'!$E$144,0,'Inputs &amp; Assumptions'!$G$58*MAX(L48-L59-L70,0))</f>
        <v>937325.077387584</v>
      </c>
      <c r="M81" s="39" t="n">
        <f aca="false">IF(9&gt;='Inputs &amp; Assumptions'!$E$144,0,'Inputs &amp; Assumptions'!$G$58*MAX(M48-M59-M70,0))</f>
        <v>878839.065498153</v>
      </c>
      <c r="N81" s="39" t="n">
        <f aca="false">IF(10&gt;='Inputs &amp; Assumptions'!$E$144,0,'Inputs &amp; Assumptions'!$G$58*MAX(N48-N59-N70,0))</f>
        <v>824002.389009268</v>
      </c>
      <c r="O81" s="39" t="n">
        <f aca="false">IF(11&gt;='Inputs &amp; Assumptions'!$E$144,0,'Inputs &amp; Assumptions'!$G$58*MAX(O48-O59-O70,0))</f>
        <v>772587.341355968</v>
      </c>
      <c r="P81" s="39" t="n">
        <f aca="false">IF(12&gt;='Inputs &amp; Assumptions'!$E$144,0,'Inputs &amp; Assumptions'!$G$58*MAX(P48-P59-P70,0))</f>
        <v>724380.424116427</v>
      </c>
      <c r="Q81" s="39" t="n">
        <f aca="false">IF(13&gt;='Inputs &amp; Assumptions'!$E$144,0,'Inputs &amp; Assumptions'!$G$58*MAX(Q48-Q59-Q70,0))</f>
        <v>680327.80160935</v>
      </c>
      <c r="R81" s="39" t="n">
        <f aca="false">IF(14&gt;='Inputs &amp; Assumptions'!$E$144,0,'Inputs &amp; Assumptions'!$G$58*MAX(R48-R59-R70,0))</f>
        <v>638954.204494377</v>
      </c>
      <c r="S81" s="39" t="n">
        <f aca="false">IF(15&gt;='Inputs &amp; Assumptions'!$E$144,0,'Inputs &amp; Assumptions'!$G$58*MAX(S48-S59-S70,0))</f>
        <v>600096.7099614</v>
      </c>
      <c r="T81" s="39" t="n">
        <f aca="false">IF(16&gt;='Inputs &amp; Assumptions'!$E$144,0,'Inputs &amp; Assumptions'!$G$58*MAX(T48-T59-T70,0))</f>
        <v>563602.303222132</v>
      </c>
      <c r="U81" s="39" t="n">
        <f aca="false">IF(17&gt;='Inputs &amp; Assumptions'!$E$144,0,'Inputs &amp; Assumptions'!$G$58*MAX(U48-U59-U70,0))</f>
        <v>529926.317472815</v>
      </c>
      <c r="V81" s="39" t="n">
        <f aca="false">IF(18&gt;='Inputs &amp; Assumptions'!$E$144,0,'Inputs &amp; Assumptions'!$G$58*MAX(V48-V59-V70,0))</f>
        <v>498262.516573887</v>
      </c>
      <c r="W81" s="39" t="n">
        <f aca="false">IF(19&gt;='Inputs &amp; Assumptions'!$E$144,0,'Inputs &amp; Assumptions'!$G$58*MAX(W48-W59-W70,0))</f>
        <v>468490.669809543</v>
      </c>
      <c r="X81" s="39" t="n">
        <f aca="false">IF(20&gt;='Inputs &amp; Assumptions'!$E$144,0,'Inputs &amp; Assumptions'!$G$58*MAX(X48-X59-X70,0))</f>
        <v>440497.730408839</v>
      </c>
      <c r="Y81" s="39" t="n">
        <f aca="false">IF(21&gt;='Inputs &amp; Assumptions'!$E$144,0,'Inputs &amp; Assumptions'!$G$58*MAX(Y48-Y59-Y70,0))</f>
        <v>414603.98571814</v>
      </c>
      <c r="Z81" s="39" t="n">
        <f aca="false">IF(22&gt;='Inputs &amp; Assumptions'!$E$144,0,'Inputs &amp; Assumptions'!$G$58*MAX(Z48-Z59-Z70,0))</f>
        <v>390232.351058484</v>
      </c>
      <c r="AA81" s="39" t="n">
        <f aca="false">IF(23&gt;='Inputs &amp; Assumptions'!$E$144,0,'Inputs &amp; Assumptions'!$G$58*MAX(AA48-AA59-AA70,0))</f>
        <v>367293.352351314</v>
      </c>
      <c r="AB81" s="39" t="n">
        <f aca="false">IF(24&gt;='Inputs &amp; Assumptions'!$E$144,0,'Inputs &amp; Assumptions'!$G$58*MAX(AB48-AB59-AB70,0))</f>
        <v>0</v>
      </c>
      <c r="AC81" s="39" t="n">
        <f aca="false">IF(25&gt;='Inputs &amp; Assumptions'!$E$144,0,'Inputs &amp; Assumptions'!$G$58*MAX(AC48-AC59-AC70,0))</f>
        <v>0</v>
      </c>
      <c r="AD81" s="39" t="n">
        <f aca="false">IF(26&gt;='Inputs &amp; Assumptions'!$E$144,0,'Inputs &amp; Assumptions'!$G$58*MAX(AD48-AD59-AD70,0))</f>
        <v>0</v>
      </c>
      <c r="AE81" s="39" t="n">
        <f aca="false">IF(27&gt;='Inputs &amp; Assumptions'!$E$144,0,'Inputs &amp; Assumptions'!$G$58*MAX(AE48-AE59-AE70,0))</f>
        <v>0</v>
      </c>
      <c r="AF81" s="39" t="n">
        <f aca="false">IF(28&gt;='Inputs &amp; Assumptions'!$E$144,0,'Inputs &amp; Assumptions'!$G$58*MAX(AF48-AF59-AF70,0))</f>
        <v>0</v>
      </c>
      <c r="AG81" s="39" t="n">
        <f aca="false">IF(29&gt;='Inputs &amp; Assumptions'!$E$144,0,'Inputs &amp; Assumptions'!$G$58*MAX(AG48-AG59-AG70,0))</f>
        <v>0</v>
      </c>
      <c r="AH81" s="39" t="n">
        <f aca="false">IF(30&gt;='Inputs &amp; Assumptions'!$E$144,0,'Inputs &amp; Assumptions'!$G$58*MAX(AH48-AH59-AH70,0))</f>
        <v>0</v>
      </c>
      <c r="AI81" s="39" t="n">
        <f aca="false">IF(31&gt;='Inputs &amp; Assumptions'!$E$144,0,'Inputs &amp; Assumptions'!$G$58*MAX(AI48-AI59-AI70,0))</f>
        <v>0</v>
      </c>
      <c r="AJ81" s="39" t="n">
        <f aca="false">IF(32&gt;='Inputs &amp; Assumptions'!$E$144,0,'Inputs &amp; Assumptions'!$G$58*MAX(AJ48-AJ59-AJ70,0))</f>
        <v>0</v>
      </c>
      <c r="AK81" s="39" t="n">
        <f aca="false">IF(33&gt;='Inputs &amp; Assumptions'!$E$144,0,'Inputs &amp; Assumptions'!$G$58*MAX(AK48-AK59-AK70,0))</f>
        <v>0</v>
      </c>
      <c r="AL81" s="39" t="n">
        <f aca="false">IF(34&gt;='Inputs &amp; Assumptions'!$E$144,0,'Inputs &amp; Assumptions'!$G$58*MAX(AL48-AL59-AL70,0))</f>
        <v>0</v>
      </c>
      <c r="AM81" s="39" t="n">
        <f aca="false">IF(35&gt;='Inputs &amp; Assumptions'!$E$144,0,'Inputs &amp; Assumptions'!$G$58*MAX(AM48-AM59-AM70,0))</f>
        <v>0</v>
      </c>
      <c r="AN81" s="39" t="n">
        <f aca="false">IF(36&gt;='Inputs &amp; Assumptions'!$E$144,0,'Inputs &amp; Assumptions'!$G$58*MAX(AN48-AN59-AN70,0))</f>
        <v>0</v>
      </c>
    </row>
    <row r="82" customFormat="false" ht="15" hidden="false" customHeight="false" outlineLevel="0" collapsed="false">
      <c r="B82" s="37" t="n">
        <v>6</v>
      </c>
      <c r="C82" s="38" t="n">
        <f aca="false">'Inputs &amp; Assumptions'!$C$145</f>
        <v>5</v>
      </c>
      <c r="D82" s="38" t="n">
        <f aca="false">'Inputs &amp; Assumptions'!$D$145</f>
        <v>3</v>
      </c>
      <c r="E82" s="39" t="n">
        <f aca="false">IF(1&gt;='Inputs &amp; Assumptions'!$E$145,0,'Inputs &amp; Assumptions'!$G$58*MAX(E49-E60-E71,0))</f>
        <v>1451889.25956372</v>
      </c>
      <c r="F82" s="39" t="n">
        <f aca="false">IF(2&gt;='Inputs &amp; Assumptions'!$E$145,0,'Inputs &amp; Assumptions'!$G$58*MAX(F49-F60-F71,0))</f>
        <v>1357043.79390718</v>
      </c>
      <c r="G82" s="39" t="n">
        <f aca="false">IF(3&gt;='Inputs &amp; Assumptions'!$E$145,0,'Inputs &amp; Assumptions'!$G$58*MAX(G49-G60-G71,0))</f>
        <v>1268394.16054044</v>
      </c>
      <c r="H82" s="39" t="n">
        <f aca="false">IF(4&gt;='Inputs &amp; Assumptions'!$E$145,0,'Inputs &amp; Assumptions'!$G$58*MAX(H49-H60-H71,0))</f>
        <v>1186973.64295943</v>
      </c>
      <c r="I82" s="39" t="n">
        <f aca="false">IF(5&gt;='Inputs &amp; Assumptions'!$E$145,0,'Inputs &amp; Assumptions'!$G$58*MAX(I49-I60-I71,0))</f>
        <v>1110779.65581303</v>
      </c>
      <c r="J82" s="39" t="n">
        <f aca="false">IF(6&gt;='Inputs &amp; Assumptions'!$E$145,0,'Inputs &amp; Assumptions'!$G$58*MAX(J49-J60-J71,0))</f>
        <v>1039476.69865008</v>
      </c>
      <c r="K82" s="39" t="n">
        <f aca="false">IF(7&gt;='Inputs &amp; Assumptions'!$E$145,0,'Inputs &amp; Assumptions'!$G$58*MAX(K49-K60-K71,0))</f>
        <v>972750.807400761</v>
      </c>
      <c r="L82" s="39" t="n">
        <f aca="false">IF(8&gt;='Inputs &amp; Assumptions'!$E$145,0,'Inputs &amp; Assumptions'!$G$58*MAX(L49-L60-L71,0))</f>
        <v>912054.346098712</v>
      </c>
      <c r="M82" s="39" t="n">
        <f aca="false">IF(9&gt;='Inputs &amp; Assumptions'!$E$145,0,'Inputs &amp; Assumptions'!$G$58*MAX(M49-M60-M71,0))</f>
        <v>855145.14499379</v>
      </c>
      <c r="N82" s="39" t="n">
        <f aca="false">IF(10&gt;='Inputs &amp; Assumptions'!$E$145,0,'Inputs &amp; Assumptions'!$G$58*MAX(N49-N60-N71,0))</f>
        <v>801786.891465899</v>
      </c>
      <c r="O82" s="39" t="n">
        <f aca="false">IF(11&gt;='Inputs &amp; Assumptions'!$E$145,0,'Inputs &amp; Assumptions'!$G$58*MAX(O49-O60-O71,0))</f>
        <v>751758.018027709</v>
      </c>
      <c r="P82" s="39" t="n">
        <f aca="false">IF(12&gt;='Inputs &amp; Assumptions'!$E$145,0,'Inputs &amp; Assumptions'!$G$58*MAX(P49-P60-P71,0))</f>
        <v>706040.448802619</v>
      </c>
      <c r="Q82" s="39" t="n">
        <f aca="false">IF(13&gt;='Inputs &amp; Assumptions'!$E$145,0,'Inputs &amp; Assumptions'!$G$58*MAX(Q49-Q60-Q71,0))</f>
        <v>663103.157387315</v>
      </c>
      <c r="R82" s="39" t="n">
        <f aca="false">IF(14&gt;='Inputs &amp; Assumptions'!$E$145,0,'Inputs &amp; Assumptions'!$G$58*MAX(R49-R60-R71,0))</f>
        <v>622777.063385996</v>
      </c>
      <c r="S82" s="39" t="n">
        <f aca="false">IF(15&gt;='Inputs &amp; Assumptions'!$E$145,0,'Inputs &amp; Assumptions'!$G$58*MAX(S49-S60-S71,0))</f>
        <v>584903.368893392</v>
      </c>
      <c r="T82" s="39" t="n">
        <f aca="false">IF(16&gt;='Inputs &amp; Assumptions'!$E$145,0,'Inputs &amp; Assumptions'!$G$58*MAX(T49-T60-T71,0))</f>
        <v>549954.616194952</v>
      </c>
      <c r="U82" s="39" t="n">
        <f aca="false">IF(17&gt;='Inputs &amp; Assumptions'!$E$145,0,'Inputs &amp; Assumptions'!$G$58*MAX(U49-U60-U71,0))</f>
        <v>517094.097861596</v>
      </c>
      <c r="V82" s="39" t="n">
        <f aca="false">IF(18&gt;='Inputs &amp; Assumptions'!$E$145,0,'Inputs &amp; Assumptions'!$G$58*MAX(V49-V60-V71,0))</f>
        <v>486197.039118066</v>
      </c>
      <c r="W82" s="39" t="n">
        <f aca="false">IF(19&gt;='Inputs &amp; Assumptions'!$E$145,0,'Inputs &amp; Assumptions'!$G$58*MAX(W49-W60-W71,0))</f>
        <v>457146.120647552</v>
      </c>
      <c r="X82" s="39" t="n">
        <f aca="false">IF(20&gt;='Inputs &amp; Assumptions'!$E$145,0,'Inputs &amp; Assumptions'!$G$58*MAX(X49-X60-X71,0))</f>
        <v>430273.734895633</v>
      </c>
      <c r="Y82" s="39" t="n">
        <f aca="false">IF(21&gt;='Inputs &amp; Assumptions'!$E$145,0,'Inputs &amp; Assumptions'!$G$58*MAX(Y49-Y60-Y71,0))</f>
        <v>404980.986558064</v>
      </c>
      <c r="Z82" s="39" t="n">
        <f aca="false">IF(22&gt;='Inputs &amp; Assumptions'!$E$145,0,'Inputs &amp; Assumptions'!$G$58*MAX(Z49-Z60-Z71,0))</f>
        <v>381175.019928476</v>
      </c>
      <c r="AA82" s="39" t="n">
        <f aca="false">IF(23&gt;='Inputs &amp; Assumptions'!$E$145,0,'Inputs &amp; Assumptions'!$G$58*MAX(AA49-AA60-AA71,0))</f>
        <v>0</v>
      </c>
      <c r="AB82" s="39" t="n">
        <f aca="false">IF(24&gt;='Inputs &amp; Assumptions'!$E$145,0,'Inputs &amp; Assumptions'!$G$58*MAX(AB49-AB60-AB71,0))</f>
        <v>0</v>
      </c>
      <c r="AC82" s="39" t="n">
        <f aca="false">IF(25&gt;='Inputs &amp; Assumptions'!$E$145,0,'Inputs &amp; Assumptions'!$G$58*MAX(AC49-AC60-AC71,0))</f>
        <v>0</v>
      </c>
      <c r="AD82" s="39" t="n">
        <f aca="false">IF(26&gt;='Inputs &amp; Assumptions'!$E$145,0,'Inputs &amp; Assumptions'!$G$58*MAX(AD49-AD60-AD71,0))</f>
        <v>0</v>
      </c>
      <c r="AE82" s="39" t="n">
        <f aca="false">IF(27&gt;='Inputs &amp; Assumptions'!$E$145,0,'Inputs &amp; Assumptions'!$G$58*MAX(AE49-AE60-AE71,0))</f>
        <v>0</v>
      </c>
      <c r="AF82" s="39" t="n">
        <f aca="false">IF(28&gt;='Inputs &amp; Assumptions'!$E$145,0,'Inputs &amp; Assumptions'!$G$58*MAX(AF49-AF60-AF71,0))</f>
        <v>0</v>
      </c>
      <c r="AG82" s="39" t="n">
        <f aca="false">IF(29&gt;='Inputs &amp; Assumptions'!$E$145,0,'Inputs &amp; Assumptions'!$G$58*MAX(AG49-AG60-AG71,0))</f>
        <v>0</v>
      </c>
      <c r="AH82" s="39" t="n">
        <f aca="false">IF(30&gt;='Inputs &amp; Assumptions'!$E$145,0,'Inputs &amp; Assumptions'!$G$58*MAX(AH49-AH60-AH71,0))</f>
        <v>0</v>
      </c>
      <c r="AI82" s="39" t="n">
        <f aca="false">IF(31&gt;='Inputs &amp; Assumptions'!$E$145,0,'Inputs &amp; Assumptions'!$G$58*MAX(AI49-AI60-AI71,0))</f>
        <v>0</v>
      </c>
      <c r="AJ82" s="39" t="n">
        <f aca="false">IF(32&gt;='Inputs &amp; Assumptions'!$E$145,0,'Inputs &amp; Assumptions'!$G$58*MAX(AJ49-AJ60-AJ71,0))</f>
        <v>0</v>
      </c>
      <c r="AK82" s="39" t="n">
        <f aca="false">IF(33&gt;='Inputs &amp; Assumptions'!$E$145,0,'Inputs &amp; Assumptions'!$G$58*MAX(AK49-AK60-AK71,0))</f>
        <v>0</v>
      </c>
      <c r="AL82" s="39" t="n">
        <f aca="false">IF(34&gt;='Inputs &amp; Assumptions'!$E$145,0,'Inputs &amp; Assumptions'!$G$58*MAX(AL49-AL60-AL71,0))</f>
        <v>0</v>
      </c>
      <c r="AM82" s="39" t="n">
        <f aca="false">IF(35&gt;='Inputs &amp; Assumptions'!$E$145,0,'Inputs &amp; Assumptions'!$G$58*MAX(AM49-AM60-AM71,0))</f>
        <v>0</v>
      </c>
      <c r="AN82" s="39" t="n">
        <f aca="false">IF(36&gt;='Inputs &amp; Assumptions'!$E$145,0,'Inputs &amp; Assumptions'!$G$58*MAX(AN49-AN60-AN71,0))</f>
        <v>0</v>
      </c>
    </row>
    <row r="83" customFormat="false" ht="15" hidden="false" customHeight="false" outlineLevel="0" collapsed="false">
      <c r="B83" s="37" t="n">
        <v>7</v>
      </c>
      <c r="C83" s="38" t="n">
        <f aca="false">'Inputs &amp; Assumptions'!$C$146</f>
        <v>6</v>
      </c>
      <c r="D83" s="38" t="n">
        <f aca="false">'Inputs &amp; Assumptions'!$D$146</f>
        <v>3</v>
      </c>
      <c r="E83" s="39" t="n">
        <f aca="false">IF(1&gt;='Inputs &amp; Assumptions'!$E$146,0,'Inputs &amp; Assumptions'!$G$58*MAX(E50-E61-E72,0))</f>
        <v>1408332.58177681</v>
      </c>
      <c r="F83" s="39" t="n">
        <f aca="false">IF(2&gt;='Inputs &amp; Assumptions'!$E$146,0,'Inputs &amp; Assumptions'!$G$58*MAX(F50-F61-F72,0))</f>
        <v>1316332.48008997</v>
      </c>
      <c r="G83" s="39" t="n">
        <f aca="false">IF(3&gt;='Inputs &amp; Assumptions'!$E$146,0,'Inputs &amp; Assumptions'!$G$58*MAX(G50-G61-G72,0))</f>
        <v>1231834.71498519</v>
      </c>
      <c r="H83" s="39" t="n">
        <f aca="false">IF(4&gt;='Inputs &amp; Assumptions'!$E$146,0,'Inputs &amp; Assumptions'!$G$58*MAX(H50-H61-H72,0))</f>
        <v>1152761.0144049</v>
      </c>
      <c r="I83" s="39" t="n">
        <f aca="false">IF(5&gt;='Inputs &amp; Assumptions'!$E$146,0,'Inputs &amp; Assumptions'!$G$58*MAX(I50-I61-I72,0))</f>
        <v>1078763.19782708</v>
      </c>
      <c r="J83" s="39" t="n">
        <f aca="false">IF(6&gt;='Inputs &amp; Assumptions'!$E$146,0,'Inputs &amp; Assumptions'!$G$58*MAX(J50-J61-J72,0))</f>
        <v>1009515.43506774</v>
      </c>
      <c r="K83" s="39" t="n">
        <f aca="false">IF(7&gt;='Inputs &amp; Assumptions'!$E$146,0,'Inputs &amp; Assumptions'!$G$58*MAX(K50-K61-K72,0))</f>
        <v>946524.981528939</v>
      </c>
      <c r="L83" s="39" t="n">
        <f aca="false">IF(8&gt;='Inputs &amp; Assumptions'!$E$146,0,'Inputs &amp; Assumptions'!$G$58*MAX(L50-L61-L72,0))</f>
        <v>887464.92578218</v>
      </c>
      <c r="M83" s="39" t="n">
        <f aca="false">IF(9&gt;='Inputs &amp; Assumptions'!$E$146,0,'Inputs &amp; Assumptions'!$G$58*MAX(M50-M61-M72,0))</f>
        <v>832090.023890712</v>
      </c>
      <c r="N83" s="39" t="n">
        <f aca="false">IF(10&gt;='Inputs &amp; Assumptions'!$E$146,0,'Inputs &amp; Assumptions'!$G$58*MAX(N50-N61-N72,0))</f>
        <v>780170.334335424</v>
      </c>
      <c r="O83" s="39" t="n">
        <f aca="false">IF(11&gt;='Inputs &amp; Assumptions'!$E$146,0,'Inputs &amp; Assumptions'!$G$58*MAX(O50-O61-O72,0))</f>
        <v>732724.892568248</v>
      </c>
      <c r="P83" s="39" t="n">
        <f aca="false">IF(12&gt;='Inputs &amp; Assumptions'!$E$146,0,'Inputs &amp; Assumptions'!$G$58*MAX(P50-P61-P72,0))</f>
        <v>688164.807812756</v>
      </c>
      <c r="Q83" s="39" t="n">
        <f aca="false">IF(13&gt;='Inputs &amp; Assumptions'!$E$146,0,'Inputs &amp; Assumptions'!$G$58*MAX(Q50-Q61-Q72,0))</f>
        <v>646314.609364602</v>
      </c>
      <c r="R83" s="39" t="n">
        <f aca="false">IF(14&gt;='Inputs &amp; Assumptions'!$E$146,0,'Inputs &amp; Assumptions'!$G$58*MAX(R50-R61-R72,0))</f>
        <v>607009.497631528</v>
      </c>
      <c r="S83" s="39" t="n">
        <f aca="false">IF(15&gt;='Inputs &amp; Assumptions'!$E$146,0,'Inputs &amp; Assumptions'!$G$58*MAX(S50-S61-S72,0))</f>
        <v>570739.87439707</v>
      </c>
      <c r="T83" s="39" t="n">
        <f aca="false">IF(16&gt;='Inputs &amp; Assumptions'!$E$146,0,'Inputs &amp; Assumptions'!$G$58*MAX(T50-T61-T72,0))</f>
        <v>536637.409295562</v>
      </c>
      <c r="U83" s="39" t="n">
        <f aca="false">IF(17&gt;='Inputs &amp; Assumptions'!$E$146,0,'Inputs &amp; Assumptions'!$G$58*MAX(U50-U61-U72,0))</f>
        <v>504572.611751849</v>
      </c>
      <c r="V83" s="39" t="n">
        <f aca="false">IF(18&gt;='Inputs &amp; Assumptions'!$E$146,0,'Inputs &amp; Assumptions'!$G$58*MAX(V50-V61-V72,0))</f>
        <v>474423.728424533</v>
      </c>
      <c r="W83" s="39" t="n">
        <f aca="false">IF(19&gt;='Inputs &amp; Assumptions'!$E$146,0,'Inputs &amp; Assumptions'!$G$58*MAX(W50-W61-W72,0))</f>
        <v>446535.714364545</v>
      </c>
      <c r="X83" s="39" t="n">
        <f aca="false">IF(20&gt;='Inputs &amp; Assumptions'!$E$146,0,'Inputs &amp; Assumptions'!$G$58*MAX(X50-X61-X72,0))</f>
        <v>420287.039320741</v>
      </c>
      <c r="Y83" s="39" t="n">
        <f aca="false">IF(21&gt;='Inputs &amp; Assumptions'!$E$146,0,'Inputs &amp; Assumptions'!$G$58*MAX(Y50-Y61-Y72,0))</f>
        <v>395581.338152019</v>
      </c>
      <c r="Z83" s="39" t="n">
        <f aca="false">IF(22&gt;='Inputs &amp; Assumptions'!$E$146,0,'Inputs &amp; Assumptions'!$G$58*MAX(Z50-Z61-Z72,0))</f>
        <v>0</v>
      </c>
      <c r="AA83" s="39" t="n">
        <f aca="false">IF(23&gt;='Inputs &amp; Assumptions'!$E$146,0,'Inputs &amp; Assumptions'!$G$58*MAX(AA50-AA61-AA72,0))</f>
        <v>0</v>
      </c>
      <c r="AB83" s="39" t="n">
        <f aca="false">IF(24&gt;='Inputs &amp; Assumptions'!$E$146,0,'Inputs &amp; Assumptions'!$G$58*MAX(AB50-AB61-AB72,0))</f>
        <v>0</v>
      </c>
      <c r="AC83" s="39" t="n">
        <f aca="false">IF(25&gt;='Inputs &amp; Assumptions'!$E$146,0,'Inputs &amp; Assumptions'!$G$58*MAX(AC50-AC61-AC72,0))</f>
        <v>0</v>
      </c>
      <c r="AD83" s="39" t="n">
        <f aca="false">IF(26&gt;='Inputs &amp; Assumptions'!$E$146,0,'Inputs &amp; Assumptions'!$G$58*MAX(AD50-AD61-AD72,0))</f>
        <v>0</v>
      </c>
      <c r="AE83" s="39" t="n">
        <f aca="false">IF(27&gt;='Inputs &amp; Assumptions'!$E$146,0,'Inputs &amp; Assumptions'!$G$58*MAX(AE50-AE61-AE72,0))</f>
        <v>0</v>
      </c>
      <c r="AF83" s="39" t="n">
        <f aca="false">IF(28&gt;='Inputs &amp; Assumptions'!$E$146,0,'Inputs &amp; Assumptions'!$G$58*MAX(AF50-AF61-AF72,0))</f>
        <v>0</v>
      </c>
      <c r="AG83" s="39" t="n">
        <f aca="false">IF(29&gt;='Inputs &amp; Assumptions'!$E$146,0,'Inputs &amp; Assumptions'!$G$58*MAX(AG50-AG61-AG72,0))</f>
        <v>0</v>
      </c>
      <c r="AH83" s="39" t="n">
        <f aca="false">IF(30&gt;='Inputs &amp; Assumptions'!$E$146,0,'Inputs &amp; Assumptions'!$G$58*MAX(AH50-AH61-AH72,0))</f>
        <v>0</v>
      </c>
      <c r="AI83" s="39" t="n">
        <f aca="false">IF(31&gt;='Inputs &amp; Assumptions'!$E$146,0,'Inputs &amp; Assumptions'!$G$58*MAX(AI50-AI61-AI72,0))</f>
        <v>0</v>
      </c>
      <c r="AJ83" s="39" t="n">
        <f aca="false">IF(32&gt;='Inputs &amp; Assumptions'!$E$146,0,'Inputs &amp; Assumptions'!$G$58*MAX(AJ50-AJ61-AJ72,0))</f>
        <v>0</v>
      </c>
      <c r="AK83" s="39" t="n">
        <f aca="false">IF(33&gt;='Inputs &amp; Assumptions'!$E$146,0,'Inputs &amp; Assumptions'!$G$58*MAX(AK50-AK61-AK72,0))</f>
        <v>0</v>
      </c>
      <c r="AL83" s="39" t="n">
        <f aca="false">IF(34&gt;='Inputs &amp; Assumptions'!$E$146,0,'Inputs &amp; Assumptions'!$G$58*MAX(AL50-AL61-AL72,0))</f>
        <v>0</v>
      </c>
      <c r="AM83" s="39" t="n">
        <f aca="false">IF(35&gt;='Inputs &amp; Assumptions'!$E$146,0,'Inputs &amp; Assumptions'!$G$58*MAX(AM50-AM61-AM72,0))</f>
        <v>0</v>
      </c>
      <c r="AN83" s="39" t="n">
        <f aca="false">IF(36&gt;='Inputs &amp; Assumptions'!$E$146,0,'Inputs &amp; Assumptions'!$G$58*MAX(AN50-AN61-AN72,0))</f>
        <v>0</v>
      </c>
    </row>
    <row r="84" customFormat="false" ht="15" hidden="false" customHeight="false" outlineLevel="0" collapsed="false">
      <c r="B84" s="37" t="n">
        <v>8</v>
      </c>
      <c r="C84" s="38" t="n">
        <f aca="false">'Inputs &amp; Assumptions'!$C$147</f>
        <v>7</v>
      </c>
      <c r="D84" s="38" t="n">
        <f aca="false">'Inputs &amp; Assumptions'!$D$147</f>
        <v>3</v>
      </c>
      <c r="E84" s="39" t="n">
        <f aca="false">IF(1&gt;='Inputs &amp; Assumptions'!$E$147,0,'Inputs &amp; Assumptions'!$G$58*MAX(E51-E62-E73,0))</f>
        <v>1366082.6043235</v>
      </c>
      <c r="F84" s="39" t="n">
        <f aca="false">IF(2&gt;='Inputs &amp; Assumptions'!$E$147,0,'Inputs &amp; Assumptions'!$G$58*MAX(F51-F62-F73,0))</f>
        <v>1278391.28867203</v>
      </c>
      <c r="G84" s="39" t="n">
        <f aca="false">IF(3&gt;='Inputs &amp; Assumptions'!$E$147,0,'Inputs &amp; Assumptions'!$G$58*MAX(G51-G62-G73,0))</f>
        <v>1196329.03733654</v>
      </c>
      <c r="H84" s="39" t="n">
        <f aca="false">IF(4&gt;='Inputs &amp; Assumptions'!$E$147,0,'Inputs &amp; Assumptions'!$G$58*MAX(H51-H62-H73,0))</f>
        <v>1119534.51048723</v>
      </c>
      <c r="I84" s="39" t="n">
        <f aca="false">IF(5&gt;='Inputs &amp; Assumptions'!$E$147,0,'Inputs &amp; Assumptions'!$G$58*MAX(I51-I62-I73,0))</f>
        <v>1047669.56335215</v>
      </c>
      <c r="J84" s="39" t="n">
        <f aca="false">IF(6&gt;='Inputs &amp; Assumptions'!$E$147,0,'Inputs &amp; Assumptions'!$G$58*MAX(J51-J62-J73,0))</f>
        <v>982298.417293429</v>
      </c>
      <c r="K84" s="39" t="n">
        <f aca="false">IF(7&gt;='Inputs &amp; Assumptions'!$E$147,0,'Inputs &amp; Assumptions'!$G$58*MAX(K51-K62-K73,0))</f>
        <v>921006.216435095</v>
      </c>
      <c r="L84" s="39" t="n">
        <f aca="false">IF(8&gt;='Inputs &amp; Assumptions'!$E$147,0,'Inputs &amp; Assumptions'!$G$58*MAX(L51-L62-L73,0))</f>
        <v>863538.447969118</v>
      </c>
      <c r="M84" s="39" t="n">
        <f aca="false">IF(9&gt;='Inputs &amp; Assumptions'!$E$147,0,'Inputs &amp; Assumptions'!$G$58*MAX(M51-M62-M73,0))</f>
        <v>809656.479852288</v>
      </c>
      <c r="N84" s="39" t="n">
        <f aca="false">IF(10&gt;='Inputs &amp; Assumptions'!$E$147,0,'Inputs &amp; Assumptions'!$G$58*MAX(N51-N62-N73,0))</f>
        <v>760417.861469071</v>
      </c>
      <c r="O84" s="39" t="n">
        <f aca="false">IF(11&gt;='Inputs &amp; Assumptions'!$E$147,0,'Inputs &amp; Assumptions'!$G$58*MAX(O51-O62-O73,0))</f>
        <v>714173.650715039</v>
      </c>
      <c r="P84" s="39" t="n">
        <f aca="false">IF(12&gt;='Inputs &amp; Assumptions'!$E$147,0,'Inputs &amp; Assumptions'!$G$58*MAX(P51-P62-P73,0))</f>
        <v>670741.7450588</v>
      </c>
      <c r="Q84" s="39" t="n">
        <f aca="false">IF(13&gt;='Inputs &amp; Assumptions'!$E$147,0,'Inputs &amp; Assumptions'!$G$58*MAX(Q51-Q62-Q73,0))</f>
        <v>629951.11639037</v>
      </c>
      <c r="R84" s="39" t="n">
        <f aca="false">IF(14&gt;='Inputs &amp; Assumptions'!$E$147,0,'Inputs &amp; Assumptions'!$G$58*MAX(R51-R62-R73,0))</f>
        <v>592310.700982119</v>
      </c>
      <c r="S84" s="39" t="n">
        <f aca="false">IF(15&gt;='Inputs &amp; Assumptions'!$E$147,0,'Inputs &amp; Assumptions'!$G$58*MAX(S51-S62-S73,0))</f>
        <v>556919.350358805</v>
      </c>
      <c r="T84" s="39" t="n">
        <f aca="false">IF(16&gt;='Inputs &amp; Assumptions'!$E$147,0,'Inputs &amp; Assumptions'!$G$58*MAX(T51-T62-T73,0))</f>
        <v>523642.679914096</v>
      </c>
      <c r="U84" s="39" t="n">
        <f aca="false">IF(17&gt;='Inputs &amp; Assumptions'!$E$147,0,'Inputs &amp; Assumptions'!$G$58*MAX(U51-U62-U73,0))</f>
        <v>492354.33470027</v>
      </c>
      <c r="V84" s="39" t="n">
        <f aca="false">IF(18&gt;='Inputs &amp; Assumptions'!$E$147,0,'Inputs &amp; Assumptions'!$G$58*MAX(V51-V62-V73,0))</f>
        <v>463412.307170968</v>
      </c>
      <c r="W84" s="39" t="n">
        <f aca="false">IF(19&gt;='Inputs &amp; Assumptions'!$E$147,0,'Inputs &amp; Assumptions'!$G$58*MAX(W51-W62-W73,0))</f>
        <v>436171.576651707</v>
      </c>
      <c r="X84" s="39" t="n">
        <f aca="false">IF(20&gt;='Inputs &amp; Assumptions'!$E$147,0,'Inputs &amp; Assumptions'!$G$58*MAX(X51-X62-X73,0))</f>
        <v>410532.13592933</v>
      </c>
      <c r="Y84" s="39" t="n">
        <f aca="false">IF(21&gt;='Inputs &amp; Assumptions'!$E$147,0,'Inputs &amp; Assumptions'!$G$58*MAX(Y51-Y62-Y73,0))</f>
        <v>0</v>
      </c>
      <c r="Z84" s="39" t="n">
        <f aca="false">IF(22&gt;='Inputs &amp; Assumptions'!$E$147,0,'Inputs &amp; Assumptions'!$G$58*MAX(Z51-Z62-Z73,0))</f>
        <v>0</v>
      </c>
      <c r="AA84" s="39" t="n">
        <f aca="false">IF(23&gt;='Inputs &amp; Assumptions'!$E$147,0,'Inputs &amp; Assumptions'!$G$58*MAX(AA51-AA62-AA73,0))</f>
        <v>0</v>
      </c>
      <c r="AB84" s="39" t="n">
        <f aca="false">IF(24&gt;='Inputs &amp; Assumptions'!$E$147,0,'Inputs &amp; Assumptions'!$G$58*MAX(AB51-AB62-AB73,0))</f>
        <v>0</v>
      </c>
      <c r="AC84" s="39" t="n">
        <f aca="false">IF(25&gt;='Inputs &amp; Assumptions'!$E$147,0,'Inputs &amp; Assumptions'!$G$58*MAX(AC51-AC62-AC73,0))</f>
        <v>0</v>
      </c>
      <c r="AD84" s="39" t="n">
        <f aca="false">IF(26&gt;='Inputs &amp; Assumptions'!$E$147,0,'Inputs &amp; Assumptions'!$G$58*MAX(AD51-AD62-AD73,0))</f>
        <v>0</v>
      </c>
      <c r="AE84" s="39" t="n">
        <f aca="false">IF(27&gt;='Inputs &amp; Assumptions'!$E$147,0,'Inputs &amp; Assumptions'!$G$58*MAX(AE51-AE62-AE73,0))</f>
        <v>0</v>
      </c>
      <c r="AF84" s="39" t="n">
        <f aca="false">IF(28&gt;='Inputs &amp; Assumptions'!$E$147,0,'Inputs &amp; Assumptions'!$G$58*MAX(AF51-AF62-AF73,0))</f>
        <v>0</v>
      </c>
      <c r="AG84" s="39" t="n">
        <f aca="false">IF(29&gt;='Inputs &amp; Assumptions'!$E$147,0,'Inputs &amp; Assumptions'!$G$58*MAX(AG51-AG62-AG73,0))</f>
        <v>0</v>
      </c>
      <c r="AH84" s="39" t="n">
        <f aca="false">IF(30&gt;='Inputs &amp; Assumptions'!$E$147,0,'Inputs &amp; Assumptions'!$G$58*MAX(AH51-AH62-AH73,0))</f>
        <v>0</v>
      </c>
      <c r="AI84" s="39" t="n">
        <f aca="false">IF(31&gt;='Inputs &amp; Assumptions'!$E$147,0,'Inputs &amp; Assumptions'!$G$58*MAX(AI51-AI62-AI73,0))</f>
        <v>0</v>
      </c>
      <c r="AJ84" s="39" t="n">
        <f aca="false">IF(32&gt;='Inputs &amp; Assumptions'!$E$147,0,'Inputs &amp; Assumptions'!$G$58*MAX(AJ51-AJ62-AJ73,0))</f>
        <v>0</v>
      </c>
      <c r="AK84" s="39" t="n">
        <f aca="false">IF(33&gt;='Inputs &amp; Assumptions'!$E$147,0,'Inputs &amp; Assumptions'!$G$58*MAX(AK51-AK62-AK73,0))</f>
        <v>0</v>
      </c>
      <c r="AL84" s="39" t="n">
        <f aca="false">IF(34&gt;='Inputs &amp; Assumptions'!$E$147,0,'Inputs &amp; Assumptions'!$G$58*MAX(AL51-AL62-AL73,0))</f>
        <v>0</v>
      </c>
      <c r="AM84" s="39" t="n">
        <f aca="false">IF(35&gt;='Inputs &amp; Assumptions'!$E$147,0,'Inputs &amp; Assumptions'!$G$58*MAX(AM51-AM62-AM73,0))</f>
        <v>0</v>
      </c>
      <c r="AN84" s="39" t="n">
        <f aca="false">IF(36&gt;='Inputs &amp; Assumptions'!$E$147,0,'Inputs &amp; Assumptions'!$G$58*MAX(AN51-AN62-AN73,0))</f>
        <v>0</v>
      </c>
    </row>
    <row r="85" customFormat="false" ht="15" hidden="false" customHeight="false" outlineLevel="0" collapsed="false">
      <c r="B85" s="37" t="n">
        <v>9</v>
      </c>
      <c r="C85" s="38" t="n">
        <f aca="false">'Inputs &amp; Assumptions'!$C$148</f>
        <v>8</v>
      </c>
      <c r="D85" s="38" t="n">
        <f aca="false">'Inputs &amp; Assumptions'!$D$148</f>
        <v>3</v>
      </c>
      <c r="E85" s="39" t="n">
        <f aca="false">IF(1&gt;='Inputs &amp; Assumptions'!$E$148,0,'Inputs &amp; Assumptions'!$G$58*MAX(E52-E63-E74,0))</f>
        <v>1326707.44465274</v>
      </c>
      <c r="F85" s="39" t="n">
        <f aca="false">IF(2&gt;='Inputs &amp; Assumptions'!$E$148,0,'Inputs &amp; Assumptions'!$G$58*MAX(F52-F63-F74,0))</f>
        <v>1241543.6917889</v>
      </c>
      <c r="G85" s="39" t="n">
        <f aca="false">IF(3&gt;='Inputs &amp; Assumptions'!$E$148,0,'Inputs &amp; Assumptions'!$G$58*MAX(G52-G63-G74,0))</f>
        <v>1161846.75440957</v>
      </c>
      <c r="H85" s="39" t="n">
        <f aca="false">IF(4&gt;='Inputs &amp; Assumptions'!$E$148,0,'Inputs &amp; Assumptions'!$G$58*MAX(H52-H63-H74,0))</f>
        <v>1087265.7077312</v>
      </c>
      <c r="I85" s="39" t="n">
        <f aca="false">IF(5&gt;='Inputs &amp; Assumptions'!$E$148,0,'Inputs &amp; Assumptions'!$G$58*MAX(I52-I63-I74,0))</f>
        <v>1019423.89207577</v>
      </c>
      <c r="J85" s="39" t="n">
        <f aca="false">IF(6&gt;='Inputs &amp; Assumptions'!$E$148,0,'Inputs &amp; Assumptions'!$G$58*MAX(J52-J63-J74,0))</f>
        <v>955815.183303688</v>
      </c>
      <c r="K85" s="39" t="n">
        <f aca="false">IF(7&gt;='Inputs &amp; Assumptions'!$E$148,0,'Inputs &amp; Assumptions'!$G$58*MAX(K52-K63-K74,0))</f>
        <v>896175.449423312</v>
      </c>
      <c r="L85" s="39" t="n">
        <f aca="false">IF(8&gt;='Inputs &amp; Assumptions'!$E$148,0,'Inputs &amp; Assumptions'!$G$58*MAX(L52-L63-L74,0))</f>
        <v>840257.039413339</v>
      </c>
      <c r="M85" s="39" t="n">
        <f aca="false">IF(9&gt;='Inputs &amp; Assumptions'!$E$148,0,'Inputs &amp; Assumptions'!$G$58*MAX(M52-M63-M74,0))</f>
        <v>789157.472205487</v>
      </c>
      <c r="N85" s="39" t="n">
        <f aca="false">IF(10&gt;='Inputs &amp; Assumptions'!$E$148,0,'Inputs &amp; Assumptions'!$G$58*MAX(N52-N63-N74,0))</f>
        <v>741165.484757577</v>
      </c>
      <c r="O85" s="39" t="n">
        <f aca="false">IF(11&gt;='Inputs &amp; Assumptions'!$E$148,0,'Inputs &amp; Assumptions'!$G$58*MAX(O52-O63-O74,0))</f>
        <v>696092.092064607</v>
      </c>
      <c r="P85" s="39" t="n">
        <f aca="false">IF(12&gt;='Inputs &amp; Assumptions'!$E$148,0,'Inputs &amp; Assumptions'!$G$58*MAX(P52-P63-P74,0))</f>
        <v>653759.802095166</v>
      </c>
      <c r="Q85" s="39" t="n">
        <f aca="false">IF(13&gt;='Inputs &amp; Assumptions'!$E$148,0,'Inputs &amp; Assumptions'!$G$58*MAX(Q52-Q63-Q74,0))</f>
        <v>614696.786112146</v>
      </c>
      <c r="R85" s="39" t="n">
        <f aca="false">IF(14&gt;='Inputs &amp; Assumptions'!$E$148,0,'Inputs &amp; Assumptions'!$G$58*MAX(R52-R63-R74,0))</f>
        <v>577967.837186781</v>
      </c>
      <c r="S85" s="39" t="n">
        <f aca="false">IF(15&gt;='Inputs &amp; Assumptions'!$E$148,0,'Inputs &amp; Assumptions'!$G$58*MAX(S52-S63-S74,0))</f>
        <v>543433.491714111</v>
      </c>
      <c r="T85" s="39" t="n">
        <f aca="false">IF(16&gt;='Inputs &amp; Assumptions'!$E$148,0,'Inputs &amp; Assumptions'!$G$58*MAX(T52-T63-T74,0))</f>
        <v>510962.619224697</v>
      </c>
      <c r="U85" s="39" t="n">
        <f aca="false">IF(17&gt;='Inputs &amp; Assumptions'!$E$148,0,'Inputs &amp; Assumptions'!$G$58*MAX(U52-U63-U74,0))</f>
        <v>480926.742316965</v>
      </c>
      <c r="V85" s="39" t="n">
        <f aca="false">IF(18&gt;='Inputs &amp; Assumptions'!$E$148,0,'Inputs &amp; Assumptions'!$G$58*MAX(V52-V63-V74,0))</f>
        <v>452656.462084358</v>
      </c>
      <c r="W85" s="39" t="n">
        <f aca="false">IF(19&gt;='Inputs &amp; Assumptions'!$E$148,0,'Inputs &amp; Assumptions'!$G$58*MAX(W52-W63-W74,0))</f>
        <v>426047.99159138</v>
      </c>
      <c r="X85" s="39" t="n">
        <f aca="false">IF(20&gt;='Inputs &amp; Assumptions'!$E$148,0,'Inputs &amp; Assumptions'!$G$58*MAX(X52-X63-X74,0))</f>
        <v>0</v>
      </c>
      <c r="Y85" s="39" t="n">
        <f aca="false">IF(21&gt;='Inputs &amp; Assumptions'!$E$148,0,'Inputs &amp; Assumptions'!$G$58*MAX(Y52-Y63-Y74,0))</f>
        <v>0</v>
      </c>
      <c r="Z85" s="39" t="n">
        <f aca="false">IF(22&gt;='Inputs &amp; Assumptions'!$E$148,0,'Inputs &amp; Assumptions'!$G$58*MAX(Z52-Z63-Z74,0))</f>
        <v>0</v>
      </c>
      <c r="AA85" s="39" t="n">
        <f aca="false">IF(23&gt;='Inputs &amp; Assumptions'!$E$148,0,'Inputs &amp; Assumptions'!$G$58*MAX(AA52-AA63-AA74,0))</f>
        <v>0</v>
      </c>
      <c r="AB85" s="39" t="n">
        <f aca="false">IF(24&gt;='Inputs &amp; Assumptions'!$E$148,0,'Inputs &amp; Assumptions'!$G$58*MAX(AB52-AB63-AB74,0))</f>
        <v>0</v>
      </c>
      <c r="AC85" s="39" t="n">
        <f aca="false">IF(25&gt;='Inputs &amp; Assumptions'!$E$148,0,'Inputs &amp; Assumptions'!$G$58*MAX(AC52-AC63-AC74,0))</f>
        <v>0</v>
      </c>
      <c r="AD85" s="39" t="n">
        <f aca="false">IF(26&gt;='Inputs &amp; Assumptions'!$E$148,0,'Inputs &amp; Assumptions'!$G$58*MAX(AD52-AD63-AD74,0))</f>
        <v>0</v>
      </c>
      <c r="AE85" s="39" t="n">
        <f aca="false">IF(27&gt;='Inputs &amp; Assumptions'!$E$148,0,'Inputs &amp; Assumptions'!$G$58*MAX(AE52-AE63-AE74,0))</f>
        <v>0</v>
      </c>
      <c r="AF85" s="39" t="n">
        <f aca="false">IF(28&gt;='Inputs &amp; Assumptions'!$E$148,0,'Inputs &amp; Assumptions'!$G$58*MAX(AF52-AF63-AF74,0))</f>
        <v>0</v>
      </c>
      <c r="AG85" s="39" t="n">
        <f aca="false">IF(29&gt;='Inputs &amp; Assumptions'!$E$148,0,'Inputs &amp; Assumptions'!$G$58*MAX(AG52-AG63-AG74,0))</f>
        <v>0</v>
      </c>
      <c r="AH85" s="39" t="n">
        <f aca="false">IF(30&gt;='Inputs &amp; Assumptions'!$E$148,0,'Inputs &amp; Assumptions'!$G$58*MAX(AH52-AH63-AH74,0))</f>
        <v>0</v>
      </c>
      <c r="AI85" s="39" t="n">
        <f aca="false">IF(31&gt;='Inputs &amp; Assumptions'!$E$148,0,'Inputs &amp; Assumptions'!$G$58*MAX(AI52-AI63-AI74,0))</f>
        <v>0</v>
      </c>
      <c r="AJ85" s="39" t="n">
        <f aca="false">IF(32&gt;='Inputs &amp; Assumptions'!$E$148,0,'Inputs &amp; Assumptions'!$G$58*MAX(AJ52-AJ63-AJ74,0))</f>
        <v>0</v>
      </c>
      <c r="AK85" s="39" t="n">
        <f aca="false">IF(33&gt;='Inputs &amp; Assumptions'!$E$148,0,'Inputs &amp; Assumptions'!$G$58*MAX(AK52-AK63-AK74,0))</f>
        <v>0</v>
      </c>
      <c r="AL85" s="39" t="n">
        <f aca="false">IF(34&gt;='Inputs &amp; Assumptions'!$E$148,0,'Inputs &amp; Assumptions'!$G$58*MAX(AL52-AL63-AL74,0))</f>
        <v>0</v>
      </c>
      <c r="AM85" s="39" t="n">
        <f aca="false">IF(35&gt;='Inputs &amp; Assumptions'!$E$148,0,'Inputs &amp; Assumptions'!$G$58*MAX(AM52-AM63-AM74,0))</f>
        <v>0</v>
      </c>
      <c r="AN85" s="39" t="n">
        <f aca="false">IF(36&gt;='Inputs &amp; Assumptions'!$E$148,0,'Inputs &amp; Assumptions'!$G$58*MAX(AN52-AN63-AN74,0))</f>
        <v>0</v>
      </c>
    </row>
    <row r="86" customFormat="false" ht="15" hidden="false" customHeight="false" outlineLevel="0" collapsed="false">
      <c r="B86" s="37" t="n">
        <v>10</v>
      </c>
      <c r="C86" s="38" t="n">
        <f aca="false">'Inputs &amp; Assumptions'!$C$149</f>
        <v>9</v>
      </c>
      <c r="D86" s="38" t="n">
        <f aca="false">'Inputs &amp; Assumptions'!$D$149</f>
        <v>3</v>
      </c>
      <c r="E86" s="39" t="n">
        <f aca="false">IF(1&gt;='Inputs &amp; Assumptions'!$E$149,0,'Inputs &amp; Assumptions'!$G$58*MAX(E53-E64-E75,0))</f>
        <v>1286906.22131316</v>
      </c>
      <c r="F86" s="39" t="n">
        <f aca="false">IF(2&gt;='Inputs &amp; Assumptions'!$E$149,0,'Inputs &amp; Assumptions'!$G$58*MAX(F53-F64-F75,0))</f>
        <v>1204297.38103523</v>
      </c>
      <c r="G86" s="39" t="n">
        <f aca="false">IF(3&gt;='Inputs &amp; Assumptions'!$E$149,0,'Inputs &amp; Assumptions'!$G$58*MAX(G53-G64-G75,0))</f>
        <v>1126991.35177729</v>
      </c>
      <c r="H86" s="39" t="n">
        <f aca="false">IF(4&gt;='Inputs &amp; Assumptions'!$E$149,0,'Inputs &amp; Assumptions'!$G$58*MAX(H53-H64-H75,0))</f>
        <v>1056670.78617049</v>
      </c>
      <c r="I86" s="39" t="n">
        <f aca="false">IF(5&gt;='Inputs &amp; Assumptions'!$E$149,0,'Inputs &amp; Assumptions'!$G$58*MAX(I53-I64-I75,0))</f>
        <v>990737.99331763</v>
      </c>
      <c r="J86" s="39" t="n">
        <f aca="false">IF(6&gt;='Inputs &amp; Assumptions'!$E$149,0,'Inputs &amp; Assumptions'!$G$58*MAX(J53-J64-J75,0))</f>
        <v>928919.190583809</v>
      </c>
      <c r="K86" s="39" t="n">
        <f aca="false">IF(7&gt;='Inputs &amp; Assumptions'!$E$149,0,'Inputs &amp; Assumptions'!$G$58*MAX(K53-K64-K75,0))</f>
        <v>870957.678472957</v>
      </c>
      <c r="L86" s="39" t="n">
        <f aca="false">IF(8&gt;='Inputs &amp; Assumptions'!$E$149,0,'Inputs &amp; Assumptions'!$G$58*MAX(L53-L64-L75,0))</f>
        <v>817991.076184927</v>
      </c>
      <c r="M86" s="39" t="n">
        <f aca="false">IF(9&gt;='Inputs &amp; Assumptions'!$E$149,0,'Inputs &amp; Assumptions'!$G$58*MAX(M53-M64-M75,0))</f>
        <v>768245.595918414</v>
      </c>
      <c r="N86" s="39" t="n">
        <f aca="false">IF(10&gt;='Inputs &amp; Assumptions'!$E$149,0,'Inputs &amp; Assumptions'!$G$58*MAX(N53-N64-N75,0))</f>
        <v>721525.34768559</v>
      </c>
      <c r="O86" s="39" t="n">
        <f aca="false">IF(11&gt;='Inputs &amp; Assumptions'!$E$149,0,'Inputs &amp; Assumptions'!$G$58*MAX(O53-O64-O75,0))</f>
        <v>677646.354393287</v>
      </c>
      <c r="P86" s="39" t="n">
        <f aca="false">IF(12&gt;='Inputs &amp; Assumptions'!$E$149,0,'Inputs &amp; Assumptions'!$G$58*MAX(P53-P64-P75,0))</f>
        <v>637156.085203186</v>
      </c>
      <c r="Q86" s="39" t="n">
        <f aca="false">IF(13&gt;='Inputs &amp; Assumptions'!$E$149,0,'Inputs &amp; Assumptions'!$G$58*MAX(Q53-Q64-Q75,0))</f>
        <v>599085.163344415</v>
      </c>
      <c r="R86" s="39" t="n">
        <f aca="false">IF(14&gt;='Inputs &amp; Assumptions'!$E$149,0,'Inputs &amp; Assumptions'!$G$58*MAX(R53-R64-R75,0))</f>
        <v>563289.029602459</v>
      </c>
      <c r="S86" s="39" t="n">
        <f aca="false">IF(15&gt;='Inputs &amp; Assumptions'!$E$149,0,'Inputs &amp; Assumptions'!$G$58*MAX(S53-S64-S75,0))</f>
        <v>529631.762367761</v>
      </c>
      <c r="T86" s="39" t="n">
        <f aca="false">IF(16&gt;='Inputs &amp; Assumptions'!$E$149,0,'Inputs &amp; Assumptions'!$G$58*MAX(T53-T64-T75,0))</f>
        <v>498498.458634033</v>
      </c>
      <c r="U86" s="39" t="n">
        <f aca="false">IF(17&gt;='Inputs &amp; Assumptions'!$E$149,0,'Inputs &amp; Assumptions'!$G$58*MAX(U53-U64-U75,0))</f>
        <v>469195.261533343</v>
      </c>
      <c r="V86" s="39" t="n">
        <f aca="false">IF(18&gt;='Inputs &amp; Assumptions'!$E$149,0,'Inputs &amp; Assumptions'!$G$58*MAX(V53-V64-V75,0))</f>
        <v>441614.592046229</v>
      </c>
      <c r="W86" s="39" t="n">
        <f aca="false">IF(19&gt;='Inputs &amp; Assumptions'!$E$149,0,'Inputs &amp; Assumptions'!$G$58*MAX(W53-W64-W75,0))</f>
        <v>0</v>
      </c>
      <c r="X86" s="39" t="n">
        <f aca="false">IF(20&gt;='Inputs &amp; Assumptions'!$E$149,0,'Inputs &amp; Assumptions'!$G$58*MAX(X53-X64-X75,0))</f>
        <v>0</v>
      </c>
      <c r="Y86" s="39" t="n">
        <f aca="false">IF(21&gt;='Inputs &amp; Assumptions'!$E$149,0,'Inputs &amp; Assumptions'!$G$58*MAX(Y53-Y64-Y75,0))</f>
        <v>0</v>
      </c>
      <c r="Z86" s="39" t="n">
        <f aca="false">IF(22&gt;='Inputs &amp; Assumptions'!$E$149,0,'Inputs &amp; Assumptions'!$G$58*MAX(Z53-Z64-Z75,0))</f>
        <v>0</v>
      </c>
      <c r="AA86" s="39" t="n">
        <f aca="false">IF(23&gt;='Inputs &amp; Assumptions'!$E$149,0,'Inputs &amp; Assumptions'!$G$58*MAX(AA53-AA64-AA75,0))</f>
        <v>0</v>
      </c>
      <c r="AB86" s="39" t="n">
        <f aca="false">IF(24&gt;='Inputs &amp; Assumptions'!$E$149,0,'Inputs &amp; Assumptions'!$G$58*MAX(AB53-AB64-AB75,0))</f>
        <v>0</v>
      </c>
      <c r="AC86" s="39" t="n">
        <f aca="false">IF(25&gt;='Inputs &amp; Assumptions'!$E$149,0,'Inputs &amp; Assumptions'!$G$58*MAX(AC53-AC64-AC75,0))</f>
        <v>0</v>
      </c>
      <c r="AD86" s="39" t="n">
        <f aca="false">IF(26&gt;='Inputs &amp; Assumptions'!$E$149,0,'Inputs &amp; Assumptions'!$G$58*MAX(AD53-AD64-AD75,0))</f>
        <v>0</v>
      </c>
      <c r="AE86" s="39" t="n">
        <f aca="false">IF(27&gt;='Inputs &amp; Assumptions'!$E$149,0,'Inputs &amp; Assumptions'!$G$58*MAX(AE53-AE64-AE75,0))</f>
        <v>0</v>
      </c>
      <c r="AF86" s="39" t="n">
        <f aca="false">IF(28&gt;='Inputs &amp; Assumptions'!$E$149,0,'Inputs &amp; Assumptions'!$G$58*MAX(AF53-AF64-AF75,0))</f>
        <v>0</v>
      </c>
      <c r="AG86" s="39" t="n">
        <f aca="false">IF(29&gt;='Inputs &amp; Assumptions'!$E$149,0,'Inputs &amp; Assumptions'!$G$58*MAX(AG53-AG64-AG75,0))</f>
        <v>0</v>
      </c>
      <c r="AH86" s="39" t="n">
        <f aca="false">IF(30&gt;='Inputs &amp; Assumptions'!$E$149,0,'Inputs &amp; Assumptions'!$G$58*MAX(AH53-AH64-AH75,0))</f>
        <v>0</v>
      </c>
      <c r="AI86" s="39" t="n">
        <f aca="false">IF(31&gt;='Inputs &amp; Assumptions'!$E$149,0,'Inputs &amp; Assumptions'!$G$58*MAX(AI53-AI64-AI75,0))</f>
        <v>0</v>
      </c>
      <c r="AJ86" s="39" t="n">
        <f aca="false">IF(32&gt;='Inputs &amp; Assumptions'!$E$149,0,'Inputs &amp; Assumptions'!$G$58*MAX(AJ53-AJ64-AJ75,0))</f>
        <v>0</v>
      </c>
      <c r="AK86" s="39" t="n">
        <f aca="false">IF(33&gt;='Inputs &amp; Assumptions'!$E$149,0,'Inputs &amp; Assumptions'!$G$58*MAX(AK53-AK64-AK75,0))</f>
        <v>0</v>
      </c>
      <c r="AL86" s="39" t="n">
        <f aca="false">IF(34&gt;='Inputs &amp; Assumptions'!$E$149,0,'Inputs &amp; Assumptions'!$G$58*MAX(AL53-AL64-AL75,0))</f>
        <v>0</v>
      </c>
      <c r="AM86" s="39" t="n">
        <f aca="false">IF(35&gt;='Inputs &amp; Assumptions'!$E$149,0,'Inputs &amp; Assumptions'!$G$58*MAX(AM53-AM64-AM75,0))</f>
        <v>0</v>
      </c>
      <c r="AN86" s="39" t="n">
        <f aca="false">IF(36&gt;='Inputs &amp; Assumptions'!$E$149,0,'Inputs &amp; Assumptions'!$G$58*MAX(AN53-AN64-AN75,0))</f>
        <v>0</v>
      </c>
    </row>
    <row r="87" customFormat="false" ht="15" hidden="false" customHeight="false" outlineLevel="0" collapsed="false">
      <c r="B87" s="37" t="n">
        <v>11</v>
      </c>
      <c r="C87" s="38" t="n">
        <f aca="false">'Inputs &amp; Assumptions'!$C$150</f>
        <v>10</v>
      </c>
      <c r="D87" s="38" t="n">
        <f aca="false">'Inputs &amp; Assumptions'!$D$150</f>
        <v>2</v>
      </c>
      <c r="E87" s="39" t="n">
        <f aca="false">IF(1&gt;='Inputs &amp; Assumptions'!$E$150,0,'Inputs &amp; Assumptions'!$G$58*MAX(E54-E65-E76,0))</f>
        <v>832199.356449177</v>
      </c>
      <c r="F87" s="39" t="n">
        <f aca="false">IF(2&gt;='Inputs &amp; Assumptions'!$E$150,0,'Inputs &amp; Assumptions'!$G$58*MAX(F54-F65-F76,0))</f>
        <v>778778.97306945</v>
      </c>
      <c r="G87" s="39" t="n">
        <f aca="false">IF(3&gt;='Inputs &amp; Assumptions'!$E$150,0,'Inputs &amp; Assumptions'!$G$58*MAX(G54-G65-G76,0))</f>
        <v>730185.718309719</v>
      </c>
      <c r="H87" s="39" t="n">
        <f aca="false">IF(4&gt;='Inputs &amp; Assumptions'!$E$150,0,'Inputs &amp; Assumptions'!$G$58*MAX(H54-H65-H76,0))</f>
        <v>684624.523338194</v>
      </c>
      <c r="I87" s="39" t="n">
        <f aca="false">IF(5&gt;='Inputs &amp; Assumptions'!$E$150,0,'Inputs &amp; Assumptions'!$G$58*MAX(I54-I65-I76,0))</f>
        <v>641906.197564438</v>
      </c>
      <c r="J87" s="39" t="n">
        <f aca="false">IF(6&gt;='Inputs &amp; Assumptions'!$E$150,0,'Inputs &amp; Assumptions'!$G$58*MAX(J54-J65-J76,0))</f>
        <v>601853.355270612</v>
      </c>
      <c r="K87" s="39" t="n">
        <f aca="false">IF(7&gt;='Inputs &amp; Assumptions'!$E$150,0,'Inputs &amp; Assumptions'!$G$58*MAX(K54-K65-K76,0))</f>
        <v>565252.119536372</v>
      </c>
      <c r="L87" s="39" t="n">
        <f aca="false">IF(8&gt;='Inputs &amp; Assumptions'!$E$150,0,'Inputs &amp; Assumptions'!$G$58*MAX(L54-L65-L76,0))</f>
        <v>530876.7590017</v>
      </c>
      <c r="M87" s="39" t="n">
        <f aca="false">IF(9&gt;='Inputs &amp; Assumptions'!$E$150,0,'Inputs &amp; Assumptions'!$G$58*MAX(M54-M65-M76,0))</f>
        <v>498591.908827003</v>
      </c>
      <c r="N87" s="39" t="n">
        <f aca="false">IF(10&gt;='Inputs &amp; Assumptions'!$E$150,0,'Inputs &amp; Assumptions'!$G$58*MAX(N54-N65-N76,0))</f>
        <v>468270.436278335</v>
      </c>
      <c r="O87" s="39" t="n">
        <f aca="false">IF(11&gt;='Inputs &amp; Assumptions'!$E$150,0,'Inputs &amp; Assumptions'!$G$58*MAX(O54-O65-O76,0))</f>
        <v>440290.656123462</v>
      </c>
      <c r="P87" s="39" t="n">
        <f aca="false">IF(12&gt;='Inputs &amp; Assumptions'!$E$150,0,'Inputs &amp; Assumptions'!$G$58*MAX(P54-P65-P76,0))</f>
        <v>413982.704973505</v>
      </c>
      <c r="Q87" s="39" t="n">
        <f aca="false">IF(13&gt;='Inputs &amp; Assumptions'!$E$150,0,'Inputs &amp; Assumptions'!$G$58*MAX(Q54-Q65-Q76,0))</f>
        <v>389246.688826217</v>
      </c>
      <c r="R87" s="39" t="n">
        <f aca="false">IF(14&gt;='Inputs &amp; Assumptions'!$E$150,0,'Inputs &amp; Assumptions'!$G$58*MAX(R54-R65-R76,0))</f>
        <v>365988.682478584</v>
      </c>
      <c r="S87" s="39" t="n">
        <f aca="false">IF(15&gt;='Inputs &amp; Assumptions'!$E$150,0,'Inputs &amp; Assumptions'!$G$58*MAX(S54-S65-S76,0))</f>
        <v>344474.797503536</v>
      </c>
      <c r="T87" s="39" t="n">
        <f aca="false">IF(16&gt;='Inputs &amp; Assumptions'!$E$150,0,'Inputs &amp; Assumptions'!$G$58*MAX(T54-T65-T76,0))</f>
        <v>324225.56159792</v>
      </c>
      <c r="U87" s="39" t="n">
        <f aca="false">IF(17&gt;='Inputs &amp; Assumptions'!$E$150,0,'Inputs &amp; Assumptions'!$G$58*MAX(U54-U65-U76,0))</f>
        <v>305166.634991367</v>
      </c>
      <c r="V87" s="39" t="n">
        <f aca="false">IF(18&gt;='Inputs &amp; Assumptions'!$E$150,0,'Inputs &amp; Assumptions'!$G$58*MAX(V54-V65-V76,0))</f>
        <v>0</v>
      </c>
      <c r="W87" s="39" t="n">
        <f aca="false">IF(19&gt;='Inputs &amp; Assumptions'!$E$150,0,'Inputs &amp; Assumptions'!$G$58*MAX(W54-W65-W76,0))</f>
        <v>0</v>
      </c>
      <c r="X87" s="39" t="n">
        <f aca="false">IF(20&gt;='Inputs &amp; Assumptions'!$E$150,0,'Inputs &amp; Assumptions'!$G$58*MAX(X54-X65-X76,0))</f>
        <v>0</v>
      </c>
      <c r="Y87" s="39" t="n">
        <f aca="false">IF(21&gt;='Inputs &amp; Assumptions'!$E$150,0,'Inputs &amp; Assumptions'!$G$58*MAX(Y54-Y65-Y76,0))</f>
        <v>0</v>
      </c>
      <c r="Z87" s="39" t="n">
        <f aca="false">IF(22&gt;='Inputs &amp; Assumptions'!$E$150,0,'Inputs &amp; Assumptions'!$G$58*MAX(Z54-Z65-Z76,0))</f>
        <v>0</v>
      </c>
      <c r="AA87" s="39" t="n">
        <f aca="false">IF(23&gt;='Inputs &amp; Assumptions'!$E$150,0,'Inputs &amp; Assumptions'!$G$58*MAX(AA54-AA65-AA76,0))</f>
        <v>0</v>
      </c>
      <c r="AB87" s="39" t="n">
        <f aca="false">IF(24&gt;='Inputs &amp; Assumptions'!$E$150,0,'Inputs &amp; Assumptions'!$G$58*MAX(AB54-AB65-AB76,0))</f>
        <v>0</v>
      </c>
      <c r="AC87" s="39" t="n">
        <f aca="false">IF(25&gt;='Inputs &amp; Assumptions'!$E$150,0,'Inputs &amp; Assumptions'!$G$58*MAX(AC54-AC65-AC76,0))</f>
        <v>0</v>
      </c>
      <c r="AD87" s="39" t="n">
        <f aca="false">IF(26&gt;='Inputs &amp; Assumptions'!$E$150,0,'Inputs &amp; Assumptions'!$G$58*MAX(AD54-AD65-AD76,0))</f>
        <v>0</v>
      </c>
      <c r="AE87" s="39" t="n">
        <f aca="false">IF(27&gt;='Inputs &amp; Assumptions'!$E$150,0,'Inputs &amp; Assumptions'!$G$58*MAX(AE54-AE65-AE76,0))</f>
        <v>0</v>
      </c>
      <c r="AF87" s="39" t="n">
        <f aca="false">IF(28&gt;='Inputs &amp; Assumptions'!$E$150,0,'Inputs &amp; Assumptions'!$G$58*MAX(AF54-AF65-AF76,0))</f>
        <v>0</v>
      </c>
      <c r="AG87" s="39" t="n">
        <f aca="false">IF(29&gt;='Inputs &amp; Assumptions'!$E$150,0,'Inputs &amp; Assumptions'!$G$58*MAX(AG54-AG65-AG76,0))</f>
        <v>0</v>
      </c>
      <c r="AH87" s="39" t="n">
        <f aca="false">IF(30&gt;='Inputs &amp; Assumptions'!$E$150,0,'Inputs &amp; Assumptions'!$G$58*MAX(AH54-AH65-AH76,0))</f>
        <v>0</v>
      </c>
      <c r="AI87" s="39" t="n">
        <f aca="false">IF(31&gt;='Inputs &amp; Assumptions'!$E$150,0,'Inputs &amp; Assumptions'!$G$58*MAX(AI54-AI65-AI76,0))</f>
        <v>0</v>
      </c>
      <c r="AJ87" s="39" t="n">
        <f aca="false">IF(32&gt;='Inputs &amp; Assumptions'!$E$150,0,'Inputs &amp; Assumptions'!$G$58*MAX(AJ54-AJ65-AJ76,0))</f>
        <v>0</v>
      </c>
      <c r="AK87" s="39" t="n">
        <f aca="false">IF(33&gt;='Inputs &amp; Assumptions'!$E$150,0,'Inputs &amp; Assumptions'!$G$58*MAX(AK54-AK65-AK76,0))</f>
        <v>0</v>
      </c>
      <c r="AL87" s="39" t="n">
        <f aca="false">IF(34&gt;='Inputs &amp; Assumptions'!$E$150,0,'Inputs &amp; Assumptions'!$G$58*MAX(AL54-AL65-AL76,0))</f>
        <v>0</v>
      </c>
      <c r="AM87" s="39" t="n">
        <f aca="false">IF(35&gt;='Inputs &amp; Assumptions'!$E$150,0,'Inputs &amp; Assumptions'!$G$58*MAX(AM54-AM65-AM76,0))</f>
        <v>0</v>
      </c>
      <c r="AN87" s="39" t="n">
        <f aca="false">IF(36&gt;='Inputs &amp; Assumptions'!$E$150,0,'Inputs &amp; Assumptions'!$G$58*MAX(AN54-AN65-AN76,0))</f>
        <v>0</v>
      </c>
    </row>
    <row r="88" customFormat="false" ht="15" hidden="false" customHeight="false" outlineLevel="0" collapsed="false">
      <c r="A88" s="14" t="s">
        <v>130</v>
      </c>
      <c r="B88" s="37" t="n">
        <v>1</v>
      </c>
      <c r="C88" s="38" t="n">
        <f aca="false">'Inputs &amp; Assumptions'!$C$140</f>
        <v>0</v>
      </c>
      <c r="D88" s="38" t="n">
        <f aca="false">'Inputs &amp; Assumptions'!$D$140</f>
        <v>1</v>
      </c>
      <c r="E88" s="39" t="n">
        <f aca="false">'Inputs &amp; Assumptions'!E$51/4*(E44-E55)</f>
        <v>363288.71</v>
      </c>
      <c r="F88" s="39" t="n">
        <f aca="false">'Inputs &amp; Assumptions'!F$51/4*(F44-F55)</f>
        <v>351031.50028565</v>
      </c>
      <c r="G88" s="39" t="n">
        <f aca="false">'Inputs &amp; Assumptions'!G$51/4*(G44-G55)</f>
        <v>339187.843720203</v>
      </c>
      <c r="H88" s="39" t="n">
        <f aca="false">'Inputs &amp; Assumptions'!H$51/4*(H44-H55)</f>
        <v>327743.787192719</v>
      </c>
      <c r="I88" s="39" t="n">
        <f aca="false">'Inputs &amp; Assumptions'!I$51/4*(I44-I55)</f>
        <v>315807.983253775</v>
      </c>
      <c r="J88" s="39" t="n">
        <f aca="false">'Inputs &amp; Assumptions'!J$51/4*(J44-J55)</f>
        <v>295177.652784386</v>
      </c>
      <c r="K88" s="39" t="n">
        <f aca="false">'Inputs &amp; Assumptions'!K$51/4*(K44-K55)</f>
        <v>275895.01001716</v>
      </c>
      <c r="L88" s="39" t="n">
        <f aca="false">'Inputs &amp; Assumptions'!L$51/4*(L44-L55)</f>
        <v>257872.016510579</v>
      </c>
      <c r="M88" s="39" t="n">
        <f aca="false">'Inputs &amp; Assumptions'!M$51/4*(M44-M55)</f>
        <v>241318.744895859</v>
      </c>
      <c r="N88" s="39" t="n">
        <f aca="false">'Inputs &amp; Assumptions'!N$51/4*(N44-N55)</f>
        <v>225828.057755633</v>
      </c>
      <c r="O88" s="39" t="n">
        <f aca="false">'Inputs &amp; Assumptions'!O$51/4*(O44-O55)</f>
        <v>211331.745868685</v>
      </c>
      <c r="P88" s="39" t="n">
        <f aca="false">'Inputs &amp; Assumptions'!P$51/4*(P44-P55)</f>
        <v>197765.978487198</v>
      </c>
      <c r="Q88" s="39" t="n">
        <f aca="false">'Inputs &amp; Assumptions'!Q$51/4*(Q44-Q55)</f>
        <v>185426.029788328</v>
      </c>
      <c r="R88" s="39" t="n">
        <f aca="false">'Inputs &amp; Assumptions'!R$51/4*(R44-R55)</f>
        <v>173856.053432808</v>
      </c>
      <c r="S88" s="39" t="n">
        <f aca="false">'Inputs &amp; Assumptions'!S$51/4*(S44-S55)</f>
        <v>163008.005670701</v>
      </c>
      <c r="T88" s="39" t="n">
        <f aca="false">'Inputs &amp; Assumptions'!T$51/4*(T44-T55)</f>
        <v>152836.84052456</v>
      </c>
      <c r="U88" s="39" t="n">
        <f aca="false">'Inputs &amp; Assumptions'!U$51/4*(U44-U55)</f>
        <v>143542.188962136</v>
      </c>
      <c r="V88" s="39" t="n">
        <f aca="false">'Inputs &amp; Assumptions'!V$51/4*(V44-V55)</f>
        <v>134812.784282404</v>
      </c>
      <c r="W88" s="39" t="n">
        <f aca="false">'Inputs &amp; Assumptions'!W$51/4*(W44-W55)</f>
        <v>126614.251443302</v>
      </c>
      <c r="X88" s="39" t="n">
        <f aca="false">'Inputs &amp; Assumptions'!X$51/4*(X44-X55)</f>
        <v>118914.305893764</v>
      </c>
      <c r="Y88" s="39" t="n">
        <f aca="false">'Inputs &amp; Assumptions'!Y$51/4*(Y44-Y55)</f>
        <v>111809.018268476</v>
      </c>
      <c r="Z88" s="39" t="n">
        <f aca="false">'Inputs &amp; Assumptions'!Z$51/4*(Z44-Z55)</f>
        <v>105128.281010434</v>
      </c>
      <c r="AA88" s="39" t="n">
        <f aca="false">'Inputs &amp; Assumptions'!AA$51/4*(AA44-AA55)</f>
        <v>98846.7266716429</v>
      </c>
      <c r="AB88" s="39" t="n">
        <f aca="false">'Inputs &amp; Assumptions'!AB$51/4*(AB44-AB55)</f>
        <v>92940.5035427979</v>
      </c>
      <c r="AC88" s="39" t="n">
        <f aca="false">'Inputs &amp; Assumptions'!AC$51/4*(AC44-AC55)</f>
        <v>87477.188969239</v>
      </c>
      <c r="AD88" s="39" t="n">
        <f aca="false">'Inputs &amp; Assumptions'!AD$51/4*(AD44-AD55)</f>
        <v>82335.0240020615</v>
      </c>
      <c r="AE88" s="39" t="n">
        <f aca="false">'Inputs &amp; Assumptions'!AE$51/4*(AE44-AE55)</f>
        <v>77495.1305283012</v>
      </c>
      <c r="AF88" s="39" t="n">
        <f aca="false">'Inputs &amp; Assumptions'!AF$51/4*(AF44-AF55)</f>
        <v>72939.7401456769</v>
      </c>
      <c r="AG88" s="39" t="n">
        <f aca="false">'Inputs &amp; Assumptions'!AG$51/4*(AG44-AG55)</f>
        <v>0</v>
      </c>
      <c r="AH88" s="39" t="n">
        <f aca="false">'Inputs &amp; Assumptions'!AH$51/4*(AH44-AH55)</f>
        <v>0</v>
      </c>
      <c r="AI88" s="39" t="n">
        <f aca="false">'Inputs &amp; Assumptions'!AI$51/4*(AI44-AI55)</f>
        <v>0</v>
      </c>
      <c r="AJ88" s="39" t="n">
        <f aca="false">'Inputs &amp; Assumptions'!AJ$51/4*(AJ44-AJ55)</f>
        <v>0</v>
      </c>
      <c r="AK88" s="39" t="n">
        <f aca="false">'Inputs &amp; Assumptions'!AK$51/4*(AK44-AK55)</f>
        <v>0</v>
      </c>
      <c r="AL88" s="39" t="n">
        <f aca="false">'Inputs &amp; Assumptions'!AL$51/4*(AL44-AL55)</f>
        <v>0</v>
      </c>
      <c r="AM88" s="39" t="n">
        <f aca="false">'Inputs &amp; Assumptions'!AM$51/4*(AM44-AM55)</f>
        <v>0</v>
      </c>
      <c r="AN88" s="39" t="n">
        <f aca="false">'Inputs &amp; Assumptions'!AN$51/4*(AN44-AN55)</f>
        <v>0</v>
      </c>
    </row>
    <row r="89" customFormat="false" ht="15" hidden="false" customHeight="false" outlineLevel="0" collapsed="false">
      <c r="B89" s="37" t="n">
        <v>2</v>
      </c>
      <c r="C89" s="38" t="n">
        <f aca="false">'Inputs &amp; Assumptions'!$C$141</f>
        <v>1</v>
      </c>
      <c r="D89" s="38" t="n">
        <f aca="false">'Inputs &amp; Assumptions'!$D$141</f>
        <v>3</v>
      </c>
      <c r="E89" s="39" t="n">
        <f aca="false">'Inputs &amp; Assumptions'!E$51/4*(E45-E56)</f>
        <v>1089866.13</v>
      </c>
      <c r="F89" s="39" t="n">
        <f aca="false">'Inputs &amp; Assumptions'!F$51/4*(F45-F56)</f>
        <v>1053094.50085695</v>
      </c>
      <c r="G89" s="39" t="n">
        <f aca="false">'Inputs &amp; Assumptions'!G$51/4*(G45-G56)</f>
        <v>1017563.53116061</v>
      </c>
      <c r="H89" s="39" t="n">
        <f aca="false">'Inputs &amp; Assumptions'!H$51/4*(H45-H56)</f>
        <v>980505.807176322</v>
      </c>
      <c r="I89" s="39" t="n">
        <f aca="false">'Inputs &amp; Assumptions'!I$51/4*(I45-I56)</f>
        <v>916453.725209326</v>
      </c>
      <c r="J89" s="39" t="n">
        <f aca="false">'Inputs &amp; Assumptions'!J$51/4*(J45-J56)</f>
        <v>856585.880780016</v>
      </c>
      <c r="K89" s="39" t="n">
        <f aca="false">'Inputs &amp; Assumptions'!K$51/4*(K45-K56)</f>
        <v>800628.93626635</v>
      </c>
      <c r="L89" s="39" t="n">
        <f aca="false">'Inputs &amp; Assumptions'!L$51/4*(L45-L56)</f>
        <v>749235.115316112</v>
      </c>
      <c r="M89" s="39" t="n">
        <f aca="false">'Inputs &amp; Assumptions'!M$51/4*(M45-M56)</f>
        <v>701140.356780709</v>
      </c>
      <c r="N89" s="39" t="n">
        <f aca="false">'Inputs &amp; Assumptions'!N$51/4*(N45-N56)</f>
        <v>656132.887870811</v>
      </c>
      <c r="O89" s="39" t="n">
        <f aca="false">'Inputs &amp; Assumptions'!O$51/4*(O45-O56)</f>
        <v>614014.529875845</v>
      </c>
      <c r="P89" s="39" t="n">
        <f aca="false">'Inputs &amp; Assumptions'!P$51/4*(P45-P56)</f>
        <v>575702.036205356</v>
      </c>
      <c r="Q89" s="39" t="n">
        <f aca="false">'Inputs &amp; Assumptions'!Q$51/4*(Q45-Q56)</f>
        <v>539780.116535694</v>
      </c>
      <c r="R89" s="39" t="n">
        <f aca="false">'Inputs &amp; Assumptions'!R$51/4*(R45-R56)</f>
        <v>506099.606886499</v>
      </c>
      <c r="S89" s="39" t="n">
        <f aca="false">'Inputs &amp; Assumptions'!S$51/4*(S45-S56)</f>
        <v>474520.650620762</v>
      </c>
      <c r="T89" s="39" t="n">
        <f aca="false">'Inputs &amp; Assumptions'!T$51/4*(T45-T56)</f>
        <v>445663.05259952</v>
      </c>
      <c r="U89" s="39" t="n">
        <f aca="false">'Inputs &amp; Assumptions'!U$51/4*(U45-U56)</f>
        <v>418560.406575554</v>
      </c>
      <c r="V89" s="39" t="n">
        <f aca="false">'Inputs &amp; Assumptions'!V$51/4*(V45-V56)</f>
        <v>393105.986531318</v>
      </c>
      <c r="W89" s="39" t="n">
        <f aca="false">'Inputs &amp; Assumptions'!W$51/4*(W45-W56)</f>
        <v>369199.556907603</v>
      </c>
      <c r="X89" s="39" t="n">
        <f aca="false">'Inputs &amp; Assumptions'!X$51/4*(X45-X56)</f>
        <v>347139.393302888</v>
      </c>
      <c r="Y89" s="39" t="n">
        <f aca="false">'Inputs &amp; Assumptions'!Y$51/4*(Y45-Y56)</f>
        <v>326397.353756454</v>
      </c>
      <c r="Z89" s="39" t="n">
        <f aca="false">'Inputs &amp; Assumptions'!Z$51/4*(Z45-Z56)</f>
        <v>306894.678606127</v>
      </c>
      <c r="AA89" s="39" t="n">
        <f aca="false">'Inputs &amp; Assumptions'!AA$51/4*(AA45-AA56)</f>
        <v>288557.314184095</v>
      </c>
      <c r="AB89" s="39" t="n">
        <f aca="false">'Inputs &amp; Assumptions'!AB$51/4*(AB45-AB56)</f>
        <v>271595.071461114</v>
      </c>
      <c r="AC89" s="39" t="n">
        <f aca="false">'Inputs &amp; Assumptions'!AC$51/4*(AC45-AC56)</f>
        <v>255629.918966142</v>
      </c>
      <c r="AD89" s="39" t="n">
        <f aca="false">'Inputs &amp; Assumptions'!AD$51/4*(AD45-AD56)</f>
        <v>240603.244819899</v>
      </c>
      <c r="AE89" s="39" t="n">
        <f aca="false">'Inputs &amp; Assumptions'!AE$51/4*(AE45-AE56)</f>
        <v>226459.88252076</v>
      </c>
      <c r="AF89" s="39" t="n">
        <f aca="false">'Inputs &amp; Assumptions'!AF$51/4*(AF45-AF56)</f>
        <v>0</v>
      </c>
      <c r="AG89" s="39" t="n">
        <f aca="false">'Inputs &amp; Assumptions'!AG$51/4*(AG45-AG56)</f>
        <v>0</v>
      </c>
      <c r="AH89" s="39" t="n">
        <f aca="false">'Inputs &amp; Assumptions'!AH$51/4*(AH45-AH56)</f>
        <v>0</v>
      </c>
      <c r="AI89" s="39" t="n">
        <f aca="false">'Inputs &amp; Assumptions'!AI$51/4*(AI45-AI56)</f>
        <v>0</v>
      </c>
      <c r="AJ89" s="39" t="n">
        <f aca="false">'Inputs &amp; Assumptions'!AJ$51/4*(AJ45-AJ56)</f>
        <v>0</v>
      </c>
      <c r="AK89" s="39" t="n">
        <f aca="false">'Inputs &amp; Assumptions'!AK$51/4*(AK45-AK56)</f>
        <v>0</v>
      </c>
      <c r="AL89" s="39" t="n">
        <f aca="false">'Inputs &amp; Assumptions'!AL$51/4*(AL45-AL56)</f>
        <v>0</v>
      </c>
      <c r="AM89" s="39" t="n">
        <f aca="false">'Inputs &amp; Assumptions'!AM$51/4*(AM45-AM56)</f>
        <v>0</v>
      </c>
      <c r="AN89" s="39" t="n">
        <f aca="false">'Inputs &amp; Assumptions'!AN$51/4*(AN45-AN56)</f>
        <v>0</v>
      </c>
    </row>
    <row r="90" customFormat="false" ht="15" hidden="false" customHeight="false" outlineLevel="0" collapsed="false">
      <c r="B90" s="37" t="n">
        <v>3</v>
      </c>
      <c r="C90" s="38" t="n">
        <f aca="false">'Inputs &amp; Assumptions'!$C$142</f>
        <v>2</v>
      </c>
      <c r="D90" s="38" t="n">
        <f aca="false">'Inputs &amp; Assumptions'!$D$142</f>
        <v>3</v>
      </c>
      <c r="E90" s="39" t="n">
        <f aca="false">'Inputs &amp; Assumptions'!E$51/4*(E46-E57)</f>
        <v>1089866.13</v>
      </c>
      <c r="F90" s="39" t="n">
        <f aca="false">'Inputs &amp; Assumptions'!F$51/4*(F46-F57)</f>
        <v>1053094.50085695</v>
      </c>
      <c r="G90" s="39" t="n">
        <f aca="false">'Inputs &amp; Assumptions'!G$51/4*(G46-G57)</f>
        <v>1014742.80669038</v>
      </c>
      <c r="H90" s="39" t="n">
        <f aca="false">'Inputs &amp; Assumptions'!H$51/4*(H46-H57)</f>
        <v>948454.173870621</v>
      </c>
      <c r="I90" s="39" t="n">
        <f aca="false">'Inputs &amp; Assumptions'!I$51/4*(I46-I57)</f>
        <v>886495.882505013</v>
      </c>
      <c r="J90" s="39" t="n">
        <f aca="false">'Inputs &amp; Assumptions'!J$51/4*(J46-J57)</f>
        <v>828585.050652689</v>
      </c>
      <c r="K90" s="39" t="n">
        <f aca="false">'Inputs &amp; Assumptions'!K$51/4*(K46-K57)</f>
        <v>775396.676105706</v>
      </c>
      <c r="L90" s="39" t="n">
        <f aca="false">'Inputs &amp; Assumptions'!L$51/4*(L46-L57)</f>
        <v>725622.559617954</v>
      </c>
      <c r="M90" s="39" t="n">
        <f aca="false">'Inputs &amp; Assumptions'!M$51/4*(M46-M57)</f>
        <v>679043.53378313</v>
      </c>
      <c r="N90" s="39" t="n">
        <f aca="false">'Inputs &amp; Assumptions'!N$51/4*(N46-N57)</f>
        <v>635454.49994754</v>
      </c>
      <c r="O90" s="39" t="n">
        <f aca="false">'Inputs &amp; Assumptions'!O$51/4*(O46-O57)</f>
        <v>595804.222433673</v>
      </c>
      <c r="P90" s="39" t="n">
        <f aca="false">'Inputs &amp; Assumptions'!P$51/4*(P46-P57)</f>
        <v>558627.99224665</v>
      </c>
      <c r="Q90" s="39" t="n">
        <f aca="false">'Inputs &amp; Assumptions'!Q$51/4*(Q46-Q57)</f>
        <v>523771.436944229</v>
      </c>
      <c r="R90" s="39" t="n">
        <f aca="false">'Inputs &amp; Assumptions'!R$51/4*(R46-R57)</f>
        <v>491089.816418463</v>
      </c>
      <c r="S90" s="39" t="n">
        <f aca="false">'Inputs &amp; Assumptions'!S$51/4*(S46-S57)</f>
        <v>461224.577685459</v>
      </c>
      <c r="T90" s="39" t="n">
        <f aca="false">'Inputs &amp; Assumptions'!T$51/4*(T46-T57)</f>
        <v>433175.569822571</v>
      </c>
      <c r="U90" s="39" t="n">
        <f aca="false">'Inputs &amp; Assumptions'!U$51/4*(U46-U57)</f>
        <v>406832.340186075</v>
      </c>
      <c r="V90" s="39" t="n">
        <f aca="false">'Inputs &amp; Assumptions'!V$51/4*(V46-V57)</f>
        <v>382091.153222404</v>
      </c>
      <c r="W90" s="39" t="n">
        <f aca="false">'Inputs &amp; Assumptions'!W$51/4*(W46-W57)</f>
        <v>359260.699625435</v>
      </c>
      <c r="X90" s="39" t="n">
        <f aca="false">'Inputs &amp; Assumptions'!X$51/4*(X46-X57)</f>
        <v>337794.395936276</v>
      </c>
      <c r="Y90" s="39" t="n">
        <f aca="false">'Inputs &amp; Assumptions'!Y$51/4*(Y46-Y57)</f>
        <v>317610.732387148</v>
      </c>
      <c r="Z90" s="39" t="n">
        <f aca="false">'Inputs &amp; Assumptions'!Z$51/4*(Z46-Z57)</f>
        <v>298633.069527094</v>
      </c>
      <c r="AA90" s="39" t="n">
        <f aca="false">'Inputs &amp; Assumptions'!AA$51/4*(AA46-AA57)</f>
        <v>281078.54444167</v>
      </c>
      <c r="AB90" s="39" t="n">
        <f aca="false">'Inputs &amp; Assumptions'!AB$51/4*(AB46-AB57)</f>
        <v>264555.925673462</v>
      </c>
      <c r="AC90" s="39" t="n">
        <f aca="false">'Inputs &amp; Assumptions'!AC$51/4*(AC46-AC57)</f>
        <v>249004.554751659</v>
      </c>
      <c r="AD90" s="39" t="n">
        <f aca="false">'Inputs &amp; Assumptions'!AD$51/4*(AD46-AD57)</f>
        <v>234367.33888774</v>
      </c>
      <c r="AE90" s="39" t="n">
        <f aca="false">'Inputs &amp; Assumptions'!AE$51/4*(AE46-AE57)</f>
        <v>0</v>
      </c>
      <c r="AF90" s="39" t="n">
        <f aca="false">'Inputs &amp; Assumptions'!AF$51/4*(AF46-AF57)</f>
        <v>0</v>
      </c>
      <c r="AG90" s="39" t="n">
        <f aca="false">'Inputs &amp; Assumptions'!AG$51/4*(AG46-AG57)</f>
        <v>0</v>
      </c>
      <c r="AH90" s="39" t="n">
        <f aca="false">'Inputs &amp; Assumptions'!AH$51/4*(AH46-AH57)</f>
        <v>0</v>
      </c>
      <c r="AI90" s="39" t="n">
        <f aca="false">'Inputs &amp; Assumptions'!AI$51/4*(AI46-AI57)</f>
        <v>0</v>
      </c>
      <c r="AJ90" s="39" t="n">
        <f aca="false">'Inputs &amp; Assumptions'!AJ$51/4*(AJ46-AJ57)</f>
        <v>0</v>
      </c>
      <c r="AK90" s="39" t="n">
        <f aca="false">'Inputs &amp; Assumptions'!AK$51/4*(AK46-AK57)</f>
        <v>0</v>
      </c>
      <c r="AL90" s="39" t="n">
        <f aca="false">'Inputs &amp; Assumptions'!AL$51/4*(AL46-AL57)</f>
        <v>0</v>
      </c>
      <c r="AM90" s="39" t="n">
        <f aca="false">'Inputs &amp; Assumptions'!AM$51/4*(AM46-AM57)</f>
        <v>0</v>
      </c>
      <c r="AN90" s="39" t="n">
        <f aca="false">'Inputs &amp; Assumptions'!AN$51/4*(AN46-AN57)</f>
        <v>0</v>
      </c>
    </row>
    <row r="91" customFormat="false" ht="15" hidden="false" customHeight="false" outlineLevel="0" collapsed="false">
      <c r="B91" s="37" t="n">
        <v>4</v>
      </c>
      <c r="C91" s="38" t="n">
        <f aca="false">'Inputs &amp; Assumptions'!$C$143</f>
        <v>3</v>
      </c>
      <c r="D91" s="38" t="n">
        <f aca="false">'Inputs &amp; Assumptions'!$D$143</f>
        <v>3</v>
      </c>
      <c r="E91" s="39" t="n">
        <f aca="false">'Inputs &amp; Assumptions'!E$51/4*(E47-E58)</f>
        <v>1089866.13</v>
      </c>
      <c r="F91" s="39" t="n">
        <f aca="false">'Inputs &amp; Assumptions'!F$51/4*(F47-F58)</f>
        <v>1050175.28319921</v>
      </c>
      <c r="G91" s="39" t="n">
        <f aca="false">'Inputs &amp; Assumptions'!G$51/4*(G47-G58)</f>
        <v>981572.004333479</v>
      </c>
      <c r="H91" s="39" t="n">
        <f aca="false">'Inputs &amp; Assumptions'!H$51/4*(H47-H58)</f>
        <v>917450.272449875</v>
      </c>
      <c r="I91" s="39" t="n">
        <f aca="false">'Inputs &amp; Assumptions'!I$51/4*(I47-I58)</f>
        <v>857517.328023127</v>
      </c>
      <c r="J91" s="39" t="n">
        <f aca="false">'Inputs &amp; Assumptions'!J$51/4*(J47-J58)</f>
        <v>802471.738210114</v>
      </c>
      <c r="K91" s="39" t="n">
        <f aca="false">'Inputs &amp; Assumptions'!K$51/4*(K47-K58)</f>
        <v>750959.624466731</v>
      </c>
      <c r="L91" s="39" t="n">
        <f aca="false">'Inputs &amp; Assumptions'!L$51/4*(L47-L58)</f>
        <v>702754.166566741</v>
      </c>
      <c r="M91" s="39" t="n">
        <f aca="false">'Inputs &amp; Assumptions'!M$51/4*(M47-M58)</f>
        <v>657643.104284889</v>
      </c>
      <c r="N91" s="39" t="n">
        <f aca="false">'Inputs &amp; Assumptions'!N$51/4*(N47-N58)</f>
        <v>616608.330603801</v>
      </c>
      <c r="O91" s="39" t="n">
        <f aca="false">'Inputs &amp; Assumptions'!O$51/4*(O47-O58)</f>
        <v>578133.992271439</v>
      </c>
      <c r="P91" s="39" t="n">
        <f aca="false">'Inputs &amp; Assumptions'!P$51/4*(P47-P58)</f>
        <v>542060.326516212</v>
      </c>
      <c r="Q91" s="39" t="n">
        <f aca="false">'Inputs &amp; Assumptions'!Q$51/4*(Q47-Q58)</f>
        <v>508237.539239705</v>
      </c>
      <c r="R91" s="39" t="n">
        <f aca="false">'Inputs &amp; Assumptions'!R$51/4*(R47-R58)</f>
        <v>477329.475307191</v>
      </c>
      <c r="S91" s="39" t="n">
        <f aca="false">'Inputs &amp; Assumptions'!S$51/4*(S47-S58)</f>
        <v>448301.060834426</v>
      </c>
      <c r="T91" s="39" t="n">
        <f aca="false">'Inputs &amp; Assumptions'!T$51/4*(T47-T58)</f>
        <v>421037.986426321</v>
      </c>
      <c r="U91" s="39" t="n">
        <f aca="false">'Inputs &amp; Assumptions'!U$51/4*(U47-U58)</f>
        <v>395432.894323228</v>
      </c>
      <c r="V91" s="39" t="n">
        <f aca="false">'Inputs &amp; Assumptions'!V$51/4*(V47-V58)</f>
        <v>371805.253985513</v>
      </c>
      <c r="W91" s="39" t="n">
        <f aca="false">'Inputs &amp; Assumptions'!W$51/4*(W47-W58)</f>
        <v>349589.396521562</v>
      </c>
      <c r="X91" s="39" t="n">
        <f aca="false">'Inputs &amp; Assumptions'!X$51/4*(X47-X58)</f>
        <v>328700.966030652</v>
      </c>
      <c r="Y91" s="39" t="n">
        <f aca="false">'Inputs &amp; Assumptions'!Y$51/4*(Y47-Y58)</f>
        <v>309060.646989102</v>
      </c>
      <c r="Z91" s="39" t="n">
        <f aca="false">'Inputs &amp; Assumptions'!Z$51/4*(Z47-Z58)</f>
        <v>290893.158408286</v>
      </c>
      <c r="AA91" s="39" t="n">
        <f aca="false">'Inputs &amp; Assumptions'!AA$51/4*(AA47-AA58)</f>
        <v>273793.607931365</v>
      </c>
      <c r="AB91" s="39" t="n">
        <f aca="false">'Inputs &amp; Assumptions'!AB$51/4*(AB47-AB58)</f>
        <v>257699.219033741</v>
      </c>
      <c r="AC91" s="39" t="n">
        <f aca="false">'Inputs &amp; Assumptions'!AC$51/4*(AC47-AC58)</f>
        <v>242550.905378506</v>
      </c>
      <c r="AD91" s="39" t="n">
        <f aca="false">'Inputs &amp; Assumptions'!AD$51/4*(AD47-AD58)</f>
        <v>0</v>
      </c>
      <c r="AE91" s="39" t="n">
        <f aca="false">'Inputs &amp; Assumptions'!AE$51/4*(AE47-AE58)</f>
        <v>0</v>
      </c>
      <c r="AF91" s="39" t="n">
        <f aca="false">'Inputs &amp; Assumptions'!AF$51/4*(AF47-AF58)</f>
        <v>0</v>
      </c>
      <c r="AG91" s="39" t="n">
        <f aca="false">'Inputs &amp; Assumptions'!AG$51/4*(AG47-AG58)</f>
        <v>0</v>
      </c>
      <c r="AH91" s="39" t="n">
        <f aca="false">'Inputs &amp; Assumptions'!AH$51/4*(AH47-AH58)</f>
        <v>0</v>
      </c>
      <c r="AI91" s="39" t="n">
        <f aca="false">'Inputs &amp; Assumptions'!AI$51/4*(AI47-AI58)</f>
        <v>0</v>
      </c>
      <c r="AJ91" s="39" t="n">
        <f aca="false">'Inputs &amp; Assumptions'!AJ$51/4*(AJ47-AJ58)</f>
        <v>0</v>
      </c>
      <c r="AK91" s="39" t="n">
        <f aca="false">'Inputs &amp; Assumptions'!AK$51/4*(AK47-AK58)</f>
        <v>0</v>
      </c>
      <c r="AL91" s="39" t="n">
        <f aca="false">'Inputs &amp; Assumptions'!AL$51/4*(AL47-AL58)</f>
        <v>0</v>
      </c>
      <c r="AM91" s="39" t="n">
        <f aca="false">'Inputs &amp; Assumptions'!AM$51/4*(AM47-AM58)</f>
        <v>0</v>
      </c>
      <c r="AN91" s="39" t="n">
        <f aca="false">'Inputs &amp; Assumptions'!AN$51/4*(AN47-AN58)</f>
        <v>0</v>
      </c>
    </row>
    <row r="92" customFormat="false" ht="15" hidden="false" customHeight="false" outlineLevel="0" collapsed="false">
      <c r="B92" s="37" t="n">
        <v>5</v>
      </c>
      <c r="C92" s="38" t="n">
        <f aca="false">'Inputs &amp; Assumptions'!$C$144</f>
        <v>4</v>
      </c>
      <c r="D92" s="38" t="n">
        <f aca="false">'Inputs &amp; Assumptions'!$D$144</f>
        <v>3</v>
      </c>
      <c r="E92" s="39" t="n">
        <f aca="false">'Inputs &amp; Assumptions'!E$51/4*(E48-E59)</f>
        <v>1086844.98</v>
      </c>
      <c r="F92" s="39" t="n">
        <f aca="false">'Inputs &amp; Assumptions'!F$51/4*(F48-F59)</f>
        <v>1015846.23299119</v>
      </c>
      <c r="G92" s="39" t="n">
        <f aca="false">'Inputs &amp; Assumptions'!G$51/4*(G48-G59)</f>
        <v>949485.518240509</v>
      </c>
      <c r="H92" s="39" t="n">
        <f aca="false">'Inputs &amp; Assumptions'!H$51/4*(H48-H59)</f>
        <v>887459.853735822</v>
      </c>
      <c r="I92" s="39" t="n">
        <f aca="false">'Inputs &amp; Assumptions'!I$51/4*(I48-I59)</f>
        <v>830492.198986644</v>
      </c>
      <c r="J92" s="39" t="n">
        <f aca="false">'Inputs &amp; Assumptions'!J$51/4*(J48-J59)</f>
        <v>777181.40113523</v>
      </c>
      <c r="K92" s="39" t="n">
        <f aca="false">'Inputs &amp; Assumptions'!K$51/4*(K48-K59)</f>
        <v>727292.719916605</v>
      </c>
      <c r="L92" s="39" t="n">
        <f aca="false">'Inputs &amp; Assumptions'!L$51/4*(L48-L59)</f>
        <v>680606.4834684</v>
      </c>
      <c r="M92" s="39" t="n">
        <f aca="false">'Inputs &amp; Assumptions'!M$51/4*(M48-M59)</f>
        <v>638138.870209722</v>
      </c>
      <c r="N92" s="39" t="n">
        <f aca="false">'Inputs &amp; Assumptions'!N$51/4*(N48-N59)</f>
        <v>598321.096791971</v>
      </c>
      <c r="O92" s="39" t="n">
        <f aca="false">'Inputs &amp; Assumptions'!O$51/4*(O48-O59)</f>
        <v>560987.821896347</v>
      </c>
      <c r="P92" s="39" t="n">
        <f aca="false">'Inputs &amp; Assumptions'!P$51/4*(P48-P59)</f>
        <v>525984.020960283</v>
      </c>
      <c r="Q92" s="39" t="n">
        <f aca="false">'Inputs &amp; Assumptions'!Q$51/4*(Q48-Q59)</f>
        <v>493996.718779414</v>
      </c>
      <c r="R92" s="39" t="n">
        <f aca="false">'Inputs &amp; Assumptions'!R$51/4*(R48-R59)</f>
        <v>463954.699078691</v>
      </c>
      <c r="S92" s="39" t="n">
        <f aca="false">'Inputs &amp; Assumptions'!S$51/4*(S48-S59)</f>
        <v>435739.661042803</v>
      </c>
      <c r="T92" s="39" t="n">
        <f aca="false">'Inputs &amp; Assumptions'!T$51/4*(T48-T59)</f>
        <v>409240.498226947</v>
      </c>
      <c r="U92" s="39" t="n">
        <f aca="false">'Inputs &amp; Assumptions'!U$51/4*(U48-U59)</f>
        <v>384787.835227622</v>
      </c>
      <c r="V92" s="39" t="n">
        <f aca="false">'Inputs &amp; Assumptions'!V$51/4*(V48-V59)</f>
        <v>361796.251301236</v>
      </c>
      <c r="W92" s="39" t="n">
        <f aca="false">'Inputs &amp; Assumptions'!W$51/4*(W48-W59)</f>
        <v>340178.445033729</v>
      </c>
      <c r="X92" s="39" t="n">
        <f aca="false">'Inputs &amp; Assumptions'!X$51/4*(X48-X59)</f>
        <v>319852.331386416</v>
      </c>
      <c r="Y92" s="39" t="n">
        <f aca="false">'Inputs &amp; Assumptions'!Y$51/4*(Y48-Y59)</f>
        <v>301050.476039834</v>
      </c>
      <c r="Z92" s="39" t="n">
        <f aca="false">'Inputs &amp; Assumptions'!Z$51/4*(Z48-Z59)</f>
        <v>283353.848730645</v>
      </c>
      <c r="AA92" s="39" t="n">
        <f aca="false">'Inputs &amp; Assumptions'!AA$51/4*(AA48-AA59)</f>
        <v>266697.480922918</v>
      </c>
      <c r="AB92" s="39" t="n">
        <f aca="false">'Inputs &amp; Assumptions'!AB$51/4*(AB48-AB59)</f>
        <v>251020.223121246</v>
      </c>
      <c r="AC92" s="39" t="n">
        <f aca="false">'Inputs &amp; Assumptions'!AC$51/4*(AC48-AC59)</f>
        <v>0</v>
      </c>
      <c r="AD92" s="39" t="n">
        <f aca="false">'Inputs &amp; Assumptions'!AD$51/4*(AD48-AD59)</f>
        <v>0</v>
      </c>
      <c r="AE92" s="39" t="n">
        <f aca="false">'Inputs &amp; Assumptions'!AE$51/4*(AE48-AE59)</f>
        <v>0</v>
      </c>
      <c r="AF92" s="39" t="n">
        <f aca="false">'Inputs &amp; Assumptions'!AF$51/4*(AF48-AF59)</f>
        <v>0</v>
      </c>
      <c r="AG92" s="39" t="n">
        <f aca="false">'Inputs &amp; Assumptions'!AG$51/4*(AG48-AG59)</f>
        <v>0</v>
      </c>
      <c r="AH92" s="39" t="n">
        <f aca="false">'Inputs &amp; Assumptions'!AH$51/4*(AH48-AH59)</f>
        <v>0</v>
      </c>
      <c r="AI92" s="39" t="n">
        <f aca="false">'Inputs &amp; Assumptions'!AI$51/4*(AI48-AI59)</f>
        <v>0</v>
      </c>
      <c r="AJ92" s="39" t="n">
        <f aca="false">'Inputs &amp; Assumptions'!AJ$51/4*(AJ48-AJ59)</f>
        <v>0</v>
      </c>
      <c r="AK92" s="39" t="n">
        <f aca="false">'Inputs &amp; Assumptions'!AK$51/4*(AK48-AK59)</f>
        <v>0</v>
      </c>
      <c r="AL92" s="39" t="n">
        <f aca="false">'Inputs &amp; Assumptions'!AL$51/4*(AL48-AL59)</f>
        <v>0</v>
      </c>
      <c r="AM92" s="39" t="n">
        <f aca="false">'Inputs &amp; Assumptions'!AM$51/4*(AM48-AM59)</f>
        <v>0</v>
      </c>
      <c r="AN92" s="39" t="n">
        <f aca="false">'Inputs &amp; Assumptions'!AN$51/4*(AN48-AN59)</f>
        <v>0</v>
      </c>
    </row>
    <row r="93" customFormat="false" ht="15" hidden="false" customHeight="false" outlineLevel="0" collapsed="false">
      <c r="B93" s="37" t="n">
        <v>6</v>
      </c>
      <c r="C93" s="38" t="n">
        <f aca="false">'Inputs &amp; Assumptions'!$C$145</f>
        <v>5</v>
      </c>
      <c r="D93" s="38" t="n">
        <f aca="false">'Inputs &amp; Assumptions'!$D$145</f>
        <v>3</v>
      </c>
      <c r="E93" s="39" t="n">
        <f aca="false">'Inputs &amp; Assumptions'!E$51/4*(E49-E60)</f>
        <v>1054239.6306</v>
      </c>
      <c r="F93" s="39" t="n">
        <f aca="false">'Inputs &amp; Assumptions'!F$51/4*(F49-F60)</f>
        <v>985370.846001457</v>
      </c>
      <c r="G93" s="39" t="n">
        <f aca="false">'Inputs &amp; Assumptions'!G$51/4*(G49-G60)</f>
        <v>921000.952693295</v>
      </c>
      <c r="H93" s="39" t="n">
        <f aca="false">'Inputs &amp; Assumptions'!H$51/4*(H49-H60)</f>
        <v>861880.234076187</v>
      </c>
      <c r="I93" s="39" t="n">
        <f aca="false">'Inputs &amp; Assumptions'!I$51/4*(I49-I60)</f>
        <v>806554.581424627</v>
      </c>
      <c r="J93" s="39" t="n">
        <f aca="false">'Inputs &amp; Assumptions'!J$51/4*(J49-J60)</f>
        <v>754780.382583354</v>
      </c>
      <c r="K93" s="39" t="n">
        <f aca="false">'Inputs &amp; Assumptions'!K$51/4*(K49-K60)</f>
        <v>706329.663302411</v>
      </c>
      <c r="L93" s="39" t="n">
        <f aca="false">'Inputs &amp; Assumptions'!L$51/4*(L49-L60)</f>
        <v>662257.00795332</v>
      </c>
      <c r="M93" s="39" t="n">
        <f aca="false">'Inputs &amp; Assumptions'!M$51/4*(M49-M60)</f>
        <v>620934.341809607</v>
      </c>
      <c r="N93" s="39" t="n">
        <f aca="false">'Inputs &amp; Assumptions'!N$51/4*(N49-N60)</f>
        <v>582190.074560459</v>
      </c>
      <c r="O93" s="39" t="n">
        <f aca="false">'Inputs &amp; Assumptions'!O$51/4*(O49-O60)</f>
        <v>545863.322567914</v>
      </c>
      <c r="P93" s="39" t="n">
        <f aca="false">'Inputs &amp; Assumptions'!P$51/4*(P49-P60)</f>
        <v>512667.076384323</v>
      </c>
      <c r="Q93" s="39" t="n">
        <f aca="false">'Inputs &amp; Assumptions'!Q$51/4*(Q49-Q60)</f>
        <v>481489.633654126</v>
      </c>
      <c r="R93" s="39" t="n">
        <f aca="false">'Inputs &amp; Assumptions'!R$51/4*(R49-R60)</f>
        <v>452208.222442182</v>
      </c>
      <c r="S93" s="39" t="n">
        <f aca="false">'Inputs &amp; Assumptions'!S$51/4*(S49-S60)</f>
        <v>424707.537091469</v>
      </c>
      <c r="T93" s="39" t="n">
        <f aca="false">'Inputs &amp; Assumptions'!T$51/4*(T49-T60)</f>
        <v>399330.697988875</v>
      </c>
      <c r="U93" s="39" t="n">
        <f aca="false">'Inputs &amp; Assumptions'!U$51/4*(U49-U60)</f>
        <v>375470.158708151</v>
      </c>
      <c r="V93" s="39" t="n">
        <f aca="false">'Inputs &amp; Assumptions'!V$51/4*(V49-V60)</f>
        <v>353035.318322188</v>
      </c>
      <c r="W93" s="39" t="n">
        <f aca="false">'Inputs &amp; Assumptions'!W$51/4*(W49-W60)</f>
        <v>331940.989429537</v>
      </c>
      <c r="X93" s="39" t="n">
        <f aca="false">'Inputs &amp; Assumptions'!X$51/4*(X49-X60)</f>
        <v>312428.527413696</v>
      </c>
      <c r="Y93" s="39" t="n">
        <f aca="false">'Inputs &amp; Assumptions'!Y$51/4*(Y49-Y60)</f>
        <v>294063.064973213</v>
      </c>
      <c r="Z93" s="39" t="n">
        <f aca="false">'Inputs &amp; Assumptions'!Z$51/4*(Z49-Z60)</f>
        <v>276777.178119009</v>
      </c>
      <c r="AA93" s="39" t="n">
        <f aca="false">'Inputs &amp; Assumptions'!AA$51/4*(AA49-AA60)</f>
        <v>260507.406241242</v>
      </c>
      <c r="AB93" s="39" t="n">
        <f aca="false">'Inputs &amp; Assumptions'!AB$51/4*(AB49-AB60)</f>
        <v>0</v>
      </c>
      <c r="AC93" s="39" t="n">
        <f aca="false">'Inputs &amp; Assumptions'!AC$51/4*(AC49-AC60)</f>
        <v>0</v>
      </c>
      <c r="AD93" s="39" t="n">
        <f aca="false">'Inputs &amp; Assumptions'!AD$51/4*(AD49-AD60)</f>
        <v>0</v>
      </c>
      <c r="AE93" s="39" t="n">
        <f aca="false">'Inputs &amp; Assumptions'!AE$51/4*(AE49-AE60)</f>
        <v>0</v>
      </c>
      <c r="AF93" s="39" t="n">
        <f aca="false">'Inputs &amp; Assumptions'!AF$51/4*(AF49-AF60)</f>
        <v>0</v>
      </c>
      <c r="AG93" s="39" t="n">
        <f aca="false">'Inputs &amp; Assumptions'!AG$51/4*(AG49-AG60)</f>
        <v>0</v>
      </c>
      <c r="AH93" s="39" t="n">
        <f aca="false">'Inputs &amp; Assumptions'!AH$51/4*(AH49-AH60)</f>
        <v>0</v>
      </c>
      <c r="AI93" s="39" t="n">
        <f aca="false">'Inputs &amp; Assumptions'!AI$51/4*(AI49-AI60)</f>
        <v>0</v>
      </c>
      <c r="AJ93" s="39" t="n">
        <f aca="false">'Inputs &amp; Assumptions'!AJ$51/4*(AJ49-AJ60)</f>
        <v>0</v>
      </c>
      <c r="AK93" s="39" t="n">
        <f aca="false">'Inputs &amp; Assumptions'!AK$51/4*(AK49-AK60)</f>
        <v>0</v>
      </c>
      <c r="AL93" s="39" t="n">
        <f aca="false">'Inputs &amp; Assumptions'!AL$51/4*(AL49-AL60)</f>
        <v>0</v>
      </c>
      <c r="AM93" s="39" t="n">
        <f aca="false">'Inputs &amp; Assumptions'!AM$51/4*(AM49-AM60)</f>
        <v>0</v>
      </c>
      <c r="AN93" s="39" t="n">
        <f aca="false">'Inputs &amp; Assumptions'!AN$51/4*(AN49-AN60)</f>
        <v>0</v>
      </c>
    </row>
    <row r="94" customFormat="false" ht="15" hidden="false" customHeight="false" outlineLevel="0" collapsed="false">
      <c r="B94" s="37" t="n">
        <v>7</v>
      </c>
      <c r="C94" s="38" t="n">
        <f aca="false">'Inputs &amp; Assumptions'!$C$146</f>
        <v>6</v>
      </c>
      <c r="D94" s="38" t="n">
        <f aca="false">'Inputs &amp; Assumptions'!$D$146</f>
        <v>3</v>
      </c>
      <c r="E94" s="39" t="n">
        <f aca="false">'Inputs &amp; Assumptions'!E$51/4*(E50-E61)</f>
        <v>1022612.441682</v>
      </c>
      <c r="F94" s="39" t="n">
        <f aca="false">'Inputs &amp; Assumptions'!F$51/4*(F50-F61)</f>
        <v>955809.720621413</v>
      </c>
      <c r="G94" s="39" t="n">
        <f aca="false">'Inputs &amp; Assumptions'!G$51/4*(G50-G61)</f>
        <v>894454.564170047</v>
      </c>
      <c r="H94" s="39" t="n">
        <f aca="false">'Inputs &amp; Assumptions'!H$51/4*(H50-H61)</f>
        <v>837037.906294238</v>
      </c>
      <c r="I94" s="39" t="n">
        <f aca="false">'Inputs &amp; Assumptions'!I$51/4*(I50-I61)</f>
        <v>783306.927639806</v>
      </c>
      <c r="J94" s="39" t="n">
        <f aca="false">'Inputs &amp; Assumptions'!J$51/4*(J50-J61)</f>
        <v>733025.037784643</v>
      </c>
      <c r="K94" s="39" t="n">
        <f aca="false">'Inputs &amp; Assumptions'!K$51/4*(K50-K61)</f>
        <v>687286.678586347</v>
      </c>
      <c r="L94" s="39" t="n">
        <f aca="false">'Inputs &amp; Assumptions'!L$51/4*(L50-L61)</f>
        <v>644402.243052753</v>
      </c>
      <c r="M94" s="39" t="n">
        <f aca="false">'Inputs &amp; Assumptions'!M$51/4*(M50-M61)</f>
        <v>604193.655703526</v>
      </c>
      <c r="N94" s="39" t="n">
        <f aca="false">'Inputs &amp; Assumptions'!N$51/4*(N50-N61)</f>
        <v>566493.952384499</v>
      </c>
      <c r="O94" s="39" t="n">
        <f aca="false">'Inputs &amp; Assumptions'!O$51/4*(O50-O61)</f>
        <v>532043.070767459</v>
      </c>
      <c r="P94" s="39" t="n">
        <f aca="false">'Inputs &amp; Assumptions'!P$51/4*(P50-P61)</f>
        <v>499687.292265282</v>
      </c>
      <c r="Q94" s="39" t="n">
        <f aca="false">'Inputs &amp; Assumptions'!Q$51/4*(Q50-Q61)</f>
        <v>469299.204839264</v>
      </c>
      <c r="R94" s="39" t="n">
        <f aca="false">'Inputs &amp; Assumptions'!R$51/4*(R50-R61)</f>
        <v>440759.144913055</v>
      </c>
      <c r="S94" s="39" t="n">
        <f aca="false">'Inputs &amp; Assumptions'!S$51/4*(S50-S61)</f>
        <v>414423.200936043</v>
      </c>
      <c r="T94" s="39" t="n">
        <f aca="false">'Inputs &amp; Assumptions'!T$51/4*(T50-T61)</f>
        <v>389660.864570274</v>
      </c>
      <c r="U94" s="39" t="n">
        <f aca="false">'Inputs &amp; Assumptions'!U$51/4*(U50-U61)</f>
        <v>366378.110672153</v>
      </c>
      <c r="V94" s="39" t="n">
        <f aca="false">'Inputs &amp; Assumptions'!V$51/4*(V50-V61)</f>
        <v>344486.532225224</v>
      </c>
      <c r="W94" s="39" t="n">
        <f aca="false">'Inputs &amp; Assumptions'!W$51/4*(W50-W61)</f>
        <v>324236.606518353</v>
      </c>
      <c r="X94" s="39" t="n">
        <f aca="false">'Inputs &amp; Assumptions'!X$51/4*(X50-X61)</f>
        <v>305177.03065908</v>
      </c>
      <c r="Y94" s="39" t="n">
        <f aca="false">'Inputs &amp; Assumptions'!Y$51/4*(Y50-Y61)</f>
        <v>287237.832402558</v>
      </c>
      <c r="Z94" s="39" t="n">
        <f aca="false">'Inputs &amp; Assumptions'!Z$51/4*(Z50-Z61)</f>
        <v>270353.152677106</v>
      </c>
      <c r="AA94" s="39" t="n">
        <f aca="false">'Inputs &amp; Assumptions'!AA$51/4*(AA50-AA61)</f>
        <v>0</v>
      </c>
      <c r="AB94" s="39" t="n">
        <f aca="false">'Inputs &amp; Assumptions'!AB$51/4*(AB50-AB61)</f>
        <v>0</v>
      </c>
      <c r="AC94" s="39" t="n">
        <f aca="false">'Inputs &amp; Assumptions'!AC$51/4*(AC50-AC61)</f>
        <v>0</v>
      </c>
      <c r="AD94" s="39" t="n">
        <f aca="false">'Inputs &amp; Assumptions'!AD$51/4*(AD50-AD61)</f>
        <v>0</v>
      </c>
      <c r="AE94" s="39" t="n">
        <f aca="false">'Inputs &amp; Assumptions'!AE$51/4*(AE50-AE61)</f>
        <v>0</v>
      </c>
      <c r="AF94" s="39" t="n">
        <f aca="false">'Inputs &amp; Assumptions'!AF$51/4*(AF50-AF61)</f>
        <v>0</v>
      </c>
      <c r="AG94" s="39" t="n">
        <f aca="false">'Inputs &amp; Assumptions'!AG$51/4*(AG50-AG61)</f>
        <v>0</v>
      </c>
      <c r="AH94" s="39" t="n">
        <f aca="false">'Inputs &amp; Assumptions'!AH$51/4*(AH50-AH61)</f>
        <v>0</v>
      </c>
      <c r="AI94" s="39" t="n">
        <f aca="false">'Inputs &amp; Assumptions'!AI$51/4*(AI50-AI61)</f>
        <v>0</v>
      </c>
      <c r="AJ94" s="39" t="n">
        <f aca="false">'Inputs &amp; Assumptions'!AJ$51/4*(AJ50-AJ61)</f>
        <v>0</v>
      </c>
      <c r="AK94" s="39" t="n">
        <f aca="false">'Inputs &amp; Assumptions'!AK$51/4*(AK50-AK61)</f>
        <v>0</v>
      </c>
      <c r="AL94" s="39" t="n">
        <f aca="false">'Inputs &amp; Assumptions'!AL$51/4*(AL50-AL61)</f>
        <v>0</v>
      </c>
      <c r="AM94" s="39" t="n">
        <f aca="false">'Inputs &amp; Assumptions'!AM$51/4*(AM50-AM61)</f>
        <v>0</v>
      </c>
      <c r="AN94" s="39" t="n">
        <f aca="false">'Inputs &amp; Assumptions'!AN$51/4*(AN50-AN61)</f>
        <v>0</v>
      </c>
    </row>
    <row r="95" customFormat="false" ht="15" hidden="false" customHeight="false" outlineLevel="0" collapsed="false">
      <c r="B95" s="37" t="n">
        <v>8</v>
      </c>
      <c r="C95" s="38" t="n">
        <f aca="false">'Inputs &amp; Assumptions'!$C$147</f>
        <v>7</v>
      </c>
      <c r="D95" s="38" t="n">
        <f aca="false">'Inputs &amp; Assumptions'!$D$147</f>
        <v>3</v>
      </c>
      <c r="E95" s="39" t="n">
        <f aca="false">'Inputs &amp; Assumptions'!E$51/4*(E51-E62)</f>
        <v>991934.06843154</v>
      </c>
      <c r="F95" s="39" t="n">
        <f aca="false">'Inputs &amp; Assumptions'!F$51/4*(F51-F62)</f>
        <v>928260.024691443</v>
      </c>
      <c r="G95" s="39" t="n">
        <f aca="false">'Inputs &amp; Assumptions'!G$51/4*(G51-G62)</f>
        <v>868673.333100291</v>
      </c>
      <c r="H95" s="39" t="n">
        <f aca="false">'Inputs &amp; Assumptions'!H$51/4*(H51-H62)</f>
        <v>812911.619123531</v>
      </c>
      <c r="I95" s="39" t="n">
        <f aca="false">'Inputs &amp; Assumptions'!I$51/4*(I51-I62)</f>
        <v>760729.350523007</v>
      </c>
      <c r="J95" s="39" t="n">
        <f aca="false">'Inputs &amp; Assumptions'!J$51/4*(J51-J62)</f>
        <v>713262.333036041</v>
      </c>
      <c r="K95" s="39" t="n">
        <f aca="false">'Inputs &amp; Assumptions'!K$51/4*(K51-K62)</f>
        <v>668757.101823732</v>
      </c>
      <c r="L95" s="39" t="n">
        <f aca="false">'Inputs &amp; Assumptions'!L$51/4*(L51-L62)</f>
        <v>627028.851132503</v>
      </c>
      <c r="M95" s="39" t="n">
        <f aca="false">'Inputs &amp; Assumptions'!M$51/4*(M51-M62)</f>
        <v>587904.30648193</v>
      </c>
      <c r="N95" s="39" t="n">
        <f aca="false">'Inputs &amp; Assumptions'!N$51/4*(N51-N62)</f>
        <v>552151.371116064</v>
      </c>
      <c r="O95" s="39" t="n">
        <f aca="false">'Inputs &amp; Assumptions'!O$51/4*(O51-O62)</f>
        <v>518572.72223387</v>
      </c>
      <c r="P95" s="39" t="n">
        <f aca="false">'Inputs &amp; Assumptions'!P$51/4*(P51-P62)</f>
        <v>487036.132322704</v>
      </c>
      <c r="Q95" s="39" t="n">
        <f aca="false">'Inputs &amp; Assumptions'!Q$51/4*(Q51-Q62)</f>
        <v>457417.415181516</v>
      </c>
      <c r="R95" s="39" t="n">
        <f aca="false">'Inputs &amp; Assumptions'!R$51/4*(R51-R62)</f>
        <v>430086.117443595</v>
      </c>
      <c r="S95" s="39" t="n">
        <f aca="false">'Inputs &amp; Assumptions'!S$51/4*(S51-S62)</f>
        <v>404387.901025375</v>
      </c>
      <c r="T95" s="39" t="n">
        <f aca="false">'Inputs &amp; Assumptions'!T$51/4*(T51-T62)</f>
        <v>380225.187150234</v>
      </c>
      <c r="U95" s="39" t="n">
        <f aca="false">'Inputs &amp; Assumptions'!U$51/4*(U51-U62)</f>
        <v>357506.227502981</v>
      </c>
      <c r="V95" s="39" t="n">
        <f aca="false">'Inputs &amp; Assumptions'!V$51/4*(V51-V62)</f>
        <v>336490.966035673</v>
      </c>
      <c r="W95" s="39" t="n">
        <f aca="false">'Inputs &amp; Assumptions'!W$51/4*(W51-W62)</f>
        <v>316711.043089946</v>
      </c>
      <c r="X95" s="39" t="n">
        <f aca="false">'Inputs &amp; Assumptions'!X$51/4*(X51-X62)</f>
        <v>298093.841855142</v>
      </c>
      <c r="Y95" s="39" t="n">
        <f aca="false">'Inputs &amp; Assumptions'!Y$51/4*(Y51-Y62)</f>
        <v>280571.014149077</v>
      </c>
      <c r="Z95" s="39" t="n">
        <f aca="false">'Inputs &amp; Assumptions'!Z$51/4*(Z51-Z62)</f>
        <v>0</v>
      </c>
      <c r="AA95" s="39" t="n">
        <f aca="false">'Inputs &amp; Assumptions'!AA$51/4*(AA51-AA62)</f>
        <v>0</v>
      </c>
      <c r="AB95" s="39" t="n">
        <f aca="false">'Inputs &amp; Assumptions'!AB$51/4*(AB51-AB62)</f>
        <v>0</v>
      </c>
      <c r="AC95" s="39" t="n">
        <f aca="false">'Inputs &amp; Assumptions'!AC$51/4*(AC51-AC62)</f>
        <v>0</v>
      </c>
      <c r="AD95" s="39" t="n">
        <f aca="false">'Inputs &amp; Assumptions'!AD$51/4*(AD51-AD62)</f>
        <v>0</v>
      </c>
      <c r="AE95" s="39" t="n">
        <f aca="false">'Inputs &amp; Assumptions'!AE$51/4*(AE51-AE62)</f>
        <v>0</v>
      </c>
      <c r="AF95" s="39" t="n">
        <f aca="false">'Inputs &amp; Assumptions'!AF$51/4*(AF51-AF62)</f>
        <v>0</v>
      </c>
      <c r="AG95" s="39" t="n">
        <f aca="false">'Inputs &amp; Assumptions'!AG$51/4*(AG51-AG62)</f>
        <v>0</v>
      </c>
      <c r="AH95" s="39" t="n">
        <f aca="false">'Inputs &amp; Assumptions'!AH$51/4*(AH51-AH62)</f>
        <v>0</v>
      </c>
      <c r="AI95" s="39" t="n">
        <f aca="false">'Inputs &amp; Assumptions'!AI$51/4*(AI51-AI62)</f>
        <v>0</v>
      </c>
      <c r="AJ95" s="39" t="n">
        <f aca="false">'Inputs &amp; Assumptions'!AJ$51/4*(AJ51-AJ62)</f>
        <v>0</v>
      </c>
      <c r="AK95" s="39" t="n">
        <f aca="false">'Inputs &amp; Assumptions'!AK$51/4*(AK51-AK62)</f>
        <v>0</v>
      </c>
      <c r="AL95" s="39" t="n">
        <f aca="false">'Inputs &amp; Assumptions'!AL$51/4*(AL51-AL62)</f>
        <v>0</v>
      </c>
      <c r="AM95" s="39" t="n">
        <f aca="false">'Inputs &amp; Assumptions'!AM$51/4*(AM51-AM62)</f>
        <v>0</v>
      </c>
      <c r="AN95" s="39" t="n">
        <f aca="false">'Inputs &amp; Assumptions'!AN$51/4*(AN51-AN62)</f>
        <v>0</v>
      </c>
    </row>
    <row r="96" customFormat="false" ht="15" hidden="false" customHeight="false" outlineLevel="0" collapsed="false">
      <c r="B96" s="37" t="n">
        <v>9</v>
      </c>
      <c r="C96" s="38" t="n">
        <f aca="false">'Inputs &amp; Assumptions'!$C$148</f>
        <v>8</v>
      </c>
      <c r="D96" s="38" t="n">
        <f aca="false">'Inputs &amp; Assumptions'!$D$148</f>
        <v>3</v>
      </c>
      <c r="E96" s="39" t="n">
        <f aca="false">'Inputs &amp; Assumptions'!E$51/4*(E52-E63)</f>
        <v>963343.145595873</v>
      </c>
      <c r="F96" s="39" t="n">
        <f aca="false">'Inputs &amp; Assumptions'!F$51/4*(F52-F63)</f>
        <v>901504.404956199</v>
      </c>
      <c r="G96" s="39" t="n">
        <f aca="false">'Inputs &amp; Assumptions'!G$51/4*(G52-G63)</f>
        <v>843635.205036655</v>
      </c>
      <c r="H96" s="39" t="n">
        <f aca="false">'Inputs &amp; Assumptions'!H$51/4*(H52-H63)</f>
        <v>789480.733831599</v>
      </c>
      <c r="I96" s="39" t="n">
        <f aca="false">'Inputs &amp; Assumptions'!I$51/4*(I52-I63)</f>
        <v>740219.724285112</v>
      </c>
      <c r="J96" s="39" t="n">
        <f aca="false">'Inputs &amp; Assumptions'!J$51/4*(J52-J63)</f>
        <v>694032.440236347</v>
      </c>
      <c r="K96" s="39" t="n">
        <f aca="false">'Inputs &amp; Assumptions'!K$51/4*(K52-K63)</f>
        <v>650727.091291191</v>
      </c>
      <c r="L96" s="39" t="n">
        <f aca="false">'Inputs &amp; Assumptions'!L$51/4*(L52-L63)</f>
        <v>610123.854147356</v>
      </c>
      <c r="M96" s="39" t="n">
        <f aca="false">'Inputs &amp; Assumptions'!M$51/4*(M52-M63)</f>
        <v>573019.654565899</v>
      </c>
      <c r="N96" s="39" t="n">
        <f aca="false">'Inputs &amp; Assumptions'!N$51/4*(N52-N63)</f>
        <v>538171.917532534</v>
      </c>
      <c r="O96" s="39" t="n">
        <f aca="false">'Inputs &amp; Assumptions'!O$51/4*(O52-O63)</f>
        <v>505443.418062261</v>
      </c>
      <c r="P96" s="39" t="n">
        <f aca="false">'Inputs &amp; Assumptions'!P$51/4*(P52-P63)</f>
        <v>474705.276399001</v>
      </c>
      <c r="Q96" s="39" t="n">
        <f aca="false">'Inputs &amp; Assumptions'!Q$51/4*(Q52-Q63)</f>
        <v>446341.006005241</v>
      </c>
      <c r="R96" s="39" t="n">
        <f aca="false">'Inputs &amp; Assumptions'!R$51/4*(R52-R63)</f>
        <v>419671.538418548</v>
      </c>
      <c r="S96" s="39" t="n">
        <f aca="false">'Inputs &amp; Assumptions'!S$51/4*(S52-S63)</f>
        <v>394595.6069215</v>
      </c>
      <c r="T96" s="39" t="n">
        <f aca="false">'Inputs &amp; Assumptions'!T$51/4*(T52-T63)</f>
        <v>371017.995617462</v>
      </c>
      <c r="U96" s="39" t="n">
        <f aca="false">'Inputs &amp; Assumptions'!U$51/4*(U52-U63)</f>
        <v>349208.472909464</v>
      </c>
      <c r="V96" s="39" t="n">
        <f aca="false">'Inputs &amp; Assumptions'!V$51/4*(V52-V63)</f>
        <v>328680.97772134</v>
      </c>
      <c r="W96" s="39" t="n">
        <f aca="false">'Inputs &amp; Assumptions'!W$51/4*(W52-W63)</f>
        <v>309360.148726588</v>
      </c>
      <c r="X96" s="39" t="n">
        <f aca="false">'Inputs &amp; Assumptions'!X$51/4*(X52-X63)</f>
        <v>291175.054557843</v>
      </c>
      <c r="Y96" s="39" t="n">
        <f aca="false">'Inputs &amp; Assumptions'!Y$51/4*(Y52-Y63)</f>
        <v>0</v>
      </c>
      <c r="Z96" s="39" t="n">
        <f aca="false">'Inputs &amp; Assumptions'!Z$51/4*(Z52-Z63)</f>
        <v>0</v>
      </c>
      <c r="AA96" s="39" t="n">
        <f aca="false">'Inputs &amp; Assumptions'!AA$51/4*(AA52-AA63)</f>
        <v>0</v>
      </c>
      <c r="AB96" s="39" t="n">
        <f aca="false">'Inputs &amp; Assumptions'!AB$51/4*(AB52-AB63)</f>
        <v>0</v>
      </c>
      <c r="AC96" s="39" t="n">
        <f aca="false">'Inputs &amp; Assumptions'!AC$51/4*(AC52-AC63)</f>
        <v>0</v>
      </c>
      <c r="AD96" s="39" t="n">
        <f aca="false">'Inputs &amp; Assumptions'!AD$51/4*(AD52-AD63)</f>
        <v>0</v>
      </c>
      <c r="AE96" s="39" t="n">
        <f aca="false">'Inputs &amp; Assumptions'!AE$51/4*(AE52-AE63)</f>
        <v>0</v>
      </c>
      <c r="AF96" s="39" t="n">
        <f aca="false">'Inputs &amp; Assumptions'!AF$51/4*(AF52-AF63)</f>
        <v>0</v>
      </c>
      <c r="AG96" s="39" t="n">
        <f aca="false">'Inputs &amp; Assumptions'!AG$51/4*(AG52-AG63)</f>
        <v>0</v>
      </c>
      <c r="AH96" s="39" t="n">
        <f aca="false">'Inputs &amp; Assumptions'!AH$51/4*(AH52-AH63)</f>
        <v>0</v>
      </c>
      <c r="AI96" s="39" t="n">
        <f aca="false">'Inputs &amp; Assumptions'!AI$51/4*(AI52-AI63)</f>
        <v>0</v>
      </c>
      <c r="AJ96" s="39" t="n">
        <f aca="false">'Inputs &amp; Assumptions'!AJ$51/4*(AJ52-AJ63)</f>
        <v>0</v>
      </c>
      <c r="AK96" s="39" t="n">
        <f aca="false">'Inputs &amp; Assumptions'!AK$51/4*(AK52-AK63)</f>
        <v>0</v>
      </c>
      <c r="AL96" s="39" t="n">
        <f aca="false">'Inputs &amp; Assumptions'!AL$51/4*(AL52-AL63)</f>
        <v>0</v>
      </c>
      <c r="AM96" s="39" t="n">
        <f aca="false">'Inputs &amp; Assumptions'!AM$51/4*(AM52-AM63)</f>
        <v>0</v>
      </c>
      <c r="AN96" s="39" t="n">
        <f aca="false">'Inputs &amp; Assumptions'!AN$51/4*(AN52-AN63)</f>
        <v>0</v>
      </c>
    </row>
    <row r="97" customFormat="false" ht="15" hidden="false" customHeight="false" outlineLevel="0" collapsed="false">
      <c r="B97" s="37" t="n">
        <v>10</v>
      </c>
      <c r="C97" s="38" t="n">
        <f aca="false">'Inputs &amp; Assumptions'!$C$149</f>
        <v>9</v>
      </c>
      <c r="D97" s="38" t="n">
        <f aca="false">'Inputs &amp; Assumptions'!$D$149</f>
        <v>3</v>
      </c>
      <c r="E97" s="39" t="n">
        <f aca="false">'Inputs &amp; Assumptions'!E$51/4*(E53-E64)</f>
        <v>934442.851227997</v>
      </c>
      <c r="F97" s="39" t="n">
        <f aca="false">'Inputs &amp; Assumptions'!F$51/4*(F53-F64)</f>
        <v>874459.272807513</v>
      </c>
      <c r="G97" s="39" t="n">
        <f aca="false">'Inputs &amp; Assumptions'!G$51/4*(G53-G64)</f>
        <v>818326.148885556</v>
      </c>
      <c r="H97" s="39" t="n">
        <f aca="false">'Inputs &amp; Assumptions'!H$51/4*(H53-H64)</f>
        <v>767265.280006911</v>
      </c>
      <c r="I97" s="39" t="n">
        <f aca="false">'Inputs &amp; Assumptions'!I$51/4*(I53-I64)</f>
        <v>719390.441947631</v>
      </c>
      <c r="J97" s="39" t="n">
        <f aca="false">'Inputs &amp; Assumptions'!J$51/4*(J53-J64)</f>
        <v>674502.836829717</v>
      </c>
      <c r="K97" s="39" t="n">
        <f aca="false">'Inputs &amp; Assumptions'!K$51/4*(K53-K64)</f>
        <v>632416.071111012</v>
      </c>
      <c r="L97" s="39" t="n">
        <f aca="false">'Inputs &amp; Assumptions'!L$51/4*(L53-L64)</f>
        <v>593956.187988074</v>
      </c>
      <c r="M97" s="39" t="n">
        <f aca="false">'Inputs &amp; Assumptions'!M$51/4*(M53-M64)</f>
        <v>557835.212235455</v>
      </c>
      <c r="N97" s="39" t="n">
        <f aca="false">'Inputs &amp; Assumptions'!N$51/4*(N53-N64)</f>
        <v>523910.905051508</v>
      </c>
      <c r="O97" s="39" t="n">
        <f aca="false">'Inputs &amp; Assumptions'!O$51/4*(O53-O64)</f>
        <v>492049.677774796</v>
      </c>
      <c r="P97" s="39" t="n">
        <f aca="false">'Inputs &amp; Assumptions'!P$51/4*(P53-P64)</f>
        <v>462649.056375686</v>
      </c>
      <c r="Q97" s="39" t="n">
        <f aca="false">'Inputs &amp; Assumptions'!Q$51/4*(Q53-Q64)</f>
        <v>435005.161131876</v>
      </c>
      <c r="R97" s="39" t="n">
        <f aca="false">'Inputs &amp; Assumptions'!R$51/4*(R53-R64)</f>
        <v>409013.02532369</v>
      </c>
      <c r="S97" s="39" t="n">
        <f aca="false">'Inputs &amp; Assumptions'!S$51/4*(S53-S64)</f>
        <v>384573.954132285</v>
      </c>
      <c r="T97" s="39" t="n">
        <f aca="false">'Inputs &amp; Assumptions'!T$51/4*(T53-T64)</f>
        <v>361967.572542641</v>
      </c>
      <c r="U97" s="39" t="n">
        <f aca="false">'Inputs &amp; Assumptions'!U$51/4*(U53-U64)</f>
        <v>340690.0601681</v>
      </c>
      <c r="V97" s="39" t="n">
        <f aca="false">'Inputs &amp; Assumptions'!V$51/4*(V53-V64)</f>
        <v>320663.302190337</v>
      </c>
      <c r="W97" s="39" t="n">
        <f aca="false">'Inputs &amp; Assumptions'!W$51/4*(W53-W64)</f>
        <v>301813.775608471</v>
      </c>
      <c r="X97" s="39" t="n">
        <f aca="false">'Inputs &amp; Assumptions'!X$51/4*(X53-X64)</f>
        <v>0</v>
      </c>
      <c r="Y97" s="39" t="n">
        <f aca="false">'Inputs &amp; Assumptions'!Y$51/4*(Y53-Y64)</f>
        <v>0</v>
      </c>
      <c r="Z97" s="39" t="n">
        <f aca="false">'Inputs &amp; Assumptions'!Z$51/4*(Z53-Z64)</f>
        <v>0</v>
      </c>
      <c r="AA97" s="39" t="n">
        <f aca="false">'Inputs &amp; Assumptions'!AA$51/4*(AA53-AA64)</f>
        <v>0</v>
      </c>
      <c r="AB97" s="39" t="n">
        <f aca="false">'Inputs &amp; Assumptions'!AB$51/4*(AB53-AB64)</f>
        <v>0</v>
      </c>
      <c r="AC97" s="39" t="n">
        <f aca="false">'Inputs &amp; Assumptions'!AC$51/4*(AC53-AC64)</f>
        <v>0</v>
      </c>
      <c r="AD97" s="39" t="n">
        <f aca="false">'Inputs &amp; Assumptions'!AD$51/4*(AD53-AD64)</f>
        <v>0</v>
      </c>
      <c r="AE97" s="39" t="n">
        <f aca="false">'Inputs &amp; Assumptions'!AE$51/4*(AE53-AE64)</f>
        <v>0</v>
      </c>
      <c r="AF97" s="39" t="n">
        <f aca="false">'Inputs &amp; Assumptions'!AF$51/4*(AF53-AF64)</f>
        <v>0</v>
      </c>
      <c r="AG97" s="39" t="n">
        <f aca="false">'Inputs &amp; Assumptions'!AG$51/4*(AG53-AG64)</f>
        <v>0</v>
      </c>
      <c r="AH97" s="39" t="n">
        <f aca="false">'Inputs &amp; Assumptions'!AH$51/4*(AH53-AH64)</f>
        <v>0</v>
      </c>
      <c r="AI97" s="39" t="n">
        <f aca="false">'Inputs &amp; Assumptions'!AI$51/4*(AI53-AI64)</f>
        <v>0</v>
      </c>
      <c r="AJ97" s="39" t="n">
        <f aca="false">'Inputs &amp; Assumptions'!AJ$51/4*(AJ53-AJ64)</f>
        <v>0</v>
      </c>
      <c r="AK97" s="39" t="n">
        <f aca="false">'Inputs &amp; Assumptions'!AK$51/4*(AK53-AK64)</f>
        <v>0</v>
      </c>
      <c r="AL97" s="39" t="n">
        <f aca="false">'Inputs &amp; Assumptions'!AL$51/4*(AL53-AL64)</f>
        <v>0</v>
      </c>
      <c r="AM97" s="39" t="n">
        <f aca="false">'Inputs &amp; Assumptions'!AM$51/4*(AM53-AM64)</f>
        <v>0</v>
      </c>
      <c r="AN97" s="39" t="n">
        <f aca="false">'Inputs &amp; Assumptions'!AN$51/4*(AN53-AN64)</f>
        <v>0</v>
      </c>
    </row>
    <row r="98" customFormat="false" ht="15" hidden="false" customHeight="false" outlineLevel="0" collapsed="false">
      <c r="B98" s="37" t="n">
        <v>11</v>
      </c>
      <c r="C98" s="38" t="n">
        <f aca="false">'Inputs &amp; Assumptions'!$C$150</f>
        <v>10</v>
      </c>
      <c r="D98" s="38" t="n">
        <f aca="false">'Inputs &amp; Assumptions'!$D$150</f>
        <v>2</v>
      </c>
      <c r="E98" s="39" t="n">
        <f aca="false">'Inputs &amp; Assumptions'!E$51/4*(E54-E65)</f>
        <v>604273.043794105</v>
      </c>
      <c r="F98" s="39" t="n">
        <f aca="false">'Inputs &amp; Assumptions'!F$51/4*(F54-F65)</f>
        <v>565483.663082192</v>
      </c>
      <c r="G98" s="39" t="n">
        <f aca="false">'Inputs &amp; Assumptions'!G$51/4*(G54-G65)</f>
        <v>530199.336395359</v>
      </c>
      <c r="H98" s="39" t="n">
        <f aca="false">'Inputs &amp; Assumptions'!H$51/4*(H54-H65)</f>
        <v>497116.636017158</v>
      </c>
      <c r="I98" s="39" t="n">
        <f aca="false">'Inputs &amp; Assumptions'!I$51/4*(I54-I65)</f>
        <v>466098.187683772</v>
      </c>
      <c r="J98" s="39" t="n">
        <f aca="false">'Inputs &amp; Assumptions'!J$51/4*(J54-J65)</f>
        <v>437015.188835078</v>
      </c>
      <c r="K98" s="39" t="n">
        <f aca="false">'Inputs &amp; Assumptions'!K$51/4*(K54-K65)</f>
        <v>410438.455805478</v>
      </c>
      <c r="L98" s="39" t="n">
        <f aca="false">'Inputs &amp; Assumptions'!L$51/4*(L54-L65)</f>
        <v>385477.965772854</v>
      </c>
      <c r="M98" s="39" t="n">
        <f aca="false">'Inputs &amp; Assumptions'!M$51/4*(M54-M65)</f>
        <v>362035.428197793</v>
      </c>
      <c r="N98" s="39" t="n">
        <f aca="false">'Inputs &amp; Assumptions'!N$51/4*(N54-N65)</f>
        <v>340018.530002292</v>
      </c>
      <c r="O98" s="39" t="n">
        <f aca="false">'Inputs &amp; Assumptions'!O$51/4*(O54-O65)</f>
        <v>319701.97149038</v>
      </c>
      <c r="P98" s="39" t="n">
        <f aca="false">'Inputs &amp; Assumptions'!P$51/4*(P54-P65)</f>
        <v>300599.354317975</v>
      </c>
      <c r="Q98" s="39" t="n">
        <f aca="false">'Inputs &amp; Assumptions'!Q$51/4*(Q54-Q65)</f>
        <v>282638.143878641</v>
      </c>
      <c r="R98" s="39" t="n">
        <f aca="false">'Inputs &amp; Assumptions'!R$51/4*(R54-R65)</f>
        <v>265750.139604962</v>
      </c>
      <c r="S98" s="39" t="n">
        <f aca="false">'Inputs &amp; Assumptions'!S$51/4*(S54-S65)</f>
        <v>250128.569296162</v>
      </c>
      <c r="T98" s="39" t="n">
        <f aca="false">'Inputs &amp; Assumptions'!T$51/4*(T54-T65)</f>
        <v>235425.280570489</v>
      </c>
      <c r="U98" s="39" t="n">
        <f aca="false">'Inputs &amp; Assumptions'!U$51/4*(U54-U65)</f>
        <v>221586.294151262</v>
      </c>
      <c r="V98" s="39" t="n">
        <f aca="false">'Inputs &amp; Assumptions'!V$51/4*(V54-V65)</f>
        <v>208560.803821526</v>
      </c>
      <c r="W98" s="39" t="n">
        <f aca="false">'Inputs &amp; Assumptions'!W$51/4*(W54-W65)</f>
        <v>0</v>
      </c>
      <c r="X98" s="39" t="n">
        <f aca="false">'Inputs &amp; Assumptions'!X$51/4*(X54-X65)</f>
        <v>0</v>
      </c>
      <c r="Y98" s="39" t="n">
        <f aca="false">'Inputs &amp; Assumptions'!Y$51/4*(Y54-Y65)</f>
        <v>0</v>
      </c>
      <c r="Z98" s="39" t="n">
        <f aca="false">'Inputs &amp; Assumptions'!Z$51/4*(Z54-Z65)</f>
        <v>0</v>
      </c>
      <c r="AA98" s="39" t="n">
        <f aca="false">'Inputs &amp; Assumptions'!AA$51/4*(AA54-AA65)</f>
        <v>0</v>
      </c>
      <c r="AB98" s="39" t="n">
        <f aca="false">'Inputs &amp; Assumptions'!AB$51/4*(AB54-AB65)</f>
        <v>0</v>
      </c>
      <c r="AC98" s="39" t="n">
        <f aca="false">'Inputs &amp; Assumptions'!AC$51/4*(AC54-AC65)</f>
        <v>0</v>
      </c>
      <c r="AD98" s="39" t="n">
        <f aca="false">'Inputs &amp; Assumptions'!AD$51/4*(AD54-AD65)</f>
        <v>0</v>
      </c>
      <c r="AE98" s="39" t="n">
        <f aca="false">'Inputs &amp; Assumptions'!AE$51/4*(AE54-AE65)</f>
        <v>0</v>
      </c>
      <c r="AF98" s="39" t="n">
        <f aca="false">'Inputs &amp; Assumptions'!AF$51/4*(AF54-AF65)</f>
        <v>0</v>
      </c>
      <c r="AG98" s="39" t="n">
        <f aca="false">'Inputs &amp; Assumptions'!AG$51/4*(AG54-AG65)</f>
        <v>0</v>
      </c>
      <c r="AH98" s="39" t="n">
        <f aca="false">'Inputs &amp; Assumptions'!AH$51/4*(AH54-AH65)</f>
        <v>0</v>
      </c>
      <c r="AI98" s="39" t="n">
        <f aca="false">'Inputs &amp; Assumptions'!AI$51/4*(AI54-AI65)</f>
        <v>0</v>
      </c>
      <c r="AJ98" s="39" t="n">
        <f aca="false">'Inputs &amp; Assumptions'!AJ$51/4*(AJ54-AJ65)</f>
        <v>0</v>
      </c>
      <c r="AK98" s="39" t="n">
        <f aca="false">'Inputs &amp; Assumptions'!AK$51/4*(AK54-AK65)</f>
        <v>0</v>
      </c>
      <c r="AL98" s="39" t="n">
        <f aca="false">'Inputs &amp; Assumptions'!AL$51/4*(AL54-AL65)</f>
        <v>0</v>
      </c>
      <c r="AM98" s="39" t="n">
        <f aca="false">'Inputs &amp; Assumptions'!AM$51/4*(AM54-AM65)</f>
        <v>0</v>
      </c>
      <c r="AN98" s="39" t="n">
        <f aca="false">'Inputs &amp; Assumptions'!AN$51/4*(AN54-AN65)</f>
        <v>0</v>
      </c>
    </row>
    <row r="99" customFormat="false" ht="15" hidden="false" customHeight="false" outlineLevel="0" collapsed="false">
      <c r="A99" s="12" t="s">
        <v>131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customFormat="false" ht="15" hidden="false" customHeight="false" outlineLevel="0" collapsed="false">
      <c r="A100" s="5" t="s">
        <v>132</v>
      </c>
      <c r="E100" s="39" t="n">
        <f aca="false">SUM(E44:E54)</f>
        <v>567374870.33916</v>
      </c>
      <c r="F100" s="39" t="n">
        <f aca="false">SUM(F44:F54)</f>
        <v>536784399.269557</v>
      </c>
      <c r="G100" s="39" t="n">
        <f aca="false">SUM(G44:G54)</f>
        <v>506195899.938778</v>
      </c>
      <c r="H100" s="39" t="n">
        <f aca="false">SUM(H44:H54)</f>
        <v>475787188.136534</v>
      </c>
      <c r="I100" s="39" t="n">
        <f aca="false">SUM(I44:I54)</f>
        <v>445686210.370844</v>
      </c>
      <c r="J100" s="39" t="n">
        <f aca="false">SUM(J44:J54)</f>
        <v>417080763.669223</v>
      </c>
      <c r="K100" s="39" t="n">
        <f aca="false">SUM(K44:K54)</f>
        <v>390432478.807512</v>
      </c>
      <c r="L100" s="39" t="n">
        <f aca="false">SUM(L44:L54)</f>
        <v>365639420.544409</v>
      </c>
      <c r="M100" s="39" t="n">
        <f aca="false">SUM(M44:M54)</f>
        <v>342585276.910871</v>
      </c>
      <c r="N100" s="39" t="n">
        <f aca="false">SUM(N44:N54)</f>
        <v>321113289.033745</v>
      </c>
      <c r="O100" s="39" t="n">
        <f aca="false">SUM(O44:O54)</f>
        <v>301096590.822734</v>
      </c>
      <c r="P100" s="39" t="n">
        <f aca="false">SUM(P44:P54)</f>
        <v>282451942.232389</v>
      </c>
      <c r="Q100" s="39" t="n">
        <f aca="false">SUM(Q44:Q54)</f>
        <v>265090732.705127</v>
      </c>
      <c r="R100" s="39" t="n">
        <f aca="false">SUM(R44:R54)</f>
        <v>248884306.582262</v>
      </c>
      <c r="S100" s="39" t="n">
        <f aca="false">SUM(S44:S54)</f>
        <v>233735541.217402</v>
      </c>
      <c r="T100" s="39" t="n">
        <f aca="false">SUM(T44:T54)</f>
        <v>219586639.324748</v>
      </c>
      <c r="U100" s="39" t="n">
        <f aca="false">SUM(U44:U54)</f>
        <v>206375706.590773</v>
      </c>
      <c r="V100" s="39" t="n">
        <f aca="false">SUM(V44:V54)</f>
        <v>194013202.076293</v>
      </c>
      <c r="W100" s="39" t="n">
        <f aca="false">SUM(W44:W54)</f>
        <v>171669329.007857</v>
      </c>
      <c r="X100" s="39" t="n">
        <f aca="false">SUM(X44:X54)</f>
        <v>145875993.360773</v>
      </c>
      <c r="Y100" s="39" t="n">
        <f aca="false">SUM(Y44:Y54)</f>
        <v>122192401.555031</v>
      </c>
      <c r="Z100" s="39" t="n">
        <f aca="false">SUM(Z44:Z54)</f>
        <v>100475707.746499</v>
      </c>
      <c r="AA100" s="39" t="n">
        <f aca="false">SUM(AA44:AA54)</f>
        <v>80581644.3560378</v>
      </c>
      <c r="AB100" s="39" t="n">
        <f aca="false">SUM(AB44:AB54)</f>
        <v>62382225.0854562</v>
      </c>
      <c r="AC100" s="39" t="n">
        <f aca="false">SUM(AC44:AC54)</f>
        <v>45757802.2280173</v>
      </c>
      <c r="AD100" s="39" t="n">
        <f aca="false">SUM(AD44:AD54)</f>
        <v>30552561.9020486</v>
      </c>
      <c r="AE100" s="39" t="n">
        <f aca="false">SUM(AE44:AE54)</f>
        <v>16663396.569404</v>
      </c>
      <c r="AF100" s="39" t="n">
        <f aca="false">SUM(AF44:AF54)</f>
        <v>3998696.39761629</v>
      </c>
      <c r="AG100" s="39" t="n">
        <f aca="false">SUM(AG44:AG54)</f>
        <v>0</v>
      </c>
      <c r="AH100" s="39" t="n">
        <f aca="false">SUM(AH44:AH54)</f>
        <v>0</v>
      </c>
      <c r="AI100" s="39" t="n">
        <f aca="false">SUM(AI44:AI54)</f>
        <v>0</v>
      </c>
      <c r="AJ100" s="39" t="n">
        <f aca="false">SUM(AJ44:AJ54)</f>
        <v>0</v>
      </c>
      <c r="AK100" s="39" t="n">
        <f aca="false">SUM(AK44:AK54)</f>
        <v>0</v>
      </c>
      <c r="AL100" s="39" t="n">
        <f aca="false">SUM(AL44:AL54)</f>
        <v>0</v>
      </c>
      <c r="AM100" s="39" t="n">
        <f aca="false">SUM(AM44:AM54)</f>
        <v>0</v>
      </c>
      <c r="AN100" s="39" t="n">
        <f aca="false">SUM(AN44:AN54)</f>
        <v>0</v>
      </c>
    </row>
    <row r="101" customFormat="false" ht="15" hidden="false" customHeight="false" outlineLevel="0" collapsed="false">
      <c r="A101" s="5" t="s">
        <v>133</v>
      </c>
      <c r="E101" s="39" t="n">
        <f aca="false">SUM(E66:E76)</f>
        <v>10908285.3544481</v>
      </c>
      <c r="F101" s="39" t="n">
        <f aca="false">SUM(F66:F76)</f>
        <v>11922844.5358011</v>
      </c>
      <c r="G101" s="39" t="n">
        <f aca="false">SUM(G66:G76)</f>
        <v>12816094.8162953</v>
      </c>
      <c r="H101" s="39" t="n">
        <f aca="false">SUM(H66:H76)</f>
        <v>13598409.3663281</v>
      </c>
      <c r="I101" s="39" t="n">
        <f aca="false">SUM(I66:I76)</f>
        <v>13243691.422417</v>
      </c>
      <c r="J101" s="39" t="n">
        <f aca="false">SUM(J66:J76)</f>
        <v>12397520.3870032</v>
      </c>
      <c r="K101" s="39" t="n">
        <f aca="false">SUM(K66:K76)</f>
        <v>11610258.9219433</v>
      </c>
      <c r="L101" s="39" t="n">
        <f aca="false">SUM(L66:L76)</f>
        <v>10878213.7381649</v>
      </c>
      <c r="M101" s="39" t="n">
        <f aca="false">SUM(M66:M76)</f>
        <v>10196407.223837</v>
      </c>
      <c r="N101" s="39" t="n">
        <f aca="false">SUM(N66:N76)</f>
        <v>9560810.96168833</v>
      </c>
      <c r="O101" s="39" t="n">
        <f aca="false">SUM(O66:O76)</f>
        <v>8968781.80542218</v>
      </c>
      <c r="P101" s="39" t="n">
        <f aca="false">SUM(P66:P76)</f>
        <v>8417506.0772485</v>
      </c>
      <c r="Q101" s="39" t="n">
        <f aca="false">SUM(Q66:Q76)</f>
        <v>7902898.53519066</v>
      </c>
      <c r="R101" s="39" t="n">
        <f aca="false">SUM(R66:R76)</f>
        <v>7421875.21453252</v>
      </c>
      <c r="S101" s="39" t="n">
        <f aca="false">SUM(S66:S76)</f>
        <v>6972600.86060675</v>
      </c>
      <c r="T101" s="39" t="n">
        <f aca="false">SUM(T66:T76)</f>
        <v>6553110.12458748</v>
      </c>
      <c r="U101" s="39" t="n">
        <f aca="false">SUM(U66:U76)</f>
        <v>6160559.78599682</v>
      </c>
      <c r="V101" s="39" t="n">
        <f aca="false">SUM(V66:V76)</f>
        <v>16841608.9347927</v>
      </c>
      <c r="W101" s="39" t="n">
        <f aca="false">SUM(W66:W76)</f>
        <v>21115593.1036239</v>
      </c>
      <c r="X101" s="39" t="n">
        <f aca="false">SUM(X66:X76)</f>
        <v>19782527.4894692</v>
      </c>
      <c r="Y101" s="39" t="n">
        <f aca="false">SUM(Y66:Y76)</f>
        <v>18513811.4633304</v>
      </c>
      <c r="Z101" s="39" t="n">
        <f aca="false">SUM(Z66:Z76)</f>
        <v>17324061.1201067</v>
      </c>
      <c r="AA101" s="39" t="n">
        <f aca="false">SUM(AA66:AA76)</f>
        <v>16208444.3727905</v>
      </c>
      <c r="AB101" s="39" t="n">
        <f aca="false">SUM(AB66:AB76)</f>
        <v>15162421.8849033</v>
      </c>
      <c r="AC101" s="39" t="n">
        <f aca="false">SUM(AC66:AC76)</f>
        <v>14217053.8098917</v>
      </c>
      <c r="AD101" s="39" t="n">
        <f aca="false">SUM(AD66:AD76)</f>
        <v>13329081.7560021</v>
      </c>
      <c r="AE101" s="39" t="n">
        <f aca="false">SUM(AE66:AE76)</f>
        <v>12495070.2586898</v>
      </c>
      <c r="AF101" s="39" t="n">
        <f aca="false">SUM(AF66:AF76)</f>
        <v>3983601.31871529</v>
      </c>
      <c r="AG101" s="39" t="n">
        <f aca="false">SUM(AG66:AG76)</f>
        <v>0</v>
      </c>
      <c r="AH101" s="39" t="n">
        <f aca="false">SUM(AH66:AH76)</f>
        <v>0</v>
      </c>
      <c r="AI101" s="39" t="n">
        <f aca="false">SUM(AI66:AI76)</f>
        <v>0</v>
      </c>
      <c r="AJ101" s="39" t="n">
        <f aca="false">SUM(AJ66:AJ76)</f>
        <v>0</v>
      </c>
      <c r="AK101" s="39" t="n">
        <f aca="false">SUM(AK66:AK76)</f>
        <v>0</v>
      </c>
      <c r="AL101" s="39" t="n">
        <f aca="false">SUM(AL66:AL76)</f>
        <v>0</v>
      </c>
      <c r="AM101" s="39" t="n">
        <f aca="false">SUM(AM66:AM76)</f>
        <v>0</v>
      </c>
      <c r="AN101" s="39" t="n">
        <f aca="false">SUM(AN66:AN76)</f>
        <v>0</v>
      </c>
    </row>
    <row r="102" customFormat="false" ht="15" hidden="false" customHeight="false" outlineLevel="0" collapsed="false">
      <c r="A102" s="5" t="s">
        <v>129</v>
      </c>
      <c r="E102" s="39" t="n">
        <f aca="false">SUM(E77:E87)</f>
        <v>14326827.1909326</v>
      </c>
      <c r="F102" s="39" t="n">
        <f aca="false">SUM(F77:F87)</f>
        <v>13510417.2048407</v>
      </c>
      <c r="G102" s="39" t="n">
        <f aca="false">SUM(G77:G87)</f>
        <v>12698805.7651594</v>
      </c>
      <c r="H102" s="39" t="n">
        <f aca="false">SUM(H77:H87)</f>
        <v>11895407.7764809</v>
      </c>
      <c r="I102" s="39" t="n">
        <f aca="false">SUM(I77:I87)</f>
        <v>11131925.6555935</v>
      </c>
      <c r="J102" s="39" t="n">
        <f aca="false">SUM(J77:J87)</f>
        <v>10420680.3722582</v>
      </c>
      <c r="K102" s="39" t="n">
        <f aca="false">SUM(K77:K87)</f>
        <v>9758951.26509049</v>
      </c>
      <c r="L102" s="39" t="n">
        <f aca="false">SUM(L77:L87)</f>
        <v>9143633.95646136</v>
      </c>
      <c r="M102" s="39" t="n">
        <f aca="false">SUM(M77:M87)</f>
        <v>8570544.53698496</v>
      </c>
      <c r="N102" s="39" t="n">
        <f aca="false">SUM(N77:N87)</f>
        <v>8036296.93852189</v>
      </c>
      <c r="O102" s="39" t="n">
        <f aca="false">SUM(O77:O87)</f>
        <v>7538669.47626139</v>
      </c>
      <c r="P102" s="39" t="n">
        <f aca="false">SUM(P77:P87)</f>
        <v>7075297.12590784</v>
      </c>
      <c r="Q102" s="39" t="n">
        <f aca="false">SUM(Q77:Q87)</f>
        <v>6642746.05556961</v>
      </c>
      <c r="R102" s="39" t="n">
        <f aca="false">SUM(R77:R87)</f>
        <v>6238424.05248296</v>
      </c>
      <c r="S102" s="39" t="n">
        <f aca="false">SUM(S77:S87)</f>
        <v>5860788.50153671</v>
      </c>
      <c r="T102" s="39" t="n">
        <f aca="false">SUM(T77:T87)</f>
        <v>5508187.43755598</v>
      </c>
      <c r="U102" s="39" t="n">
        <f aca="false">SUM(U77:U87)</f>
        <v>5178231.00427087</v>
      </c>
      <c r="V102" s="39" t="n">
        <f aca="false">SUM(V77:V87)</f>
        <v>4581870.88526737</v>
      </c>
      <c r="W102" s="39" t="n">
        <f aca="false">SUM(W77:W87)</f>
        <v>3893444.27861421</v>
      </c>
      <c r="X102" s="39" t="n">
        <f aca="false">SUM(X77:X87)</f>
        <v>3261326.93779138</v>
      </c>
      <c r="Y102" s="39" t="n">
        <f aca="false">SUM(Y77:Y87)</f>
        <v>2681706.29349433</v>
      </c>
      <c r="Z102" s="39" t="n">
        <f aca="false">SUM(Z77:Z87)</f>
        <v>2150731.83017452</v>
      </c>
      <c r="AA102" s="39" t="n">
        <f aca="false">SUM(AA77:AA87)</f>
        <v>1664987.58123628</v>
      </c>
      <c r="AB102" s="39" t="n">
        <f aca="false">SUM(AB77:AB87)</f>
        <v>1221280.13789102</v>
      </c>
      <c r="AC102" s="39" t="n">
        <f aca="false">SUM(AC77:AC87)</f>
        <v>815450.812666243</v>
      </c>
      <c r="AD102" s="39" t="n">
        <f aca="false">SUM(AD77:AD87)</f>
        <v>444747.655462218</v>
      </c>
      <c r="AE102" s="39" t="n">
        <f aca="false">SUM(AE77:AE87)</f>
        <v>106725.591048492</v>
      </c>
      <c r="AF102" s="39" t="n">
        <f aca="false">SUM(AF77:AF87)</f>
        <v>0</v>
      </c>
      <c r="AG102" s="39" t="n">
        <f aca="false">SUM(AG77:AG87)</f>
        <v>0</v>
      </c>
      <c r="AH102" s="39" t="n">
        <f aca="false">SUM(AH77:AH87)</f>
        <v>0</v>
      </c>
      <c r="AI102" s="39" t="n">
        <f aca="false">SUM(AI77:AI87)</f>
        <v>0</v>
      </c>
      <c r="AJ102" s="39" t="n">
        <f aca="false">SUM(AJ77:AJ87)</f>
        <v>0</v>
      </c>
      <c r="AK102" s="39" t="n">
        <f aca="false">SUM(AK77:AK87)</f>
        <v>0</v>
      </c>
      <c r="AL102" s="39" t="n">
        <f aca="false">SUM(AL77:AL87)</f>
        <v>0</v>
      </c>
      <c r="AM102" s="39" t="n">
        <f aca="false">SUM(AM77:AM87)</f>
        <v>0</v>
      </c>
      <c r="AN102" s="39" t="n">
        <f aca="false">SUM(AN77:AN87)</f>
        <v>0</v>
      </c>
    </row>
    <row r="103" customFormat="false" ht="15" hidden="false" customHeight="false" outlineLevel="0" collapsed="false">
      <c r="A103" s="5" t="s">
        <v>128</v>
      </c>
      <c r="E103" s="39" t="n">
        <f aca="false">SUM(E55:E65)</f>
        <v>5355358.52422202</v>
      </c>
      <c r="F103" s="39" t="n">
        <f aca="false">SUM(F55:F65)</f>
        <v>5155237.59013769</v>
      </c>
      <c r="G103" s="39" t="n">
        <f aca="false">SUM(G55:G65)</f>
        <v>4893811.2207886</v>
      </c>
      <c r="H103" s="39" t="n">
        <f aca="false">SUM(H55:H65)</f>
        <v>4607160.62288176</v>
      </c>
      <c r="I103" s="39" t="n">
        <f aca="false">SUM(I55:I65)</f>
        <v>4229829.62361052</v>
      </c>
      <c r="J103" s="39" t="n">
        <f aca="false">SUM(J55:J65)</f>
        <v>3830084.10244965</v>
      </c>
      <c r="K103" s="39" t="n">
        <f aca="false">SUM(K55:K65)</f>
        <v>3423848.07606852</v>
      </c>
      <c r="L103" s="39" t="n">
        <f aca="false">SUM(L55:L65)</f>
        <v>3032295.93891243</v>
      </c>
      <c r="M103" s="39" t="n">
        <f aca="false">SUM(M55:M65)</f>
        <v>2705036.11630364</v>
      </c>
      <c r="N103" s="39" t="n">
        <f aca="false">SUM(N55:N65)</f>
        <v>2419590.31080058</v>
      </c>
      <c r="O103" s="39" t="n">
        <f aca="false">SUM(O55:O65)</f>
        <v>2137197.30866163</v>
      </c>
      <c r="P103" s="39" t="n">
        <f aca="false">SUM(P55:P65)</f>
        <v>1868406.32410556</v>
      </c>
      <c r="Q103" s="39" t="n">
        <f aca="false">SUM(Q55:Q65)</f>
        <v>1660781.53210503</v>
      </c>
      <c r="R103" s="39" t="n">
        <f aca="false">SUM(R55:R65)</f>
        <v>1488466.09784437</v>
      </c>
      <c r="S103" s="39" t="n">
        <f aca="false">SUM(S55:S65)</f>
        <v>1315512.5305104</v>
      </c>
      <c r="T103" s="39" t="n">
        <f aca="false">SUM(T55:T65)</f>
        <v>1149635.17183198</v>
      </c>
      <c r="U103" s="39" t="n">
        <f aca="false">SUM(U55:U65)</f>
        <v>1023713.72421201</v>
      </c>
      <c r="V103" s="39" t="n">
        <f aca="false">SUM(V55:V65)</f>
        <v>920393.248375712</v>
      </c>
      <c r="W103" s="39" t="n">
        <f aca="false">SUM(W55:W65)</f>
        <v>784298.26484634</v>
      </c>
      <c r="X103" s="39" t="n">
        <f aca="false">SUM(X55:X65)</f>
        <v>639737.378481242</v>
      </c>
      <c r="Y103" s="39" t="n">
        <f aca="false">SUM(Y55:Y65)</f>
        <v>521176.051706912</v>
      </c>
      <c r="Z103" s="39" t="n">
        <f aca="false">SUM(Z55:Z65)</f>
        <v>419270.440180209</v>
      </c>
      <c r="AA103" s="39" t="n">
        <f aca="false">SUM(AA55:AA65)</f>
        <v>325987.316554838</v>
      </c>
      <c r="AB103" s="39" t="n">
        <f aca="false">SUM(AB55:AB65)</f>
        <v>240720.83464451</v>
      </c>
      <c r="AC103" s="39" t="n">
        <f aca="false">SUM(AC55:AC65)</f>
        <v>172735.703410765</v>
      </c>
      <c r="AD103" s="39" t="n">
        <f aca="false">SUM(AD55:AD65)</f>
        <v>115335.921180233</v>
      </c>
      <c r="AE103" s="39" t="n">
        <f aca="false">SUM(AE55:AE65)</f>
        <v>62904.3220495003</v>
      </c>
      <c r="AF103" s="39" t="n">
        <f aca="false">SUM(AF55:AF65)</f>
        <v>15095.0789010015</v>
      </c>
      <c r="AG103" s="39" t="n">
        <f aca="false">SUM(AG55:AG65)</f>
        <v>0</v>
      </c>
      <c r="AH103" s="39" t="n">
        <f aca="false">SUM(AH55:AH65)</f>
        <v>0</v>
      </c>
      <c r="AI103" s="39" t="n">
        <f aca="false">SUM(AI55:AI65)</f>
        <v>0</v>
      </c>
      <c r="AJ103" s="39" t="n">
        <f aca="false">SUM(AJ55:AJ65)</f>
        <v>0</v>
      </c>
      <c r="AK103" s="39" t="n">
        <f aca="false">SUM(AK55:AK65)</f>
        <v>0</v>
      </c>
      <c r="AL103" s="39" t="n">
        <f aca="false">SUM(AL55:AL65)</f>
        <v>0</v>
      </c>
      <c r="AM103" s="39" t="n">
        <f aca="false">SUM(AM55:AM65)</f>
        <v>0</v>
      </c>
      <c r="AN103" s="39" t="n">
        <f aca="false">SUM(AN55:AN65)</f>
        <v>0</v>
      </c>
    </row>
    <row r="104" customFormat="false" ht="15" hidden="false" customHeight="false" outlineLevel="0" collapsed="false">
      <c r="A104" s="5" t="s">
        <v>134</v>
      </c>
      <c r="E104" s="39" t="n">
        <v>0</v>
      </c>
      <c r="F104" s="39" t="n">
        <v>0</v>
      </c>
      <c r="G104" s="39" t="n">
        <v>0</v>
      </c>
      <c r="H104" s="39" t="n">
        <v>0</v>
      </c>
      <c r="I104" s="39" t="n">
        <v>0</v>
      </c>
      <c r="J104" s="39" t="n">
        <v>0</v>
      </c>
      <c r="K104" s="39" t="n">
        <v>0</v>
      </c>
      <c r="L104" s="39" t="n">
        <v>0</v>
      </c>
      <c r="M104" s="39" t="n">
        <f aca="false">'Inputs &amp; Assumptions'!$E$58*E103</f>
        <v>3213215.11453321</v>
      </c>
      <c r="N104" s="39" t="n">
        <f aca="false">'Inputs &amp; Assumptions'!$E$58*F103</f>
        <v>3093142.55408262</v>
      </c>
      <c r="O104" s="39" t="n">
        <f aca="false">'Inputs &amp; Assumptions'!$E$58*G103</f>
        <v>2936286.73247316</v>
      </c>
      <c r="P104" s="39" t="n">
        <f aca="false">'Inputs &amp; Assumptions'!$E$58*H103</f>
        <v>2764296.37372906</v>
      </c>
      <c r="Q104" s="39" t="n">
        <f aca="false">'Inputs &amp; Assumptions'!$E$58*I103</f>
        <v>2537897.77416631</v>
      </c>
      <c r="R104" s="39" t="n">
        <f aca="false">'Inputs &amp; Assumptions'!$E$58*J103</f>
        <v>2298050.46146979</v>
      </c>
      <c r="S104" s="39" t="n">
        <f aca="false">'Inputs &amp; Assumptions'!$E$58*K103</f>
        <v>2054308.84564111</v>
      </c>
      <c r="T104" s="39" t="n">
        <f aca="false">'Inputs &amp; Assumptions'!$E$58*L103</f>
        <v>1819377.56334746</v>
      </c>
      <c r="U104" s="39" t="n">
        <f aca="false">'Inputs &amp; Assumptions'!$E$58*M103</f>
        <v>1623021.66978218</v>
      </c>
      <c r="V104" s="39" t="n">
        <f aca="false">'Inputs &amp; Assumptions'!$E$58*N103</f>
        <v>1451754.18648035</v>
      </c>
      <c r="W104" s="39" t="n">
        <f aca="false">'Inputs &amp; Assumptions'!$E$58*O103</f>
        <v>1282318.38519698</v>
      </c>
      <c r="X104" s="39" t="n">
        <f aca="false">'Inputs &amp; Assumptions'!$E$58*P103</f>
        <v>1121043.79446333</v>
      </c>
      <c r="Y104" s="39" t="n">
        <f aca="false">'Inputs &amp; Assumptions'!$E$58*Q103</f>
        <v>996468.919263016</v>
      </c>
      <c r="Z104" s="39" t="n">
        <f aca="false">'Inputs &amp; Assumptions'!$E$58*R103</f>
        <v>893079.658706623</v>
      </c>
      <c r="AA104" s="39" t="n">
        <f aca="false">'Inputs &amp; Assumptions'!$E$58*S103</f>
        <v>789307.518306241</v>
      </c>
      <c r="AB104" s="39" t="n">
        <f aca="false">'Inputs &amp; Assumptions'!$E$58*T103</f>
        <v>689781.103099186</v>
      </c>
      <c r="AC104" s="39" t="n">
        <f aca="false">'Inputs &amp; Assumptions'!$E$58*U103</f>
        <v>614228.234527208</v>
      </c>
      <c r="AD104" s="39" t="n">
        <f aca="false">'Inputs &amp; Assumptions'!$E$58*V103</f>
        <v>552235.949025427</v>
      </c>
      <c r="AE104" s="39" t="n">
        <f aca="false">'Inputs &amp; Assumptions'!$E$58*W103</f>
        <v>470578.958907804</v>
      </c>
      <c r="AF104" s="39" t="n">
        <f aca="false">'Inputs &amp; Assumptions'!$E$58*X103</f>
        <v>383842.427088745</v>
      </c>
      <c r="AG104" s="39" t="n">
        <f aca="false">'Inputs &amp; Assumptions'!$E$58*Y103</f>
        <v>312705.631024147</v>
      </c>
      <c r="AH104" s="39" t="n">
        <f aca="false">'Inputs &amp; Assumptions'!$E$58*Z103</f>
        <v>251562.264108125</v>
      </c>
      <c r="AI104" s="39" t="n">
        <f aca="false">'Inputs &amp; Assumptions'!$E$58*AA103</f>
        <v>195592.389932903</v>
      </c>
      <c r="AJ104" s="39" t="n">
        <f aca="false">'Inputs &amp; Assumptions'!$E$58*AB103</f>
        <v>144432.500786706</v>
      </c>
      <c r="AK104" s="39" t="n">
        <f aca="false">'Inputs &amp; Assumptions'!$E$58*AC103</f>
        <v>103641.422046459</v>
      </c>
      <c r="AL104" s="39" t="n">
        <f aca="false">'Inputs &amp; Assumptions'!$E$58*AD103</f>
        <v>69201.5527081401</v>
      </c>
      <c r="AM104" s="39" t="n">
        <f aca="false">'Inputs &amp; Assumptions'!$E$58*AE103</f>
        <v>37742.5932297002</v>
      </c>
      <c r="AN104" s="39" t="n">
        <f aca="false">'Inputs &amp; Assumptions'!$E$58*AF103</f>
        <v>9057.0473406009</v>
      </c>
    </row>
    <row r="105" customFormat="false" ht="15" hidden="false" customHeight="false" outlineLevel="0" collapsed="false">
      <c r="A105" s="14" t="s">
        <v>135</v>
      </c>
      <c r="E105" s="40" t="n">
        <f aca="false">E101+E102+E104</f>
        <v>25235112.5453807</v>
      </c>
      <c r="F105" s="40" t="n">
        <f aca="false">F101+F102+F104</f>
        <v>25433261.7406418</v>
      </c>
      <c r="G105" s="40" t="n">
        <f aca="false">G101+G102+G104</f>
        <v>25514900.5814547</v>
      </c>
      <c r="H105" s="40" t="n">
        <f aca="false">H101+H102+H104</f>
        <v>25493817.142809</v>
      </c>
      <c r="I105" s="40" t="n">
        <f aca="false">I101+I102+I104</f>
        <v>24375617.0780105</v>
      </c>
      <c r="J105" s="40" t="n">
        <f aca="false">J101+J102+J104</f>
        <v>22818200.7592614</v>
      </c>
      <c r="K105" s="40" t="n">
        <f aca="false">K101+K102+K104</f>
        <v>21369210.1870338</v>
      </c>
      <c r="L105" s="40" t="n">
        <f aca="false">L101+L102+L104</f>
        <v>20021847.6946263</v>
      </c>
      <c r="M105" s="40" t="n">
        <f aca="false">M101+M102+M104</f>
        <v>21980166.8753552</v>
      </c>
      <c r="N105" s="40" t="n">
        <f aca="false">N101+N102+N104</f>
        <v>20690250.4542928</v>
      </c>
      <c r="O105" s="40" t="n">
        <f aca="false">O101+O102+O104</f>
        <v>19443738.0141567</v>
      </c>
      <c r="P105" s="40" t="n">
        <f aca="false">P101+P102+P104</f>
        <v>18257099.5768854</v>
      </c>
      <c r="Q105" s="40" t="n">
        <f aca="false">Q101+Q102+Q104</f>
        <v>17083542.3649266</v>
      </c>
      <c r="R105" s="40" t="n">
        <f aca="false">R101+R102+R104</f>
        <v>15958349.7284853</v>
      </c>
      <c r="S105" s="40" t="n">
        <f aca="false">S101+S102+S104</f>
        <v>14887698.2077846</v>
      </c>
      <c r="T105" s="40" t="n">
        <f aca="false">T101+T102+T104</f>
        <v>13880675.1254909</v>
      </c>
      <c r="U105" s="40" t="n">
        <f aca="false">U101+U102+U104</f>
        <v>12961812.4600499</v>
      </c>
      <c r="V105" s="40" t="n">
        <f aca="false">V101+V102+V104</f>
        <v>22875234.0065405</v>
      </c>
      <c r="W105" s="40" t="n">
        <f aca="false">W101+W102+W104</f>
        <v>26291355.767435</v>
      </c>
      <c r="X105" s="40" t="n">
        <f aca="false">X101+X102+X104</f>
        <v>24164898.2217239</v>
      </c>
      <c r="Y105" s="40" t="n">
        <f aca="false">Y101+Y102+Y104</f>
        <v>22191986.6760878</v>
      </c>
      <c r="Z105" s="40" t="n">
        <f aca="false">Z101+Z102+Z104</f>
        <v>20367872.6089879</v>
      </c>
      <c r="AA105" s="40" t="n">
        <f aca="false">AA101+AA102+AA104</f>
        <v>18662739.472333</v>
      </c>
      <c r="AB105" s="40" t="n">
        <f aca="false">AB101+AB102+AB104</f>
        <v>17073483.1258935</v>
      </c>
      <c r="AC105" s="40" t="n">
        <f aca="false">AC101+AC102+AC104</f>
        <v>15646732.8570852</v>
      </c>
      <c r="AD105" s="40" t="n">
        <f aca="false">AD101+AD102+AD104</f>
        <v>14326065.3604897</v>
      </c>
      <c r="AE105" s="40" t="n">
        <f aca="false">AE101+AE102+AE104</f>
        <v>13072374.8086461</v>
      </c>
      <c r="AF105" s="40" t="n">
        <f aca="false">AF101+AF102+AF104</f>
        <v>4367443.74580403</v>
      </c>
      <c r="AG105" s="40" t="n">
        <f aca="false">AG101+AG102+AG104</f>
        <v>312705.631024147</v>
      </c>
      <c r="AH105" s="40" t="n">
        <f aca="false">AH101+AH102+AH104</f>
        <v>251562.264108125</v>
      </c>
      <c r="AI105" s="40" t="n">
        <f aca="false">AI101+AI102+AI104</f>
        <v>195592.389932903</v>
      </c>
      <c r="AJ105" s="40" t="n">
        <f aca="false">AJ101+AJ102+AJ104</f>
        <v>144432.500786706</v>
      </c>
      <c r="AK105" s="40" t="n">
        <f aca="false">AK101+AK102+AK104</f>
        <v>103641.422046459</v>
      </c>
      <c r="AL105" s="40" t="n">
        <f aca="false">AL101+AL102+AL104</f>
        <v>69201.5527081401</v>
      </c>
      <c r="AM105" s="40" t="n">
        <f aca="false">AM101+AM102+AM104</f>
        <v>37742.5932297002</v>
      </c>
      <c r="AN105" s="40" t="n">
        <f aca="false">AN101+AN102+AN104</f>
        <v>9057.0473406009</v>
      </c>
    </row>
    <row r="106" customFormat="false" ht="15" hidden="false" customHeight="false" outlineLevel="0" collapsed="false">
      <c r="A106" s="14" t="s">
        <v>136</v>
      </c>
      <c r="E106" s="39" t="n">
        <f aca="false">SUM(E88:E98)</f>
        <v>10290577.2613315</v>
      </c>
      <c r="F106" s="39" t="n">
        <f aca="false">SUM(F88:F98)</f>
        <v>9734129.95035017</v>
      </c>
      <c r="G106" s="39" t="n">
        <f aca="false">SUM(G88:G98)</f>
        <v>9178841.24442638</v>
      </c>
      <c r="H106" s="39" t="n">
        <f aca="false">SUM(H88:H98)</f>
        <v>8627306.30377498</v>
      </c>
      <c r="I106" s="39" t="n">
        <f aca="false">SUM(I88:I98)</f>
        <v>8083066.33148184</v>
      </c>
      <c r="J106" s="39" t="n">
        <f aca="false">SUM(J88:J98)</f>
        <v>7566619.94286761</v>
      </c>
      <c r="K106" s="39" t="n">
        <f aca="false">SUM(K88:K98)</f>
        <v>7086128.02869272</v>
      </c>
      <c r="L106" s="39" t="n">
        <f aca="false">SUM(L88:L98)</f>
        <v>6639336.45152665</v>
      </c>
      <c r="M106" s="39" t="n">
        <f aca="false">SUM(M88:M98)</f>
        <v>6223207.20894852</v>
      </c>
      <c r="N106" s="39" t="n">
        <f aca="false">SUM(N88:N98)</f>
        <v>5835281.62361711</v>
      </c>
      <c r="O106" s="39" t="n">
        <f aca="false">SUM(O88:O98)</f>
        <v>5473946.49524267</v>
      </c>
      <c r="P106" s="39" t="n">
        <f aca="false">SUM(P88:P98)</f>
        <v>5137484.54248067</v>
      </c>
      <c r="Q106" s="39" t="n">
        <f aca="false">SUM(Q88:Q98)</f>
        <v>4823402.40597803</v>
      </c>
      <c r="R106" s="39" t="n">
        <f aca="false">SUM(R88:R98)</f>
        <v>4529817.83926968</v>
      </c>
      <c r="S106" s="39" t="n">
        <f aca="false">SUM(S88:S98)</f>
        <v>4255610.72525698</v>
      </c>
      <c r="T106" s="39" t="n">
        <f aca="false">SUM(T88:T98)</f>
        <v>3999581.54603989</v>
      </c>
      <c r="U106" s="39" t="n">
        <f aca="false">SUM(U88:U98)</f>
        <v>3759994.98938672</v>
      </c>
      <c r="V106" s="39" t="n">
        <f aca="false">SUM(V88:V98)</f>
        <v>3535529.32963916</v>
      </c>
      <c r="W106" s="39" t="n">
        <f aca="false">SUM(W88:W98)</f>
        <v>3128904.91290453</v>
      </c>
      <c r="X106" s="39" t="n">
        <f aca="false">SUM(X88:X98)</f>
        <v>2659275.84703576</v>
      </c>
      <c r="Y106" s="39" t="n">
        <f aca="false">SUM(Y88:Y98)</f>
        <v>2227800.13896586</v>
      </c>
      <c r="Z106" s="39" t="n">
        <f aca="false">SUM(Z88:Z98)</f>
        <v>1832033.3670787</v>
      </c>
      <c r="AA106" s="39" t="n">
        <f aca="false">SUM(AA88:AA98)</f>
        <v>1469481.08039293</v>
      </c>
      <c r="AB106" s="39" t="n">
        <f aca="false">SUM(AB88:AB98)</f>
        <v>1137810.94283236</v>
      </c>
      <c r="AC106" s="39" t="n">
        <f aca="false">SUM(AC88:AC98)</f>
        <v>834662.568065546</v>
      </c>
      <c r="AD106" s="39" t="n">
        <f aca="false">SUM(AD88:AD98)</f>
        <v>557305.6077097</v>
      </c>
      <c r="AE106" s="39" t="n">
        <f aca="false">SUM(AE88:AE98)</f>
        <v>303955.013049062</v>
      </c>
      <c r="AF106" s="39" t="n">
        <f aca="false">SUM(AF88:AF98)</f>
        <v>72939.7401456769</v>
      </c>
      <c r="AG106" s="39" t="n">
        <f aca="false">SUM(AG88:AG98)</f>
        <v>0</v>
      </c>
      <c r="AH106" s="39" t="n">
        <f aca="false">SUM(AH88:AH98)</f>
        <v>0</v>
      </c>
      <c r="AI106" s="39" t="n">
        <f aca="false">SUM(AI88:AI98)</f>
        <v>0</v>
      </c>
      <c r="AJ106" s="39" t="n">
        <f aca="false">SUM(AJ88:AJ98)</f>
        <v>0</v>
      </c>
      <c r="AK106" s="39" t="n">
        <f aca="false">SUM(AK88:AK98)</f>
        <v>0</v>
      </c>
      <c r="AL106" s="39" t="n">
        <f aca="false">SUM(AL88:AL98)</f>
        <v>0</v>
      </c>
      <c r="AM106" s="39" t="n">
        <f aca="false">SUM(AM88:AM98)</f>
        <v>0</v>
      </c>
      <c r="AN106" s="39" t="n">
        <f aca="false">SUM(AN88:AN98)</f>
        <v>0</v>
      </c>
    </row>
    <row r="107" customFormat="false" ht="15" hidden="false" customHeight="false" outlineLevel="0" collapsed="false">
      <c r="A107" s="14" t="s">
        <v>137</v>
      </c>
      <c r="E107" s="40" t="n">
        <f aca="false">E105+E106</f>
        <v>35525689.8067123</v>
      </c>
      <c r="F107" s="40" t="n">
        <f aca="false">F105+F106</f>
        <v>35167391.690992</v>
      </c>
      <c r="G107" s="40" t="n">
        <f aca="false">G105+G106</f>
        <v>34693741.8258811</v>
      </c>
      <c r="H107" s="40" t="n">
        <f aca="false">H105+H106</f>
        <v>34121123.446584</v>
      </c>
      <c r="I107" s="40" t="n">
        <f aca="false">I105+I106</f>
        <v>32458683.4094924</v>
      </c>
      <c r="J107" s="40" t="n">
        <f aca="false">J105+J106</f>
        <v>30384820.702129</v>
      </c>
      <c r="K107" s="40" t="n">
        <f aca="false">K105+K106</f>
        <v>28455338.2157265</v>
      </c>
      <c r="L107" s="40" t="n">
        <f aca="false">L105+L106</f>
        <v>26661184.1461529</v>
      </c>
      <c r="M107" s="40" t="n">
        <f aca="false">M105+M106</f>
        <v>28203374.0843037</v>
      </c>
      <c r="N107" s="40" t="n">
        <f aca="false">N105+N106</f>
        <v>26525532.07791</v>
      </c>
      <c r="O107" s="40" t="n">
        <f aca="false">O105+O106</f>
        <v>24917684.5093994</v>
      </c>
      <c r="P107" s="40" t="n">
        <f aca="false">P105+P106</f>
        <v>23394584.1193661</v>
      </c>
      <c r="Q107" s="40" t="n">
        <f aca="false">Q105+Q106</f>
        <v>21906944.7709046</v>
      </c>
      <c r="R107" s="40" t="n">
        <f aca="false">R105+R106</f>
        <v>20488167.567755</v>
      </c>
      <c r="S107" s="40" t="n">
        <f aca="false">S105+S106</f>
        <v>19143308.9330416</v>
      </c>
      <c r="T107" s="40" t="n">
        <f aca="false">T105+T106</f>
        <v>17880256.6715308</v>
      </c>
      <c r="U107" s="40" t="n">
        <f aca="false">U105+U106</f>
        <v>16721807.4494366</v>
      </c>
      <c r="V107" s="40" t="n">
        <f aca="false">V105+V106</f>
        <v>26410763.3361796</v>
      </c>
      <c r="W107" s="40" t="n">
        <f aca="false">W105+W106</f>
        <v>29420260.6803396</v>
      </c>
      <c r="X107" s="40" t="n">
        <f aca="false">X105+X106</f>
        <v>26824174.0687597</v>
      </c>
      <c r="Y107" s="40" t="n">
        <f aca="false">Y105+Y106</f>
        <v>24419786.8150536</v>
      </c>
      <c r="Z107" s="40" t="n">
        <f aca="false">Z105+Z106</f>
        <v>22199905.9760666</v>
      </c>
      <c r="AA107" s="40" t="n">
        <f aca="false">AA105+AA106</f>
        <v>20132220.5527259</v>
      </c>
      <c r="AB107" s="40" t="n">
        <f aca="false">AB105+AB106</f>
        <v>18211294.0687259</v>
      </c>
      <c r="AC107" s="40" t="n">
        <f aca="false">AC105+AC106</f>
        <v>16481395.4251507</v>
      </c>
      <c r="AD107" s="40" t="n">
        <f aca="false">AD105+AD106</f>
        <v>14883370.9681994</v>
      </c>
      <c r="AE107" s="40" t="n">
        <f aca="false">AE105+AE106</f>
        <v>13376329.8216951</v>
      </c>
      <c r="AF107" s="40" t="n">
        <f aca="false">AF105+AF106</f>
        <v>4440383.48594971</v>
      </c>
      <c r="AG107" s="40" t="n">
        <f aca="false">AG105+AG106</f>
        <v>312705.631024147</v>
      </c>
      <c r="AH107" s="40" t="n">
        <f aca="false">AH105+AH106</f>
        <v>251562.264108125</v>
      </c>
      <c r="AI107" s="40" t="n">
        <f aca="false">AI105+AI106</f>
        <v>195592.389932903</v>
      </c>
      <c r="AJ107" s="40" t="n">
        <f aca="false">AJ105+AJ106</f>
        <v>144432.500786706</v>
      </c>
      <c r="AK107" s="40" t="n">
        <f aca="false">AK105+AK106</f>
        <v>103641.422046459</v>
      </c>
      <c r="AL107" s="40" t="n">
        <f aca="false">AL105+AL106</f>
        <v>69201.5527081401</v>
      </c>
      <c r="AM107" s="40" t="n">
        <f aca="false">AM105+AM106</f>
        <v>37742.5932297002</v>
      </c>
      <c r="AN107" s="40" t="n">
        <f aca="false">AN105+AN106</f>
        <v>9057.0473406009</v>
      </c>
    </row>
    <row r="108" customFormat="false" ht="15" hidden="false" customHeight="false" outlineLevel="0" collapsed="false">
      <c r="A108" s="5" t="s">
        <v>138</v>
      </c>
      <c r="E108" s="43" t="n">
        <f aca="false">SUMPRODUCT(('Inputs &amp; Assumptions'!$E$140:$E$150&gt;=1)*'Inputs &amp; Assumptions'!$D$140:$D$150)</f>
        <v>30</v>
      </c>
      <c r="F108" s="43" t="n">
        <f aca="false">SUMPRODUCT(('Inputs &amp; Assumptions'!$E$140:$E$150&gt;=2)*'Inputs &amp; Assumptions'!$D$140:$D$150)</f>
        <v>30</v>
      </c>
      <c r="G108" s="43" t="n">
        <f aca="false">SUMPRODUCT(('Inputs &amp; Assumptions'!$E$140:$E$150&gt;=3)*'Inputs &amp; Assumptions'!$D$140:$D$150)</f>
        <v>30</v>
      </c>
      <c r="H108" s="43" t="n">
        <f aca="false">SUMPRODUCT(('Inputs &amp; Assumptions'!$E$140:$E$150&gt;=4)*'Inputs &amp; Assumptions'!$D$140:$D$150)</f>
        <v>30</v>
      </c>
      <c r="I108" s="43" t="n">
        <f aca="false">SUMPRODUCT(('Inputs &amp; Assumptions'!$E$140:$E$150&gt;=5)*'Inputs &amp; Assumptions'!$D$140:$D$150)</f>
        <v>30</v>
      </c>
      <c r="J108" s="43" t="n">
        <f aca="false">SUMPRODUCT(('Inputs &amp; Assumptions'!$E$140:$E$150&gt;=6)*'Inputs &amp; Assumptions'!$D$140:$D$150)</f>
        <v>30</v>
      </c>
      <c r="K108" s="43" t="n">
        <f aca="false">SUMPRODUCT(('Inputs &amp; Assumptions'!$E$140:$E$150&gt;=7)*'Inputs &amp; Assumptions'!$D$140:$D$150)</f>
        <v>30</v>
      </c>
      <c r="L108" s="43" t="n">
        <f aca="false">SUMPRODUCT(('Inputs &amp; Assumptions'!$E$140:$E$150&gt;=8)*'Inputs &amp; Assumptions'!$D$140:$D$150)</f>
        <v>30</v>
      </c>
      <c r="M108" s="43" t="n">
        <f aca="false">SUMPRODUCT(('Inputs &amp; Assumptions'!$E$140:$E$150&gt;=9)*'Inputs &amp; Assumptions'!$D$140:$D$150)</f>
        <v>30</v>
      </c>
      <c r="N108" s="43" t="n">
        <f aca="false">SUMPRODUCT(('Inputs &amp; Assumptions'!$E$140:$E$150&gt;=10)*'Inputs &amp; Assumptions'!$D$140:$D$150)</f>
        <v>30</v>
      </c>
      <c r="O108" s="43" t="n">
        <f aca="false">SUMPRODUCT(('Inputs &amp; Assumptions'!$E$140:$E$150&gt;=11)*'Inputs &amp; Assumptions'!$D$140:$D$150)</f>
        <v>30</v>
      </c>
      <c r="P108" s="43" t="n">
        <f aca="false">SUMPRODUCT(('Inputs &amp; Assumptions'!$E$140:$E$150&gt;=12)*'Inputs &amp; Assumptions'!$D$140:$D$150)</f>
        <v>30</v>
      </c>
      <c r="Q108" s="43" t="n">
        <f aca="false">SUMPRODUCT(('Inputs &amp; Assumptions'!$E$140:$E$150&gt;=13)*'Inputs &amp; Assumptions'!$D$140:$D$150)</f>
        <v>30</v>
      </c>
      <c r="R108" s="43" t="n">
        <f aca="false">SUMPRODUCT(('Inputs &amp; Assumptions'!$E$140:$E$150&gt;=14)*'Inputs &amp; Assumptions'!$D$140:$D$150)</f>
        <v>30</v>
      </c>
      <c r="S108" s="43" t="n">
        <f aca="false">SUMPRODUCT(('Inputs &amp; Assumptions'!$E$140:$E$150&gt;=15)*'Inputs &amp; Assumptions'!$D$140:$D$150)</f>
        <v>30</v>
      </c>
      <c r="T108" s="43" t="n">
        <f aca="false">SUMPRODUCT(('Inputs &amp; Assumptions'!$E$140:$E$150&gt;=16)*'Inputs &amp; Assumptions'!$D$140:$D$150)</f>
        <v>30</v>
      </c>
      <c r="U108" s="43" t="n">
        <f aca="false">SUMPRODUCT(('Inputs &amp; Assumptions'!$E$140:$E$150&gt;=17)*'Inputs &amp; Assumptions'!$D$140:$D$150)</f>
        <v>30</v>
      </c>
      <c r="V108" s="43" t="n">
        <f aca="false">SUMPRODUCT(('Inputs &amp; Assumptions'!$E$140:$E$150&gt;=18)*'Inputs &amp; Assumptions'!$D$140:$D$150)</f>
        <v>30</v>
      </c>
      <c r="W108" s="43" t="n">
        <f aca="false">SUMPRODUCT(('Inputs &amp; Assumptions'!$E$140:$E$150&gt;=19)*'Inputs &amp; Assumptions'!$D$140:$D$150)</f>
        <v>28</v>
      </c>
      <c r="X108" s="43" t="n">
        <f aca="false">SUMPRODUCT(('Inputs &amp; Assumptions'!$E$140:$E$150&gt;=20)*'Inputs &amp; Assumptions'!$D$140:$D$150)</f>
        <v>25</v>
      </c>
      <c r="Y108" s="43" t="n">
        <f aca="false">SUMPRODUCT(('Inputs &amp; Assumptions'!$E$140:$E$150&gt;=21)*'Inputs &amp; Assumptions'!$D$140:$D$150)</f>
        <v>22</v>
      </c>
      <c r="Z108" s="43" t="n">
        <f aca="false">SUMPRODUCT(('Inputs &amp; Assumptions'!$E$140:$E$150&gt;=22)*'Inputs &amp; Assumptions'!$D$140:$D$150)</f>
        <v>19</v>
      </c>
      <c r="AA108" s="43" t="n">
        <f aca="false">SUMPRODUCT(('Inputs &amp; Assumptions'!$E$140:$E$150&gt;=23)*'Inputs &amp; Assumptions'!$D$140:$D$150)</f>
        <v>16</v>
      </c>
      <c r="AB108" s="43" t="n">
        <f aca="false">SUMPRODUCT(('Inputs &amp; Assumptions'!$E$140:$E$150&gt;=24)*'Inputs &amp; Assumptions'!$D$140:$D$150)</f>
        <v>13</v>
      </c>
      <c r="AC108" s="43" t="n">
        <f aca="false">SUMPRODUCT(('Inputs &amp; Assumptions'!$E$140:$E$150&gt;=25)*'Inputs &amp; Assumptions'!$D$140:$D$150)</f>
        <v>10</v>
      </c>
      <c r="AD108" s="43" t="n">
        <f aca="false">SUMPRODUCT(('Inputs &amp; Assumptions'!$E$140:$E$150&gt;=26)*'Inputs &amp; Assumptions'!$D$140:$D$150)</f>
        <v>7</v>
      </c>
      <c r="AE108" s="43" t="n">
        <f aca="false">SUMPRODUCT(('Inputs &amp; Assumptions'!$E$140:$E$150&gt;=27)*'Inputs &amp; Assumptions'!$D$140:$D$150)</f>
        <v>4</v>
      </c>
      <c r="AF108" s="43" t="n">
        <f aca="false">SUMPRODUCT(('Inputs &amp; Assumptions'!$E$140:$E$150&gt;=28)*'Inputs &amp; Assumptions'!$D$140:$D$150)</f>
        <v>1</v>
      </c>
      <c r="AG108" s="43" t="n">
        <f aca="false">SUMPRODUCT(('Inputs &amp; Assumptions'!$E$140:$E$150&gt;=29)*'Inputs &amp; Assumptions'!$D$140:$D$150)</f>
        <v>0</v>
      </c>
      <c r="AH108" s="43" t="n">
        <f aca="false">SUMPRODUCT(('Inputs &amp; Assumptions'!$E$140:$E$150&gt;=30)*'Inputs &amp; Assumptions'!$D$140:$D$150)</f>
        <v>0</v>
      </c>
      <c r="AI108" s="43" t="n">
        <f aca="false">SUMPRODUCT(('Inputs &amp; Assumptions'!$E$140:$E$150&gt;=31)*'Inputs &amp; Assumptions'!$D$140:$D$150)</f>
        <v>0</v>
      </c>
      <c r="AJ108" s="43" t="n">
        <f aca="false">SUMPRODUCT(('Inputs &amp; Assumptions'!$E$140:$E$150&gt;=32)*'Inputs &amp; Assumptions'!$D$140:$D$150)</f>
        <v>0</v>
      </c>
      <c r="AK108" s="43" t="n">
        <f aca="false">SUMPRODUCT(('Inputs &amp; Assumptions'!$E$140:$E$150&gt;=33)*'Inputs &amp; Assumptions'!$D$140:$D$150)</f>
        <v>0</v>
      </c>
      <c r="AL108" s="43" t="n">
        <f aca="false">SUMPRODUCT(('Inputs &amp; Assumptions'!$E$140:$E$150&gt;=34)*'Inputs &amp; Assumptions'!$D$140:$D$150)</f>
        <v>0</v>
      </c>
      <c r="AM108" s="43" t="n">
        <f aca="false">SUMPRODUCT(('Inputs &amp; Assumptions'!$E$140:$E$150&gt;=35)*'Inputs &amp; Assumptions'!$D$140:$D$150)</f>
        <v>0</v>
      </c>
      <c r="AN108" s="43" t="n">
        <f aca="false">SUMPRODUCT(('Inputs &amp; Assumptions'!$E$140:$E$150&gt;=36)*'Inputs &amp; Assumptions'!$D$140:$D$150)</f>
        <v>0</v>
      </c>
    </row>
    <row r="109" customFormat="false" ht="15" hidden="false" customHeight="false" outlineLevel="0" collapsed="false">
      <c r="A109" s="5" t="s">
        <v>139</v>
      </c>
      <c r="E109" s="39" t="n">
        <f aca="false">E100-E101-E103-E102</f>
        <v>536784399.269557</v>
      </c>
      <c r="F109" s="39" t="n">
        <f aca="false">F100-F101-F103-F102</f>
        <v>506195899.938778</v>
      </c>
      <c r="G109" s="39" t="n">
        <f aca="false">G100-G101-G103-G102</f>
        <v>475787188.136534</v>
      </c>
      <c r="H109" s="39" t="n">
        <f aca="false">H100-H101-H103-H102</f>
        <v>445686210.370844</v>
      </c>
      <c r="I109" s="39" t="n">
        <f aca="false">I100-I101-I103-I102</f>
        <v>417080763.669223</v>
      </c>
      <c r="J109" s="39" t="n">
        <f aca="false">J100-J101-J103-J102</f>
        <v>390432478.807512</v>
      </c>
      <c r="K109" s="39" t="n">
        <f aca="false">K100-K101-K103-K102</f>
        <v>365639420.544409</v>
      </c>
      <c r="L109" s="39" t="n">
        <f aca="false">L100-L101-L103-L102</f>
        <v>342585276.910871</v>
      </c>
      <c r="M109" s="39" t="n">
        <f aca="false">M100-M101-M103-M102</f>
        <v>321113289.033745</v>
      </c>
      <c r="N109" s="39" t="n">
        <f aca="false">N100-N101-N103-N102</f>
        <v>301096590.822734</v>
      </c>
      <c r="O109" s="39" t="n">
        <f aca="false">O100-O101-O103-O102</f>
        <v>282451942.232389</v>
      </c>
      <c r="P109" s="39" t="n">
        <f aca="false">P100-P101-P103-P102</f>
        <v>265090732.705127</v>
      </c>
      <c r="Q109" s="39" t="n">
        <f aca="false">Q100-Q101-Q103-Q102</f>
        <v>248884306.582262</v>
      </c>
      <c r="R109" s="39" t="n">
        <f aca="false">R100-R101-R103-R102</f>
        <v>233735541.217402</v>
      </c>
      <c r="S109" s="39" t="n">
        <f aca="false">S100-S101-S103-S102</f>
        <v>219586639.324748</v>
      </c>
      <c r="T109" s="39" t="n">
        <f aca="false">T100-T101-T103-T102</f>
        <v>206375706.590773</v>
      </c>
      <c r="U109" s="39" t="n">
        <f aca="false">U100-U101-U103-U102</f>
        <v>194013202.076293</v>
      </c>
      <c r="V109" s="39" t="n">
        <f aca="false">V100-V101-V103-V102</f>
        <v>171669329.007857</v>
      </c>
      <c r="W109" s="39" t="n">
        <f aca="false">W100-W101-W103-W102</f>
        <v>145875993.360773</v>
      </c>
      <c r="X109" s="39" t="n">
        <f aca="false">X100-X101-X103-X102</f>
        <v>122192401.555031</v>
      </c>
      <c r="Y109" s="39" t="n">
        <f aca="false">Y100-Y101-Y103-Y102</f>
        <v>100475707.746499</v>
      </c>
      <c r="Z109" s="39" t="n">
        <f aca="false">Z100-Z101-Z103-Z102</f>
        <v>80581644.3560378</v>
      </c>
      <c r="AA109" s="39" t="n">
        <f aca="false">AA100-AA101-AA103-AA102</f>
        <v>62382225.0854562</v>
      </c>
      <c r="AB109" s="39" t="n">
        <f aca="false">AB100-AB101-AB103-AB102</f>
        <v>45757802.2280173</v>
      </c>
      <c r="AC109" s="39" t="n">
        <f aca="false">AC100-AC101-AC103-AC102</f>
        <v>30552561.9020486</v>
      </c>
      <c r="AD109" s="39" t="n">
        <f aca="false">AD100-AD101-AD103-AD102</f>
        <v>16663396.569404</v>
      </c>
      <c r="AE109" s="39" t="n">
        <f aca="false">AE100-AE101-AE103-AE102</f>
        <v>3998696.39761629</v>
      </c>
      <c r="AF109" s="39" t="n">
        <f aca="false">AF100-AF101-AF103-AF102</f>
        <v>2.25554686039686E-010</v>
      </c>
      <c r="AG109" s="39" t="n">
        <f aca="false">AG100-AG101-AG103-AG102</f>
        <v>0</v>
      </c>
      <c r="AH109" s="39" t="n">
        <f aca="false">AH100-AH101-AH103-AH102</f>
        <v>0</v>
      </c>
      <c r="AI109" s="39" t="n">
        <f aca="false">AI100-AI101-AI103-AI102</f>
        <v>0</v>
      </c>
      <c r="AJ109" s="39" t="n">
        <f aca="false">AJ100-AJ101-AJ103-AJ102</f>
        <v>0</v>
      </c>
      <c r="AK109" s="39" t="n">
        <f aca="false">AK100-AK101-AK103-AK102</f>
        <v>0</v>
      </c>
      <c r="AL109" s="39" t="n">
        <f aca="false">AL100-AL101-AL103-AL102</f>
        <v>0</v>
      </c>
      <c r="AM109" s="39" t="n">
        <f aca="false">AM100-AM101-AM103-AM102</f>
        <v>0</v>
      </c>
      <c r="AN109" s="39" t="n">
        <f aca="false">AN100-AN101-AN103-AN102</f>
        <v>0</v>
      </c>
    </row>
    <row r="110" customFormat="false" ht="15" hidden="false" customHeight="false" outlineLevel="0" collapsed="false">
      <c r="A110" s="5" t="s">
        <v>121</v>
      </c>
      <c r="E110" s="18" t="n">
        <f aca="false">E109/'Inputs &amp; Assumptions'!$C$7</f>
        <v>0.894640665449262</v>
      </c>
      <c r="F110" s="18" t="n">
        <f aca="false">F109/'Inputs &amp; Assumptions'!$C$7</f>
        <v>0.843659833231296</v>
      </c>
      <c r="G110" s="18" t="n">
        <f aca="false">G109/'Inputs &amp; Assumptions'!$C$7</f>
        <v>0.792978646894224</v>
      </c>
      <c r="H110" s="18" t="n">
        <f aca="false">H109/'Inputs &amp; Assumptions'!$C$7</f>
        <v>0.742810350618073</v>
      </c>
      <c r="I110" s="18" t="n">
        <f aca="false">I109/'Inputs &amp; Assumptions'!$C$7</f>
        <v>0.695134606115371</v>
      </c>
      <c r="J110" s="18" t="n">
        <f aca="false">J109/'Inputs &amp; Assumptions'!$C$7</f>
        <v>0.650720798012519</v>
      </c>
      <c r="K110" s="18" t="n">
        <f aca="false">K109/'Inputs &amp; Assumptions'!$C$7</f>
        <v>0.609399034240682</v>
      </c>
      <c r="L110" s="18" t="n">
        <f aca="false">L109/'Inputs &amp; Assumptions'!$C$7</f>
        <v>0.570975461518118</v>
      </c>
      <c r="M110" s="18" t="n">
        <f aca="false">M109/'Inputs &amp; Assumptions'!$C$7</f>
        <v>0.535188815056242</v>
      </c>
      <c r="N110" s="18" t="n">
        <f aca="false">N109/'Inputs &amp; Assumptions'!$C$7</f>
        <v>0.501827651371224</v>
      </c>
      <c r="O110" s="18" t="n">
        <f aca="false">O109/'Inputs &amp; Assumptions'!$C$7</f>
        <v>0.470753237053982</v>
      </c>
      <c r="P110" s="18" t="n">
        <f aca="false">P109/'Inputs &amp; Assumptions'!$C$7</f>
        <v>0.441817887841878</v>
      </c>
      <c r="Q110" s="18" t="n">
        <f aca="false">Q109/'Inputs &amp; Assumptions'!$C$7</f>
        <v>0.414807177637103</v>
      </c>
      <c r="R110" s="18" t="n">
        <f aca="false">R109/'Inputs &amp; Assumptions'!$C$7</f>
        <v>0.389559235362337</v>
      </c>
      <c r="S110" s="18" t="n">
        <f aca="false">S109/'Inputs &amp; Assumptions'!$C$7</f>
        <v>0.365977732207913</v>
      </c>
      <c r="T110" s="18" t="n">
        <f aca="false">T109/'Inputs &amp; Assumptions'!$C$7</f>
        <v>0.343959510984621</v>
      </c>
      <c r="U110" s="18" t="n">
        <f aca="false">U109/'Inputs &amp; Assumptions'!$C$7</f>
        <v>0.323355336793822</v>
      </c>
      <c r="V110" s="18" t="n">
        <f aca="false">V109/'Inputs &amp; Assumptions'!$C$7</f>
        <v>0.286115548346429</v>
      </c>
      <c r="W110" s="18" t="n">
        <f aca="false">W109/'Inputs &amp; Assumptions'!$C$7</f>
        <v>0.243126655601288</v>
      </c>
      <c r="X110" s="18" t="n">
        <f aca="false">X109/'Inputs &amp; Assumptions'!$C$7</f>
        <v>0.203654002591718</v>
      </c>
      <c r="Y110" s="18" t="n">
        <f aca="false">Y109/'Inputs &amp; Assumptions'!$C$7</f>
        <v>0.167459512910832</v>
      </c>
      <c r="Z110" s="18" t="n">
        <f aca="false">Z109/'Inputs &amp; Assumptions'!$C$7</f>
        <v>0.134302740593396</v>
      </c>
      <c r="AA110" s="18" t="n">
        <f aca="false">AA109/'Inputs &amp; Assumptions'!$C$7</f>
        <v>0.103970375142427</v>
      </c>
      <c r="AB110" s="18" t="n">
        <f aca="false">AB109/'Inputs &amp; Assumptions'!$C$7</f>
        <v>0.0762630037133622</v>
      </c>
      <c r="AC110" s="18" t="n">
        <f aca="false">AC109/'Inputs &amp; Assumptions'!$C$7</f>
        <v>0.0509209365034143</v>
      </c>
      <c r="AD110" s="18" t="n">
        <f aca="false">AD109/'Inputs &amp; Assumptions'!$C$7</f>
        <v>0.0277723276156734</v>
      </c>
      <c r="AE110" s="18" t="n">
        <f aca="false">AE109/'Inputs &amp; Assumptions'!$C$7</f>
        <v>0.00666449399602715</v>
      </c>
      <c r="AF110" s="18" t="n">
        <f aca="false">AF109/'Inputs &amp; Assumptions'!$C$7</f>
        <v>3.7592447673281E-019</v>
      </c>
      <c r="AG110" s="18" t="n">
        <f aca="false">AG109/'Inputs &amp; Assumptions'!$C$7</f>
        <v>0</v>
      </c>
      <c r="AH110" s="18" t="n">
        <f aca="false">AH109/'Inputs &amp; Assumptions'!$C$7</f>
        <v>0</v>
      </c>
      <c r="AI110" s="18" t="n">
        <f aca="false">AI109/'Inputs &amp; Assumptions'!$C$7</f>
        <v>0</v>
      </c>
      <c r="AJ110" s="18" t="n">
        <f aca="false">AJ109/'Inputs &amp; Assumptions'!$C$7</f>
        <v>0</v>
      </c>
      <c r="AK110" s="18" t="n">
        <f aca="false">AK109/'Inputs &amp; Assumptions'!$C$7</f>
        <v>0</v>
      </c>
      <c r="AL110" s="18" t="n">
        <f aca="false">AL109/'Inputs &amp; Assumptions'!$C$7</f>
        <v>0</v>
      </c>
      <c r="AM110" s="18" t="n">
        <f aca="false">AM109/'Inputs &amp; Assumptions'!$C$7</f>
        <v>0</v>
      </c>
      <c r="AN110" s="18" t="n">
        <f aca="false">AN109/'Inputs &amp; Assumptions'!$C$7</f>
        <v>0</v>
      </c>
    </row>
    <row r="111" customFormat="false" ht="15" hidden="false" customHeight="false" outlineLevel="0" collapsed="false">
      <c r="A111" s="5" t="s">
        <v>140</v>
      </c>
      <c r="E111" s="39" t="n">
        <f aca="false">E103</f>
        <v>5355358.52422202</v>
      </c>
      <c r="F111" s="39" t="n">
        <f aca="false">E111+F103</f>
        <v>10510596.1143597</v>
      </c>
      <c r="G111" s="39" t="n">
        <f aca="false">F111+G103</f>
        <v>15404407.3351483</v>
      </c>
      <c r="H111" s="39" t="n">
        <f aca="false">G111+H103</f>
        <v>20011567.9580301</v>
      </c>
      <c r="I111" s="39" t="n">
        <f aca="false">H111+I103</f>
        <v>24241397.5816406</v>
      </c>
      <c r="J111" s="39" t="n">
        <f aca="false">I111+J103</f>
        <v>28071481.6840902</v>
      </c>
      <c r="K111" s="39" t="n">
        <f aca="false">J111+K103</f>
        <v>31495329.7601588</v>
      </c>
      <c r="L111" s="39" t="n">
        <f aca="false">K111+L103</f>
        <v>34527625.6990712</v>
      </c>
      <c r="M111" s="39" t="n">
        <f aca="false">L111+M103</f>
        <v>37232661.8153748</v>
      </c>
      <c r="N111" s="39" t="n">
        <f aca="false">M111+N103</f>
        <v>39652252.1261754</v>
      </c>
      <c r="O111" s="39" t="n">
        <f aca="false">N111+O103</f>
        <v>41789449.434837</v>
      </c>
      <c r="P111" s="39" t="n">
        <f aca="false">O111+P103</f>
        <v>43657855.7589426</v>
      </c>
      <c r="Q111" s="39" t="n">
        <f aca="false">P111+Q103</f>
        <v>45318637.2910476</v>
      </c>
      <c r="R111" s="39" t="n">
        <f aca="false">Q111+R103</f>
        <v>46807103.388892</v>
      </c>
      <c r="S111" s="39" t="n">
        <f aca="false">R111+S103</f>
        <v>48122615.9194024</v>
      </c>
      <c r="T111" s="39" t="n">
        <f aca="false">S111+T103</f>
        <v>49272251.0912344</v>
      </c>
      <c r="U111" s="39" t="n">
        <f aca="false">T111+U103</f>
        <v>50295964.8154464</v>
      </c>
      <c r="V111" s="39" t="n">
        <f aca="false">U111+V103</f>
        <v>51216358.0638221</v>
      </c>
      <c r="W111" s="39" t="n">
        <f aca="false">V111+W103</f>
        <v>52000656.3286684</v>
      </c>
      <c r="X111" s="39" t="n">
        <f aca="false">W111+X103</f>
        <v>52640393.7071497</v>
      </c>
      <c r="Y111" s="39" t="n">
        <f aca="false">X111+Y103</f>
        <v>53161569.7588566</v>
      </c>
      <c r="Z111" s="39" t="n">
        <f aca="false">Y111+Z103</f>
        <v>53580840.1990368</v>
      </c>
      <c r="AA111" s="39" t="n">
        <f aca="false">Z111+AA103</f>
        <v>53906827.5155916</v>
      </c>
      <c r="AB111" s="39" t="n">
        <f aca="false">AA111+AB103</f>
        <v>54147548.3502361</v>
      </c>
      <c r="AC111" s="39" t="n">
        <f aca="false">AB111+AC103</f>
        <v>54320284.0536469</v>
      </c>
      <c r="AD111" s="39" t="n">
        <f aca="false">AC111+AD103</f>
        <v>54435619.9748271</v>
      </c>
      <c r="AE111" s="39" t="n">
        <f aca="false">AD111+AE103</f>
        <v>54498524.2968766</v>
      </c>
      <c r="AF111" s="39" t="n">
        <f aca="false">AE111+AF103</f>
        <v>54513619.3757776</v>
      </c>
      <c r="AG111" s="39" t="n">
        <f aca="false">AF111+AG103</f>
        <v>54513619.3757776</v>
      </c>
      <c r="AH111" s="39" t="n">
        <f aca="false">AG111+AH103</f>
        <v>54513619.3757776</v>
      </c>
      <c r="AI111" s="39" t="n">
        <f aca="false">AH111+AI103</f>
        <v>54513619.3757776</v>
      </c>
      <c r="AJ111" s="39" t="n">
        <f aca="false">AI111+AJ103</f>
        <v>54513619.3757776</v>
      </c>
      <c r="AK111" s="39" t="n">
        <f aca="false">AJ111+AK103</f>
        <v>54513619.3757776</v>
      </c>
      <c r="AL111" s="39" t="n">
        <f aca="false">AK111+AL103</f>
        <v>54513619.3757776</v>
      </c>
      <c r="AM111" s="39" t="n">
        <f aca="false">AL111+AM103</f>
        <v>54513619.3757776</v>
      </c>
      <c r="AN111" s="39" t="n">
        <f aca="false">AM111+AN103</f>
        <v>54513619.3757776</v>
      </c>
    </row>
    <row r="112" customFormat="false" ht="15" hidden="false" customHeight="false" outlineLevel="0" collapsed="false">
      <c r="A112" s="5" t="s">
        <v>141</v>
      </c>
      <c r="E112" s="39" t="n">
        <f aca="false">E104</f>
        <v>0</v>
      </c>
      <c r="F112" s="39" t="n">
        <f aca="false">E112+F104</f>
        <v>0</v>
      </c>
      <c r="G112" s="39" t="n">
        <f aca="false">F112+G104</f>
        <v>0</v>
      </c>
      <c r="H112" s="39" t="n">
        <f aca="false">G112+H104</f>
        <v>0</v>
      </c>
      <c r="I112" s="39" t="n">
        <f aca="false">H112+I104</f>
        <v>0</v>
      </c>
      <c r="J112" s="39" t="n">
        <f aca="false">I112+J104</f>
        <v>0</v>
      </c>
      <c r="K112" s="39" t="n">
        <f aca="false">J112+K104</f>
        <v>0</v>
      </c>
      <c r="L112" s="39" t="n">
        <f aca="false">K112+L104</f>
        <v>0</v>
      </c>
      <c r="M112" s="39" t="n">
        <f aca="false">L112+M104</f>
        <v>3213215.11453321</v>
      </c>
      <c r="N112" s="39" t="n">
        <f aca="false">M112+N104</f>
        <v>6306357.66861583</v>
      </c>
      <c r="O112" s="39" t="n">
        <f aca="false">N112+O104</f>
        <v>9242644.40108899</v>
      </c>
      <c r="P112" s="39" t="n">
        <f aca="false">O112+P104</f>
        <v>12006940.774818</v>
      </c>
      <c r="Q112" s="39" t="n">
        <f aca="false">P112+Q104</f>
        <v>14544838.5489844</v>
      </c>
      <c r="R112" s="39" t="n">
        <f aca="false">Q112+R104</f>
        <v>16842889.0104541</v>
      </c>
      <c r="S112" s="39" t="n">
        <f aca="false">R112+S104</f>
        <v>18897197.8560953</v>
      </c>
      <c r="T112" s="39" t="n">
        <f aca="false">S112+T104</f>
        <v>20716575.4194427</v>
      </c>
      <c r="U112" s="39" t="n">
        <f aca="false">T112+U104</f>
        <v>22339597.0892249</v>
      </c>
      <c r="V112" s="39" t="n">
        <f aca="false">U112+V104</f>
        <v>23791351.2757052</v>
      </c>
      <c r="W112" s="39" t="n">
        <f aca="false">V112+W104</f>
        <v>25073669.6609022</v>
      </c>
      <c r="X112" s="39" t="n">
        <f aca="false">W112+X104</f>
        <v>26194713.4553656</v>
      </c>
      <c r="Y112" s="39" t="n">
        <f aca="false">X112+Y104</f>
        <v>27191182.3746286</v>
      </c>
      <c r="Z112" s="39" t="n">
        <f aca="false">Y112+Z104</f>
        <v>28084262.0333352</v>
      </c>
      <c r="AA112" s="39" t="n">
        <f aca="false">Z112+AA104</f>
        <v>28873569.5516414</v>
      </c>
      <c r="AB112" s="39" t="n">
        <f aca="false">AA112+AB104</f>
        <v>29563350.6547406</v>
      </c>
      <c r="AC112" s="39" t="n">
        <f aca="false">AB112+AC104</f>
        <v>30177578.8892678</v>
      </c>
      <c r="AD112" s="39" t="n">
        <f aca="false">AC112+AD104</f>
        <v>30729814.8382933</v>
      </c>
      <c r="AE112" s="39" t="n">
        <f aca="false">AD112+AE104</f>
        <v>31200393.7972011</v>
      </c>
      <c r="AF112" s="39" t="n">
        <f aca="false">AE112+AF104</f>
        <v>31584236.2242898</v>
      </c>
      <c r="AG112" s="39" t="n">
        <f aca="false">AF112+AG104</f>
        <v>31896941.855314</v>
      </c>
      <c r="AH112" s="39" t="n">
        <f aca="false">AG112+AH104</f>
        <v>32148504.1194221</v>
      </c>
      <c r="AI112" s="39" t="n">
        <f aca="false">AH112+AI104</f>
        <v>32344096.509355</v>
      </c>
      <c r="AJ112" s="39" t="n">
        <f aca="false">AI112+AJ104</f>
        <v>32488529.0101417</v>
      </c>
      <c r="AK112" s="39" t="n">
        <f aca="false">AJ112+AK104</f>
        <v>32592170.4321882</v>
      </c>
      <c r="AL112" s="39" t="n">
        <f aca="false">AK112+AL104</f>
        <v>32661371.9848963</v>
      </c>
      <c r="AM112" s="39" t="n">
        <f aca="false">AL112+AM104</f>
        <v>32699114.578126</v>
      </c>
      <c r="AN112" s="39" t="n">
        <f aca="false">AM112+AN104</f>
        <v>32708171.6254666</v>
      </c>
    </row>
    <row r="114" customFormat="false" ht="15" hidden="false" customHeight="false" outlineLevel="0" collapsed="false">
      <c r="A114" s="12" t="s">
        <v>213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customFormat="false" ht="15" hidden="false" customHeight="false" outlineLevel="0" collapsed="false">
      <c r="A115" s="14" t="s">
        <v>146</v>
      </c>
      <c r="E115" s="39" t="n">
        <f aca="false">'Inputs &amp; Assumptions'!$C$134</f>
        <v>340424922.203496</v>
      </c>
      <c r="F115" s="39" t="n">
        <f aca="false">E141</f>
        <v>322760343.421729</v>
      </c>
      <c r="G115" s="39" t="n">
        <f aca="false">F141</f>
        <v>304957060.20328</v>
      </c>
      <c r="H115" s="39" t="n">
        <f aca="false">G141</f>
        <v>287096629.796262</v>
      </c>
      <c r="I115" s="39" t="n">
        <f aca="false">H141</f>
        <v>269250957.796296</v>
      </c>
      <c r="J115" s="39" t="n">
        <f aca="false">I141</f>
        <v>252188025.841688</v>
      </c>
      <c r="K115" s="39" t="n">
        <f aca="false">J141</f>
        <v>236215285.310205</v>
      </c>
      <c r="L115" s="39" t="n">
        <f aca="false">K141</f>
        <v>221256838.179282</v>
      </c>
      <c r="M115" s="39" t="n">
        <f aca="false">L141</f>
        <v>207241544.793043</v>
      </c>
      <c r="N115" s="39" t="n">
        <f aca="false">M141</f>
        <v>191855427.980295</v>
      </c>
      <c r="O115" s="39" t="n">
        <f aca="false">N141</f>
        <v>177372252.66229</v>
      </c>
      <c r="P115" s="39" t="n">
        <f aca="false">O141</f>
        <v>163761636.05238</v>
      </c>
      <c r="Q115" s="39" t="n">
        <f aca="false">P141</f>
        <v>150981666.34856</v>
      </c>
      <c r="R115" s="39" t="n">
        <f aca="false">Q141</f>
        <v>139023186.693111</v>
      </c>
      <c r="S115" s="39" t="n">
        <f aca="false">R141</f>
        <v>127852341.883172</v>
      </c>
      <c r="T115" s="39" t="n">
        <f aca="false">S141</f>
        <v>117430953.137723</v>
      </c>
      <c r="U115" s="39" t="n">
        <f aca="false">T141</f>
        <v>107714480.549879</v>
      </c>
      <c r="V115" s="39" t="n">
        <f aca="false">U141</f>
        <v>98641211.8278441</v>
      </c>
      <c r="W115" s="39" t="n">
        <f aca="false">V141</f>
        <v>82628548.0232657</v>
      </c>
      <c r="X115" s="39" t="n">
        <f aca="false">W141</f>
        <v>64224598.9860612</v>
      </c>
      <c r="Y115" s="39" t="n">
        <f aca="false">X141</f>
        <v>47309170.2308545</v>
      </c>
      <c r="Z115" s="39" t="n">
        <f aca="false">Y141</f>
        <v>31774779.557593</v>
      </c>
      <c r="AA115" s="39" t="n">
        <f aca="false">Z141</f>
        <v>15480481.4704027</v>
      </c>
      <c r="AB115" s="39" t="n">
        <f aca="false">AA141</f>
        <v>550289.892536361</v>
      </c>
      <c r="AC115" s="39" t="n">
        <f aca="false">AB141</f>
        <v>0</v>
      </c>
      <c r="AD115" s="39" t="n">
        <f aca="false">AC141</f>
        <v>0</v>
      </c>
      <c r="AE115" s="39" t="n">
        <f aca="false">AD141</f>
        <v>0</v>
      </c>
      <c r="AF115" s="39" t="n">
        <f aca="false">AE141</f>
        <v>0</v>
      </c>
      <c r="AG115" s="39" t="n">
        <f aca="false">AF141</f>
        <v>0</v>
      </c>
      <c r="AH115" s="39" t="n">
        <f aca="false">AG141</f>
        <v>0</v>
      </c>
      <c r="AI115" s="39" t="n">
        <f aca="false">AH141</f>
        <v>0</v>
      </c>
      <c r="AJ115" s="39" t="n">
        <f aca="false">AI141</f>
        <v>0</v>
      </c>
      <c r="AK115" s="39" t="n">
        <f aca="false">AJ141</f>
        <v>0</v>
      </c>
      <c r="AL115" s="39" t="n">
        <f aca="false">AK141</f>
        <v>0</v>
      </c>
      <c r="AM115" s="39" t="n">
        <f aca="false">AL141</f>
        <v>0</v>
      </c>
      <c r="AN115" s="39" t="n">
        <f aca="false">AM141</f>
        <v>0</v>
      </c>
    </row>
    <row r="116" customFormat="false" ht="15" hidden="false" customHeight="false" outlineLevel="0" collapsed="false">
      <c r="A116" s="14" t="s">
        <v>147</v>
      </c>
      <c r="E116" s="10" t="n">
        <f aca="false">'Inputs &amp; Assumptions'!E$52</f>
        <v>0.04324</v>
      </c>
      <c r="F116" s="10" t="n">
        <f aca="false">'Inputs &amp; Assumptions'!F$52</f>
        <v>0.04324</v>
      </c>
      <c r="G116" s="10" t="n">
        <f aca="false">'Inputs &amp; Assumptions'!G$52</f>
        <v>0.04324</v>
      </c>
      <c r="H116" s="10" t="n">
        <f aca="false">'Inputs &amp; Assumptions'!H$52</f>
        <v>0.04324</v>
      </c>
      <c r="I116" s="10" t="n">
        <f aca="false">'Inputs &amp; Assumptions'!I$52</f>
        <v>0.04324</v>
      </c>
      <c r="J116" s="10" t="n">
        <f aca="false">'Inputs &amp; Assumptions'!J$52</f>
        <v>0.04324</v>
      </c>
      <c r="K116" s="10" t="n">
        <f aca="false">'Inputs &amp; Assumptions'!K$52</f>
        <v>0.04324</v>
      </c>
      <c r="L116" s="10" t="n">
        <f aca="false">'Inputs &amp; Assumptions'!L$52</f>
        <v>0.04324</v>
      </c>
      <c r="M116" s="10" t="n">
        <f aca="false">'Inputs &amp; Assumptions'!M$52</f>
        <v>0.04324</v>
      </c>
      <c r="N116" s="10" t="n">
        <f aca="false">'Inputs &amp; Assumptions'!N$52</f>
        <v>0.04324</v>
      </c>
      <c r="O116" s="10" t="n">
        <f aca="false">'Inputs &amp; Assumptions'!O$52</f>
        <v>0.04324</v>
      </c>
      <c r="P116" s="10" t="n">
        <f aca="false">'Inputs &amp; Assumptions'!P$52</f>
        <v>0.04324</v>
      </c>
      <c r="Q116" s="10" t="n">
        <f aca="false">'Inputs &amp; Assumptions'!Q$52</f>
        <v>0.04324</v>
      </c>
      <c r="R116" s="10" t="n">
        <f aca="false">'Inputs &amp; Assumptions'!R$52</f>
        <v>0.04324</v>
      </c>
      <c r="S116" s="10" t="n">
        <f aca="false">'Inputs &amp; Assumptions'!S$52</f>
        <v>0.04324</v>
      </c>
      <c r="T116" s="10" t="n">
        <f aca="false">'Inputs &amp; Assumptions'!T$52</f>
        <v>0.04324</v>
      </c>
      <c r="U116" s="10" t="n">
        <f aca="false">'Inputs &amp; Assumptions'!U$52</f>
        <v>0.04324</v>
      </c>
      <c r="V116" s="10" t="n">
        <f aca="false">'Inputs &amp; Assumptions'!V$52</f>
        <v>0.04324</v>
      </c>
      <c r="W116" s="10" t="n">
        <f aca="false">'Inputs &amp; Assumptions'!W$52</f>
        <v>0.04324</v>
      </c>
      <c r="X116" s="10" t="n">
        <f aca="false">'Inputs &amp; Assumptions'!X$52</f>
        <v>0.04324</v>
      </c>
      <c r="Y116" s="10" t="n">
        <f aca="false">'Inputs &amp; Assumptions'!Y$52</f>
        <v>0.04324</v>
      </c>
      <c r="Z116" s="10" t="n">
        <f aca="false">'Inputs &amp; Assumptions'!Z$52</f>
        <v>0.04324</v>
      </c>
      <c r="AA116" s="10" t="n">
        <f aca="false">'Inputs &amp; Assumptions'!AA$52</f>
        <v>0.04324</v>
      </c>
      <c r="AB116" s="10" t="n">
        <f aca="false">'Inputs &amp; Assumptions'!AB$52</f>
        <v>0.04324</v>
      </c>
      <c r="AC116" s="10" t="n">
        <f aca="false">'Inputs &amp; Assumptions'!AC$52</f>
        <v>0.04324</v>
      </c>
      <c r="AD116" s="10" t="n">
        <f aca="false">'Inputs &amp; Assumptions'!AD$52</f>
        <v>0.04324</v>
      </c>
      <c r="AE116" s="10" t="n">
        <f aca="false">'Inputs &amp; Assumptions'!AE$52</f>
        <v>0.04324</v>
      </c>
      <c r="AF116" s="10" t="n">
        <f aca="false">'Inputs &amp; Assumptions'!AF$52</f>
        <v>0.04324</v>
      </c>
      <c r="AG116" s="10" t="n">
        <f aca="false">'Inputs &amp; Assumptions'!AG$52</f>
        <v>0.04324</v>
      </c>
      <c r="AH116" s="10" t="n">
        <f aca="false">'Inputs &amp; Assumptions'!AH$52</f>
        <v>0.04324</v>
      </c>
      <c r="AI116" s="10" t="n">
        <f aca="false">'Inputs &amp; Assumptions'!AI$52</f>
        <v>0.04324</v>
      </c>
      <c r="AJ116" s="10" t="n">
        <f aca="false">'Inputs &amp; Assumptions'!AJ$52</f>
        <v>0.04324</v>
      </c>
      <c r="AK116" s="10" t="n">
        <f aca="false">'Inputs &amp; Assumptions'!AK$52</f>
        <v>0.04324</v>
      </c>
      <c r="AL116" s="10" t="n">
        <f aca="false">'Inputs &amp; Assumptions'!AL$52</f>
        <v>0.04324</v>
      </c>
      <c r="AM116" s="10" t="n">
        <f aca="false">'Inputs &amp; Assumptions'!AM$52</f>
        <v>0.04324</v>
      </c>
      <c r="AN116" s="10" t="n">
        <f aca="false">'Inputs &amp; Assumptions'!AN$52</f>
        <v>0.04324</v>
      </c>
    </row>
    <row r="117" customFormat="false" ht="15" hidden="false" customHeight="false" outlineLevel="0" collapsed="false">
      <c r="A117" s="14" t="s">
        <v>148</v>
      </c>
      <c r="E117" s="39" t="n">
        <f aca="false">E116/4*E115</f>
        <v>3679993.40901979</v>
      </c>
      <c r="F117" s="39" t="n">
        <f aca="false">F116/4*F115</f>
        <v>3489039.3123889</v>
      </c>
      <c r="G117" s="39" t="n">
        <f aca="false">G116/4*G115</f>
        <v>3296585.82079746</v>
      </c>
      <c r="H117" s="39" t="n">
        <f aca="false">H116/4*H115</f>
        <v>3103514.56809759</v>
      </c>
      <c r="I117" s="39" t="n">
        <f aca="false">I116/4*I115</f>
        <v>2910602.85377796</v>
      </c>
      <c r="J117" s="39" t="n">
        <f aca="false">J116/4*J115</f>
        <v>2726152.55934865</v>
      </c>
      <c r="K117" s="39" t="n">
        <f aca="false">K116/4*K115</f>
        <v>2553487.23420332</v>
      </c>
      <c r="L117" s="39" t="n">
        <f aca="false">L116/4*L115</f>
        <v>2391786.42071803</v>
      </c>
      <c r="M117" s="39" t="n">
        <f aca="false">M116/4*M115</f>
        <v>2240281.0992128</v>
      </c>
      <c r="N117" s="39" t="n">
        <f aca="false">N116/4*N115</f>
        <v>2073957.17646698</v>
      </c>
      <c r="O117" s="39" t="n">
        <f aca="false">O116/4*O115</f>
        <v>1917394.05127935</v>
      </c>
      <c r="P117" s="39" t="n">
        <f aca="false">P116/4*P115</f>
        <v>1770263.28572623</v>
      </c>
      <c r="Q117" s="39" t="n">
        <f aca="false">Q116/4*Q115</f>
        <v>1632111.81322793</v>
      </c>
      <c r="R117" s="39" t="n">
        <f aca="false">R116/4*R115</f>
        <v>1502840.64815254</v>
      </c>
      <c r="S117" s="39" t="n">
        <f aca="false">S116/4*S115</f>
        <v>1382083.81575709</v>
      </c>
      <c r="T117" s="39" t="n">
        <f aca="false">T116/4*T115</f>
        <v>1269428.60341878</v>
      </c>
      <c r="U117" s="39" t="n">
        <f aca="false">U116/4*U115</f>
        <v>1164393.53474419</v>
      </c>
      <c r="V117" s="39" t="n">
        <f aca="false">V116/4*V115</f>
        <v>1066311.49985899</v>
      </c>
      <c r="W117" s="39" t="n">
        <f aca="false">W116/4*W115</f>
        <v>893214.604131503</v>
      </c>
      <c r="X117" s="39" t="n">
        <f aca="false">X116/4*X115</f>
        <v>694267.915039322</v>
      </c>
      <c r="Y117" s="39" t="n">
        <f aca="false">Y116/4*Y115</f>
        <v>511412.130195537</v>
      </c>
      <c r="Z117" s="39" t="n">
        <f aca="false">Z116/4*Z115</f>
        <v>343485.367017581</v>
      </c>
      <c r="AA117" s="39" t="n">
        <f aca="false">AA116/4*AA115</f>
        <v>167344.004695054</v>
      </c>
      <c r="AB117" s="39" t="n">
        <f aca="false">AB116/4*AB115</f>
        <v>5948.63373831806</v>
      </c>
      <c r="AC117" s="39" t="n">
        <f aca="false">AC116/4*AC115</f>
        <v>0</v>
      </c>
      <c r="AD117" s="39" t="n">
        <f aca="false">AD116/4*AD115</f>
        <v>0</v>
      </c>
      <c r="AE117" s="39" t="n">
        <f aca="false">AE116/4*AE115</f>
        <v>0</v>
      </c>
      <c r="AF117" s="39" t="n">
        <f aca="false">AF116/4*AF115</f>
        <v>0</v>
      </c>
      <c r="AG117" s="39" t="n">
        <f aca="false">AG116/4*AG115</f>
        <v>0</v>
      </c>
      <c r="AH117" s="39" t="n">
        <f aca="false">AH116/4*AH115</f>
        <v>0</v>
      </c>
      <c r="AI117" s="39" t="n">
        <f aca="false">AI116/4*AI115</f>
        <v>0</v>
      </c>
      <c r="AJ117" s="39" t="n">
        <f aca="false">AJ116/4*AJ115</f>
        <v>0</v>
      </c>
      <c r="AK117" s="39" t="n">
        <f aca="false">AK116/4*AK115</f>
        <v>0</v>
      </c>
      <c r="AL117" s="39" t="n">
        <f aca="false">AL116/4*AL115</f>
        <v>0</v>
      </c>
      <c r="AM117" s="39" t="n">
        <f aca="false">AM116/4*AM115</f>
        <v>0</v>
      </c>
      <c r="AN117" s="39" t="n">
        <f aca="false">AN116/4*AN115</f>
        <v>0</v>
      </c>
    </row>
    <row r="118" customFormat="false" ht="15" hidden="false" customHeight="false" outlineLevel="0" collapsed="false">
      <c r="A118" s="14" t="s">
        <v>149</v>
      </c>
      <c r="E118" s="39" t="n">
        <f aca="false">'Scenario Analysis'!E106</f>
        <v>10290577.2613315</v>
      </c>
      <c r="F118" s="39" t="n">
        <f aca="false">'Scenario Analysis'!F106</f>
        <v>9734129.95035017</v>
      </c>
      <c r="G118" s="39" t="n">
        <f aca="false">'Scenario Analysis'!G106</f>
        <v>9178841.24442638</v>
      </c>
      <c r="H118" s="39" t="n">
        <f aca="false">'Scenario Analysis'!H106</f>
        <v>8627306.30377498</v>
      </c>
      <c r="I118" s="39" t="n">
        <f aca="false">'Scenario Analysis'!I106</f>
        <v>8083066.33148184</v>
      </c>
      <c r="J118" s="39" t="n">
        <f aca="false">'Scenario Analysis'!J106</f>
        <v>7566619.94286761</v>
      </c>
      <c r="K118" s="39" t="n">
        <f aca="false">'Scenario Analysis'!K106</f>
        <v>7086128.02869272</v>
      </c>
      <c r="L118" s="39" t="n">
        <f aca="false">'Scenario Analysis'!L106</f>
        <v>6639336.45152665</v>
      </c>
      <c r="M118" s="39" t="n">
        <f aca="false">'Scenario Analysis'!M106</f>
        <v>6223207.20894852</v>
      </c>
      <c r="N118" s="39" t="n">
        <f aca="false">'Scenario Analysis'!N106</f>
        <v>5835281.62361711</v>
      </c>
      <c r="O118" s="39" t="n">
        <f aca="false">'Scenario Analysis'!O106</f>
        <v>5473946.49524267</v>
      </c>
      <c r="P118" s="39" t="n">
        <f aca="false">'Scenario Analysis'!P106</f>
        <v>5137484.54248067</v>
      </c>
      <c r="Q118" s="39" t="n">
        <f aca="false">'Scenario Analysis'!Q106</f>
        <v>4823402.40597803</v>
      </c>
      <c r="R118" s="39" t="n">
        <f aca="false">'Scenario Analysis'!R106</f>
        <v>4529817.83926968</v>
      </c>
      <c r="S118" s="39" t="n">
        <f aca="false">'Scenario Analysis'!S106</f>
        <v>4255610.72525698</v>
      </c>
      <c r="T118" s="39" t="n">
        <f aca="false">'Scenario Analysis'!T106</f>
        <v>3999581.54603989</v>
      </c>
      <c r="U118" s="39" t="n">
        <f aca="false">'Scenario Analysis'!U106</f>
        <v>3759994.98938672</v>
      </c>
      <c r="V118" s="39" t="n">
        <f aca="false">'Scenario Analysis'!V106</f>
        <v>3535529.32963916</v>
      </c>
      <c r="W118" s="39" t="n">
        <f aca="false">'Scenario Analysis'!W106</f>
        <v>3128904.91290453</v>
      </c>
      <c r="X118" s="39" t="n">
        <f aca="false">'Scenario Analysis'!X106</f>
        <v>2659275.84703576</v>
      </c>
      <c r="Y118" s="39" t="n">
        <f aca="false">'Scenario Analysis'!Y106</f>
        <v>2227800.13896586</v>
      </c>
      <c r="Z118" s="39" t="n">
        <f aca="false">'Scenario Analysis'!Z106</f>
        <v>1832033.3670787</v>
      </c>
      <c r="AA118" s="39" t="n">
        <f aca="false">'Scenario Analysis'!AA106</f>
        <v>1469481.08039293</v>
      </c>
      <c r="AB118" s="39" t="n">
        <f aca="false">'Scenario Analysis'!AB106</f>
        <v>1137810.94283236</v>
      </c>
      <c r="AC118" s="39" t="n">
        <f aca="false">'Scenario Analysis'!AC106</f>
        <v>834662.568065546</v>
      </c>
      <c r="AD118" s="39" t="n">
        <f aca="false">'Scenario Analysis'!AD106</f>
        <v>557305.6077097</v>
      </c>
      <c r="AE118" s="39" t="n">
        <f aca="false">'Scenario Analysis'!AE106</f>
        <v>303955.013049062</v>
      </c>
      <c r="AF118" s="39" t="n">
        <f aca="false">'Scenario Analysis'!AF106</f>
        <v>72939.7401456769</v>
      </c>
      <c r="AG118" s="39" t="n">
        <f aca="false">'Scenario Analysis'!AG106</f>
        <v>0</v>
      </c>
      <c r="AH118" s="39" t="n">
        <f aca="false">'Scenario Analysis'!AH106</f>
        <v>0</v>
      </c>
      <c r="AI118" s="39" t="n">
        <f aca="false">'Scenario Analysis'!AI106</f>
        <v>0</v>
      </c>
      <c r="AJ118" s="39" t="n">
        <f aca="false">'Scenario Analysis'!AJ106</f>
        <v>0</v>
      </c>
      <c r="AK118" s="39" t="n">
        <f aca="false">'Scenario Analysis'!AK106</f>
        <v>0</v>
      </c>
      <c r="AL118" s="39" t="n">
        <f aca="false">'Scenario Analysis'!AL106</f>
        <v>0</v>
      </c>
      <c r="AM118" s="39" t="n">
        <f aca="false">'Scenario Analysis'!AM106</f>
        <v>0</v>
      </c>
      <c r="AN118" s="39" t="n">
        <f aca="false">'Scenario Analysis'!AN106</f>
        <v>0</v>
      </c>
    </row>
    <row r="119" customFormat="false" ht="15" hidden="false" customHeight="false" outlineLevel="0" collapsed="false">
      <c r="A119" s="5" t="s">
        <v>150</v>
      </c>
      <c r="E119" s="39" t="n">
        <f aca="false">MIN(E118,'Inputs &amp; Assumptions'!$C$36)</f>
        <v>37500</v>
      </c>
      <c r="F119" s="39" t="n">
        <f aca="false">MIN(F118,'Inputs &amp; Assumptions'!$C$36)</f>
        <v>37500</v>
      </c>
      <c r="G119" s="39" t="n">
        <f aca="false">MIN(G118,'Inputs &amp; Assumptions'!$C$36)</f>
        <v>37500</v>
      </c>
      <c r="H119" s="39" t="n">
        <f aca="false">MIN(H118,'Inputs &amp; Assumptions'!$C$36)</f>
        <v>37500</v>
      </c>
      <c r="I119" s="39" t="n">
        <f aca="false">MIN(I118,'Inputs &amp; Assumptions'!$C$36)</f>
        <v>37500</v>
      </c>
      <c r="J119" s="39" t="n">
        <f aca="false">MIN(J118,'Inputs &amp; Assumptions'!$C$36)</f>
        <v>37500</v>
      </c>
      <c r="K119" s="39" t="n">
        <f aca="false">MIN(K118,'Inputs &amp; Assumptions'!$C$36)</f>
        <v>37500</v>
      </c>
      <c r="L119" s="39" t="n">
        <f aca="false">MIN(L118,'Inputs &amp; Assumptions'!$C$36)</f>
        <v>37500</v>
      </c>
      <c r="M119" s="39" t="n">
        <f aca="false">MIN(M118,'Inputs &amp; Assumptions'!$C$36)</f>
        <v>37500</v>
      </c>
      <c r="N119" s="39" t="n">
        <f aca="false">MIN(N118,'Inputs &amp; Assumptions'!$C$36)</f>
        <v>37500</v>
      </c>
      <c r="O119" s="39" t="n">
        <f aca="false">MIN(O118,'Inputs &amp; Assumptions'!$C$36)</f>
        <v>37500</v>
      </c>
      <c r="P119" s="39" t="n">
        <f aca="false">MIN(P118,'Inputs &amp; Assumptions'!$C$36)</f>
        <v>37500</v>
      </c>
      <c r="Q119" s="39" t="n">
        <f aca="false">MIN(Q118,'Inputs &amp; Assumptions'!$C$36)</f>
        <v>37500</v>
      </c>
      <c r="R119" s="39" t="n">
        <f aca="false">MIN(R118,'Inputs &amp; Assumptions'!$C$36)</f>
        <v>37500</v>
      </c>
      <c r="S119" s="39" t="n">
        <f aca="false">MIN(S118,'Inputs &amp; Assumptions'!$C$36)</f>
        <v>37500</v>
      </c>
      <c r="T119" s="39" t="n">
        <f aca="false">MIN(T118,'Inputs &amp; Assumptions'!$C$36)</f>
        <v>37500</v>
      </c>
      <c r="U119" s="39" t="n">
        <f aca="false">MIN(U118,'Inputs &amp; Assumptions'!$C$36)</f>
        <v>37500</v>
      </c>
      <c r="V119" s="39" t="n">
        <f aca="false">MIN(V118,'Inputs &amp; Assumptions'!$C$36)</f>
        <v>37500</v>
      </c>
      <c r="W119" s="39" t="n">
        <f aca="false">MIN(W118,'Inputs &amp; Assumptions'!$C$36)</f>
        <v>37500</v>
      </c>
      <c r="X119" s="39" t="n">
        <f aca="false">MIN(X118,'Inputs &amp; Assumptions'!$C$36)</f>
        <v>37500</v>
      </c>
      <c r="Y119" s="39" t="n">
        <f aca="false">MIN(Y118,'Inputs &amp; Assumptions'!$C$36)</f>
        <v>37500</v>
      </c>
      <c r="Z119" s="39" t="n">
        <f aca="false">MIN(Z118,'Inputs &amp; Assumptions'!$C$36)</f>
        <v>37500</v>
      </c>
      <c r="AA119" s="39" t="n">
        <f aca="false">MIN(AA118,'Inputs &amp; Assumptions'!$C$36)</f>
        <v>37500</v>
      </c>
      <c r="AB119" s="39" t="n">
        <f aca="false">MIN(AB118,'Inputs &amp; Assumptions'!$C$36)</f>
        <v>37500</v>
      </c>
      <c r="AC119" s="39" t="n">
        <f aca="false">MIN(AC118,'Inputs &amp; Assumptions'!$C$36)</f>
        <v>37500</v>
      </c>
      <c r="AD119" s="39" t="n">
        <f aca="false">MIN(AD118,'Inputs &amp; Assumptions'!$C$36)</f>
        <v>37500</v>
      </c>
      <c r="AE119" s="39" t="n">
        <f aca="false">MIN(AE118,'Inputs &amp; Assumptions'!$C$36)</f>
        <v>37500</v>
      </c>
      <c r="AF119" s="39" t="n">
        <f aca="false">MIN(AF118,'Inputs &amp; Assumptions'!$C$36)</f>
        <v>37500</v>
      </c>
      <c r="AG119" s="39" t="n">
        <f aca="false">MIN(AG118,'Inputs &amp; Assumptions'!$C$36)</f>
        <v>0</v>
      </c>
      <c r="AH119" s="39" t="n">
        <f aca="false">MIN(AH118,'Inputs &amp; Assumptions'!$C$36)</f>
        <v>0</v>
      </c>
      <c r="AI119" s="39" t="n">
        <f aca="false">MIN(AI118,'Inputs &amp; Assumptions'!$C$36)</f>
        <v>0</v>
      </c>
      <c r="AJ119" s="39" t="n">
        <f aca="false">MIN(AJ118,'Inputs &amp; Assumptions'!$C$36)</f>
        <v>0</v>
      </c>
      <c r="AK119" s="39" t="n">
        <f aca="false">MIN(AK118,'Inputs &amp; Assumptions'!$C$36)</f>
        <v>0</v>
      </c>
      <c r="AL119" s="39" t="n">
        <f aca="false">MIN(AL118,'Inputs &amp; Assumptions'!$C$36)</f>
        <v>0</v>
      </c>
      <c r="AM119" s="39" t="n">
        <f aca="false">MIN(AM118,'Inputs &amp; Assumptions'!$C$36)</f>
        <v>0</v>
      </c>
      <c r="AN119" s="39" t="n">
        <f aca="false">MIN(AN118,'Inputs &amp; Assumptions'!$C$36)</f>
        <v>0</v>
      </c>
    </row>
    <row r="120" customFormat="false" ht="15" hidden="false" customHeight="false" outlineLevel="0" collapsed="false">
      <c r="A120" s="5" t="s">
        <v>151</v>
      </c>
      <c r="E120" s="39" t="n">
        <f aca="false">E118-E119</f>
        <v>10253077.2613315</v>
      </c>
      <c r="F120" s="39" t="n">
        <f aca="false">F118-F119</f>
        <v>9696629.95035017</v>
      </c>
      <c r="G120" s="39" t="n">
        <f aca="false">G118-G119</f>
        <v>9141341.24442638</v>
      </c>
      <c r="H120" s="39" t="n">
        <f aca="false">H118-H119</f>
        <v>8589806.30377498</v>
      </c>
      <c r="I120" s="39" t="n">
        <f aca="false">I118-I119</f>
        <v>8045566.33148184</v>
      </c>
      <c r="J120" s="39" t="n">
        <f aca="false">J118-J119</f>
        <v>7529119.94286761</v>
      </c>
      <c r="K120" s="39" t="n">
        <f aca="false">K118-K119</f>
        <v>7048628.02869272</v>
      </c>
      <c r="L120" s="39" t="n">
        <f aca="false">L118-L119</f>
        <v>6601836.45152665</v>
      </c>
      <c r="M120" s="39" t="n">
        <f aca="false">M118-M119</f>
        <v>6185707.20894852</v>
      </c>
      <c r="N120" s="39" t="n">
        <f aca="false">N118-N119</f>
        <v>5797781.62361711</v>
      </c>
      <c r="O120" s="39" t="n">
        <f aca="false">O118-O119</f>
        <v>5436446.49524267</v>
      </c>
      <c r="P120" s="39" t="n">
        <f aca="false">P118-P119</f>
        <v>5099984.54248067</v>
      </c>
      <c r="Q120" s="39" t="n">
        <f aca="false">Q118-Q119</f>
        <v>4785902.40597803</v>
      </c>
      <c r="R120" s="39" t="n">
        <f aca="false">R118-R119</f>
        <v>4492317.83926968</v>
      </c>
      <c r="S120" s="39" t="n">
        <f aca="false">S118-S119</f>
        <v>4218110.72525698</v>
      </c>
      <c r="T120" s="39" t="n">
        <f aca="false">T118-T119</f>
        <v>3962081.54603989</v>
      </c>
      <c r="U120" s="39" t="n">
        <f aca="false">U118-U119</f>
        <v>3722494.98938672</v>
      </c>
      <c r="V120" s="39" t="n">
        <f aca="false">V118-V119</f>
        <v>3498029.32963916</v>
      </c>
      <c r="W120" s="39" t="n">
        <f aca="false">W118-W119</f>
        <v>3091404.91290453</v>
      </c>
      <c r="X120" s="39" t="n">
        <f aca="false">X118-X119</f>
        <v>2621775.84703576</v>
      </c>
      <c r="Y120" s="39" t="n">
        <f aca="false">Y118-Y119</f>
        <v>2190300.13896586</v>
      </c>
      <c r="Z120" s="39" t="n">
        <f aca="false">Z118-Z119</f>
        <v>1794533.3670787</v>
      </c>
      <c r="AA120" s="39" t="n">
        <f aca="false">AA118-AA119</f>
        <v>1431981.08039293</v>
      </c>
      <c r="AB120" s="39" t="n">
        <f aca="false">AB118-AB119</f>
        <v>1100310.94283236</v>
      </c>
      <c r="AC120" s="39" t="n">
        <f aca="false">AC118-AC119</f>
        <v>797162.568065546</v>
      </c>
      <c r="AD120" s="39" t="n">
        <f aca="false">AD118-AD119</f>
        <v>519805.6077097</v>
      </c>
      <c r="AE120" s="39" t="n">
        <f aca="false">AE118-AE119</f>
        <v>266455.013049062</v>
      </c>
      <c r="AF120" s="39" t="n">
        <f aca="false">AF118-AF119</f>
        <v>35439.7401456769</v>
      </c>
      <c r="AG120" s="39" t="n">
        <f aca="false">AG118-AG119</f>
        <v>0</v>
      </c>
      <c r="AH120" s="39" t="n">
        <f aca="false">AH118-AH119</f>
        <v>0</v>
      </c>
      <c r="AI120" s="39" t="n">
        <f aca="false">AI118-AI119</f>
        <v>0</v>
      </c>
      <c r="AJ120" s="39" t="n">
        <f aca="false">AJ118-AJ119</f>
        <v>0</v>
      </c>
      <c r="AK120" s="39" t="n">
        <f aca="false">AK118-AK119</f>
        <v>0</v>
      </c>
      <c r="AL120" s="39" t="n">
        <f aca="false">AL118-AL119</f>
        <v>0</v>
      </c>
      <c r="AM120" s="39" t="n">
        <f aca="false">AM118-AM119</f>
        <v>0</v>
      </c>
      <c r="AN120" s="39" t="n">
        <f aca="false">AN118-AN119</f>
        <v>0</v>
      </c>
    </row>
    <row r="121" customFormat="false" ht="15" hidden="false" customHeight="false" outlineLevel="0" collapsed="false">
      <c r="A121" s="5" t="s">
        <v>152</v>
      </c>
      <c r="E121" s="39" t="n">
        <f aca="false">MIN(E120,E117)</f>
        <v>3679993.40901979</v>
      </c>
      <c r="F121" s="39" t="n">
        <f aca="false">MIN(F120,F117)</f>
        <v>3489039.3123889</v>
      </c>
      <c r="G121" s="39" t="n">
        <f aca="false">MIN(G120,G117)</f>
        <v>3296585.82079746</v>
      </c>
      <c r="H121" s="39" t="n">
        <f aca="false">MIN(H120,H117)</f>
        <v>3103514.56809759</v>
      </c>
      <c r="I121" s="39" t="n">
        <f aca="false">MIN(I120,I117)</f>
        <v>2910602.85377796</v>
      </c>
      <c r="J121" s="39" t="n">
        <f aca="false">MIN(J120,J117)</f>
        <v>2726152.55934865</v>
      </c>
      <c r="K121" s="39" t="n">
        <f aca="false">MIN(K120,K117)</f>
        <v>2553487.23420332</v>
      </c>
      <c r="L121" s="39" t="n">
        <f aca="false">MIN(L120,L117)</f>
        <v>2391786.42071803</v>
      </c>
      <c r="M121" s="39" t="n">
        <f aca="false">MIN(M120,M117)</f>
        <v>2240281.0992128</v>
      </c>
      <c r="N121" s="39" t="n">
        <f aca="false">MIN(N120,N117)</f>
        <v>2073957.17646698</v>
      </c>
      <c r="O121" s="39" t="n">
        <f aca="false">MIN(O120,O117)</f>
        <v>1917394.05127935</v>
      </c>
      <c r="P121" s="39" t="n">
        <f aca="false">MIN(P120,P117)</f>
        <v>1770263.28572623</v>
      </c>
      <c r="Q121" s="39" t="n">
        <f aca="false">MIN(Q120,Q117)</f>
        <v>1632111.81322793</v>
      </c>
      <c r="R121" s="39" t="n">
        <f aca="false">MIN(R120,R117)</f>
        <v>1502840.64815254</v>
      </c>
      <c r="S121" s="39" t="n">
        <f aca="false">MIN(S120,S117)</f>
        <v>1382083.81575709</v>
      </c>
      <c r="T121" s="39" t="n">
        <f aca="false">MIN(T120,T117)</f>
        <v>1269428.60341878</v>
      </c>
      <c r="U121" s="39" t="n">
        <f aca="false">MIN(U120,U117)</f>
        <v>1164393.53474419</v>
      </c>
      <c r="V121" s="39" t="n">
        <f aca="false">MIN(V120,V117)</f>
        <v>1066311.49985899</v>
      </c>
      <c r="W121" s="39" t="n">
        <f aca="false">MIN(W120,W117)</f>
        <v>893214.604131503</v>
      </c>
      <c r="X121" s="39" t="n">
        <f aca="false">MIN(X120,X117)</f>
        <v>694267.915039322</v>
      </c>
      <c r="Y121" s="39" t="n">
        <f aca="false">MIN(Y120,Y117)</f>
        <v>511412.130195537</v>
      </c>
      <c r="Z121" s="39" t="n">
        <f aca="false">MIN(Z120,Z117)</f>
        <v>343485.367017581</v>
      </c>
      <c r="AA121" s="39" t="n">
        <f aca="false">MIN(AA120,AA117)</f>
        <v>167344.004695054</v>
      </c>
      <c r="AB121" s="39" t="n">
        <f aca="false">MIN(AB120,AB117)</f>
        <v>5948.63373831806</v>
      </c>
      <c r="AC121" s="39" t="n">
        <f aca="false">MIN(AC120,AC117)</f>
        <v>0</v>
      </c>
      <c r="AD121" s="39" t="n">
        <f aca="false">MIN(AD120,AD117)</f>
        <v>0</v>
      </c>
      <c r="AE121" s="39" t="n">
        <f aca="false">MIN(AE120,AE117)</f>
        <v>0</v>
      </c>
      <c r="AF121" s="39" t="n">
        <f aca="false">MIN(AF120,AF117)</f>
        <v>0</v>
      </c>
      <c r="AG121" s="39" t="n">
        <f aca="false">MIN(AG120,AG117)</f>
        <v>0</v>
      </c>
      <c r="AH121" s="39" t="n">
        <f aca="false">MIN(AH120,AH117)</f>
        <v>0</v>
      </c>
      <c r="AI121" s="39" t="n">
        <f aca="false">MIN(AI120,AI117)</f>
        <v>0</v>
      </c>
      <c r="AJ121" s="39" t="n">
        <f aca="false">MIN(AJ120,AJ117)</f>
        <v>0</v>
      </c>
      <c r="AK121" s="39" t="n">
        <f aca="false">MIN(AK120,AK117)</f>
        <v>0</v>
      </c>
      <c r="AL121" s="39" t="n">
        <f aca="false">MIN(AL120,AL117)</f>
        <v>0</v>
      </c>
      <c r="AM121" s="39" t="n">
        <f aca="false">MIN(AM120,AM117)</f>
        <v>0</v>
      </c>
      <c r="AN121" s="39" t="n">
        <f aca="false">MIN(AN120,AN117)</f>
        <v>0</v>
      </c>
    </row>
    <row r="122" customFormat="false" ht="15" hidden="false" customHeight="false" outlineLevel="0" collapsed="false">
      <c r="A122" s="5" t="s">
        <v>153</v>
      </c>
      <c r="E122" s="39" t="n">
        <f aca="false">E120-E121</f>
        <v>6573083.85231172</v>
      </c>
      <c r="F122" s="39" t="n">
        <f aca="false">F120-F121</f>
        <v>6207590.63796128</v>
      </c>
      <c r="G122" s="39" t="n">
        <f aca="false">G120-G121</f>
        <v>5844755.42362892</v>
      </c>
      <c r="H122" s="39" t="n">
        <f aca="false">H120-H121</f>
        <v>5486291.73567739</v>
      </c>
      <c r="I122" s="39" t="n">
        <f aca="false">I120-I121</f>
        <v>5134963.47770388</v>
      </c>
      <c r="J122" s="39" t="n">
        <f aca="false">J120-J121</f>
        <v>4802967.38351896</v>
      </c>
      <c r="K122" s="39" t="n">
        <f aca="false">K120-K121</f>
        <v>4495140.7944894</v>
      </c>
      <c r="L122" s="39" t="n">
        <f aca="false">L120-L121</f>
        <v>4210050.03080861</v>
      </c>
      <c r="M122" s="39" t="n">
        <f aca="false">M120-M121</f>
        <v>3945426.10973572</v>
      </c>
      <c r="N122" s="39" t="n">
        <f aca="false">N120-N121</f>
        <v>3723824.44715013</v>
      </c>
      <c r="O122" s="39" t="n">
        <f aca="false">O120-O121</f>
        <v>3519052.44396332</v>
      </c>
      <c r="P122" s="39" t="n">
        <f aca="false">P120-P121</f>
        <v>3329721.25675444</v>
      </c>
      <c r="Q122" s="39" t="n">
        <f aca="false">Q120-Q121</f>
        <v>3153790.5927501</v>
      </c>
      <c r="R122" s="39" t="n">
        <f aca="false">R120-R121</f>
        <v>2989477.19111715</v>
      </c>
      <c r="S122" s="39" t="n">
        <f aca="false">S120-S121</f>
        <v>2836026.9094999</v>
      </c>
      <c r="T122" s="39" t="n">
        <f aca="false">T120-T121</f>
        <v>2692652.94262111</v>
      </c>
      <c r="U122" s="39" t="n">
        <f aca="false">U120-U121</f>
        <v>2558101.45464253</v>
      </c>
      <c r="V122" s="39" t="n">
        <f aca="false">V120-V121</f>
        <v>2431717.82978017</v>
      </c>
      <c r="W122" s="39" t="n">
        <f aca="false">W120-W121</f>
        <v>2198190.30877302</v>
      </c>
      <c r="X122" s="39" t="n">
        <f aca="false">X120-X121</f>
        <v>1927507.93199643</v>
      </c>
      <c r="Y122" s="39" t="n">
        <f aca="false">Y120-Y121</f>
        <v>1678888.00877033</v>
      </c>
      <c r="Z122" s="39" t="n">
        <f aca="false">Z120-Z121</f>
        <v>1451048.00006112</v>
      </c>
      <c r="AA122" s="39" t="n">
        <f aca="false">AA120-AA121</f>
        <v>1264637.07569788</v>
      </c>
      <c r="AB122" s="39" t="n">
        <f aca="false">AB120-AB121</f>
        <v>1094362.30909404</v>
      </c>
      <c r="AC122" s="39" t="n">
        <f aca="false">AC120-AC121</f>
        <v>797162.568065546</v>
      </c>
      <c r="AD122" s="39" t="n">
        <f aca="false">AD120-AD121</f>
        <v>519805.6077097</v>
      </c>
      <c r="AE122" s="39" t="n">
        <f aca="false">AE120-AE121</f>
        <v>266455.013049062</v>
      </c>
      <c r="AF122" s="39" t="n">
        <f aca="false">AF120-AF121</f>
        <v>35439.7401456769</v>
      </c>
      <c r="AG122" s="39" t="n">
        <f aca="false">AG120-AG121</f>
        <v>0</v>
      </c>
      <c r="AH122" s="39" t="n">
        <f aca="false">AH120-AH121</f>
        <v>0</v>
      </c>
      <c r="AI122" s="39" t="n">
        <f aca="false">AI120-AI121</f>
        <v>0</v>
      </c>
      <c r="AJ122" s="39" t="n">
        <f aca="false">AJ120-AJ121</f>
        <v>0</v>
      </c>
      <c r="AK122" s="39" t="n">
        <f aca="false">AK120-AK121</f>
        <v>0</v>
      </c>
      <c r="AL122" s="39" t="n">
        <f aca="false">AL120-AL121</f>
        <v>0</v>
      </c>
      <c r="AM122" s="39" t="n">
        <f aca="false">AM120-AM121</f>
        <v>0</v>
      </c>
      <c r="AN122" s="39" t="n">
        <f aca="false">AN120-AN121</f>
        <v>0</v>
      </c>
    </row>
    <row r="123" customFormat="false" ht="15" hidden="false" customHeight="false" outlineLevel="0" collapsed="false">
      <c r="A123" s="5" t="s">
        <v>154</v>
      </c>
      <c r="E123" s="39" t="n">
        <f aca="false">E117-E121</f>
        <v>0</v>
      </c>
      <c r="F123" s="39" t="n">
        <f aca="false">F117-F121</f>
        <v>0</v>
      </c>
      <c r="G123" s="39" t="n">
        <f aca="false">G117-G121</f>
        <v>0</v>
      </c>
      <c r="H123" s="39" t="n">
        <f aca="false">H117-H121</f>
        <v>0</v>
      </c>
      <c r="I123" s="39" t="n">
        <f aca="false">I117-I121</f>
        <v>0</v>
      </c>
      <c r="J123" s="39" t="n">
        <f aca="false">J117-J121</f>
        <v>0</v>
      </c>
      <c r="K123" s="39" t="n">
        <f aca="false">K117-K121</f>
        <v>0</v>
      </c>
      <c r="L123" s="39" t="n">
        <f aca="false">L117-L121</f>
        <v>0</v>
      </c>
      <c r="M123" s="39" t="n">
        <f aca="false">M117-M121</f>
        <v>0</v>
      </c>
      <c r="N123" s="39" t="n">
        <f aca="false">N117-N121</f>
        <v>0</v>
      </c>
      <c r="O123" s="39" t="n">
        <f aca="false">O117-O121</f>
        <v>0</v>
      </c>
      <c r="P123" s="39" t="n">
        <f aca="false">P117-P121</f>
        <v>0</v>
      </c>
      <c r="Q123" s="39" t="n">
        <f aca="false">Q117-Q121</f>
        <v>0</v>
      </c>
      <c r="R123" s="39" t="n">
        <f aca="false">R117-R121</f>
        <v>0</v>
      </c>
      <c r="S123" s="39" t="n">
        <f aca="false">S117-S121</f>
        <v>0</v>
      </c>
      <c r="T123" s="39" t="n">
        <f aca="false">T117-T121</f>
        <v>0</v>
      </c>
      <c r="U123" s="39" t="n">
        <f aca="false">U117-U121</f>
        <v>0</v>
      </c>
      <c r="V123" s="39" t="n">
        <f aca="false">V117-V121</f>
        <v>0</v>
      </c>
      <c r="W123" s="39" t="n">
        <f aca="false">W117-W121</f>
        <v>0</v>
      </c>
      <c r="X123" s="39" t="n">
        <f aca="false">X117-X121</f>
        <v>0</v>
      </c>
      <c r="Y123" s="39" t="n">
        <f aca="false">Y117-Y121</f>
        <v>0</v>
      </c>
      <c r="Z123" s="39" t="n">
        <f aca="false">Z117-Z121</f>
        <v>0</v>
      </c>
      <c r="AA123" s="39" t="n">
        <f aca="false">AA117-AA121</f>
        <v>0</v>
      </c>
      <c r="AB123" s="39" t="n">
        <f aca="false">AB117-AB121</f>
        <v>0</v>
      </c>
      <c r="AC123" s="39" t="n">
        <f aca="false">AC117-AC121</f>
        <v>0</v>
      </c>
      <c r="AD123" s="39" t="n">
        <f aca="false">AD117-AD121</f>
        <v>0</v>
      </c>
      <c r="AE123" s="39" t="n">
        <f aca="false">AE117-AE121</f>
        <v>0</v>
      </c>
      <c r="AF123" s="39" t="n">
        <f aca="false">AF117-AF121</f>
        <v>0</v>
      </c>
      <c r="AG123" s="39" t="n">
        <f aca="false">AG117-AG121</f>
        <v>0</v>
      </c>
      <c r="AH123" s="39" t="n">
        <f aca="false">AH117-AH121</f>
        <v>0</v>
      </c>
      <c r="AI123" s="39" t="n">
        <f aca="false">AI117-AI121</f>
        <v>0</v>
      </c>
      <c r="AJ123" s="39" t="n">
        <f aca="false">AJ117-AJ121</f>
        <v>0</v>
      </c>
      <c r="AK123" s="39" t="n">
        <f aca="false">AK117-AK121</f>
        <v>0</v>
      </c>
      <c r="AL123" s="39" t="n">
        <f aca="false">AL117-AL121</f>
        <v>0</v>
      </c>
      <c r="AM123" s="39" t="n">
        <f aca="false">AM117-AM121</f>
        <v>0</v>
      </c>
      <c r="AN123" s="39" t="n">
        <f aca="false">AN117-AN121</f>
        <v>0</v>
      </c>
    </row>
    <row r="124" customFormat="false" ht="15" hidden="false" customHeight="false" outlineLevel="0" collapsed="false">
      <c r="A124" s="14" t="s">
        <v>155</v>
      </c>
      <c r="E124" s="18" t="n">
        <f aca="false">IF('Scenario Analysis'!E100&gt;0,E115/'Scenario Analysis'!E100,0)</f>
        <v>0.6</v>
      </c>
      <c r="F124" s="18" t="n">
        <f aca="false">IF('Scenario Analysis'!F100&gt;0,F115/'Scenario Analysis'!F100,0)</f>
        <v>0.60128488059812</v>
      </c>
      <c r="G124" s="18" t="n">
        <f aca="false">IF('Scenario Analysis'!G100&gt;0,G115/'Scenario Analysis'!G100,0)</f>
        <v>0.602448696720308</v>
      </c>
      <c r="H124" s="18" t="n">
        <f aca="false">IF('Scenario Analysis'!H100&gt;0,H115/'Scenario Analysis'!H100,0)</f>
        <v>0.603413956816919</v>
      </c>
      <c r="I124" s="18" t="n">
        <f aca="false">IF('Scenario Analysis'!I100&gt;0,I115/'Scenario Analysis'!I100,0)</f>
        <v>0.604126741036612</v>
      </c>
      <c r="J124" s="18" t="n">
        <f aca="false">IF('Scenario Analysis'!J100&gt;0,J115/'Scenario Analysis'!J100,0)</f>
        <v>0.604650340675248</v>
      </c>
      <c r="K124" s="18" t="n">
        <f aca="false">IF('Scenario Analysis'!K100&gt;0,K115/'Scenario Analysis'!K100,0)</f>
        <v>0.605009311806415</v>
      </c>
      <c r="L124" s="18" t="n">
        <f aca="false">IF('Scenario Analysis'!L100&gt;0,L115/'Scenario Analysis'!L100,0)</f>
        <v>0.605123041300763</v>
      </c>
      <c r="M124" s="18" t="n">
        <f aca="false">IF('Scenario Analysis'!M100&gt;0,M115/'Scenario Analysis'!M100,0)</f>
        <v>0.604934183575439</v>
      </c>
      <c r="N124" s="18" t="n">
        <f aca="false">IF('Scenario Analysis'!N100&gt;0,N115/'Scenario Analysis'!N100,0)</f>
        <v>0.597469598837229</v>
      </c>
      <c r="O124" s="18" t="n">
        <f aca="false">IF('Scenario Analysis'!O100&gt;0,O115/'Scenario Analysis'!O100,0)</f>
        <v>0.589087548874689</v>
      </c>
      <c r="P124" s="18" t="n">
        <f aca="false">IF('Scenario Analysis'!P100&gt;0,P115/'Scenario Analysis'!P100,0)</f>
        <v>0.579785838107794</v>
      </c>
      <c r="Q124" s="18" t="n">
        <f aca="false">IF('Scenario Analysis'!Q100&gt;0,Q115/'Scenario Analysis'!Q100,0)</f>
        <v>0.569547131308072</v>
      </c>
      <c r="R124" s="18" t="n">
        <f aca="false">IF('Scenario Analysis'!R100&gt;0,R115/'Scenario Analysis'!R100,0)</f>
        <v>0.558585587826773</v>
      </c>
      <c r="S124" s="18" t="n">
        <f aca="false">IF('Scenario Analysis'!S100&gt;0,S115/'Scenario Analysis'!S100,0)</f>
        <v>0.546995725242546</v>
      </c>
      <c r="T124" s="18" t="n">
        <f aca="false">IF('Scenario Analysis'!T100&gt;0,T115/'Scenario Analysis'!T100,0)</f>
        <v>0.534781867871539</v>
      </c>
      <c r="U124" s="18" t="n">
        <f aca="false">IF('Scenario Analysis'!U100&gt;0,U115/'Scenario Analysis'!U100,0)</f>
        <v>0.521933915232904</v>
      </c>
      <c r="V124" s="18" t="n">
        <f aca="false">IF('Scenario Analysis'!V100&gt;0,V115/'Scenario Analysis'!V100,0)</f>
        <v>0.508425255457898</v>
      </c>
      <c r="W124" s="18" t="n">
        <f aca="false">IF('Scenario Analysis'!W100&gt;0,W115/'Scenario Analysis'!W100,0)</f>
        <v>0.481323882960386</v>
      </c>
      <c r="X124" s="18" t="n">
        <f aca="false">IF('Scenario Analysis'!X100&gt;0,X115/'Scenario Analysis'!X100,0)</f>
        <v>0.44026846026148</v>
      </c>
      <c r="Y124" s="18" t="n">
        <f aca="false">IF('Scenario Analysis'!Y100&gt;0,Y115/'Scenario Analysis'!Y100,0)</f>
        <v>0.387169493592023</v>
      </c>
      <c r="Z124" s="18" t="n">
        <f aca="false">IF('Scenario Analysis'!Z100&gt;0,Z115/'Scenario Analysis'!Z100,0)</f>
        <v>0.316243401218541</v>
      </c>
      <c r="AA124" s="18" t="n">
        <f aca="false">IF('Scenario Analysis'!AA100&gt;0,AA115/'Scenario Analysis'!AA100,0)</f>
        <v>0.192109277418125</v>
      </c>
      <c r="AB124" s="18" t="n">
        <f aca="false">IF('Scenario Analysis'!AB100&gt;0,AB115/'Scenario Analysis'!AB100,0)</f>
        <v>0.00882126105284846</v>
      </c>
      <c r="AC124" s="18" t="n">
        <f aca="false">IF('Scenario Analysis'!AC100&gt;0,AC115/'Scenario Analysis'!AC100,0)</f>
        <v>0</v>
      </c>
      <c r="AD124" s="18" t="n">
        <f aca="false">IF('Scenario Analysis'!AD100&gt;0,AD115/'Scenario Analysis'!AD100,0)</f>
        <v>0</v>
      </c>
      <c r="AE124" s="18" t="n">
        <f aca="false">IF('Scenario Analysis'!AE100&gt;0,AE115/'Scenario Analysis'!AE100,0)</f>
        <v>0</v>
      </c>
      <c r="AF124" s="18" t="n">
        <f aca="false">IF('Scenario Analysis'!AF100&gt;0,AF115/'Scenario Analysis'!AF100,0)</f>
        <v>0</v>
      </c>
      <c r="AG124" s="18" t="n">
        <f aca="false">IF('Scenario Analysis'!AG100&gt;0,AG115/'Scenario Analysis'!AG100,0)</f>
        <v>0</v>
      </c>
      <c r="AH124" s="18" t="n">
        <f aca="false">IF('Scenario Analysis'!AH100&gt;0,AH115/'Scenario Analysis'!AH100,0)</f>
        <v>0</v>
      </c>
      <c r="AI124" s="18" t="n">
        <f aca="false">IF('Scenario Analysis'!AI100&gt;0,AI115/'Scenario Analysis'!AI100,0)</f>
        <v>0</v>
      </c>
      <c r="AJ124" s="18" t="n">
        <f aca="false">IF('Scenario Analysis'!AJ100&gt;0,AJ115/'Scenario Analysis'!AJ100,0)</f>
        <v>0</v>
      </c>
      <c r="AK124" s="18" t="n">
        <f aca="false">IF('Scenario Analysis'!AK100&gt;0,AK115/'Scenario Analysis'!AK100,0)</f>
        <v>0</v>
      </c>
      <c r="AL124" s="18" t="n">
        <f aca="false">IF('Scenario Analysis'!AL100&gt;0,AL115/'Scenario Analysis'!AL100,0)</f>
        <v>0</v>
      </c>
      <c r="AM124" s="18" t="n">
        <f aca="false">IF('Scenario Analysis'!AM100&gt;0,AM115/'Scenario Analysis'!AM100,0)</f>
        <v>0</v>
      </c>
      <c r="AN124" s="18" t="n">
        <f aca="false">IF('Scenario Analysis'!AN100&gt;0,AN115/'Scenario Analysis'!AN100,0)</f>
        <v>0</v>
      </c>
    </row>
    <row r="125" customFormat="false" ht="15" hidden="false" customHeight="false" outlineLevel="0" collapsed="false">
      <c r="A125" s="5" t="s">
        <v>156</v>
      </c>
      <c r="E125" s="39" t="n">
        <f aca="false">MAX(0,E115-'Inputs &amp; Assumptions'!$C$31*'Scenario Analysis'!E100)</f>
        <v>0</v>
      </c>
      <c r="F125" s="39" t="n">
        <f aca="false">MAX(0,F115-'Inputs &amp; Assumptions'!$C$31*'Scenario Analysis'!F100)</f>
        <v>0</v>
      </c>
      <c r="G125" s="39" t="n">
        <f aca="false">MAX(0,G115-'Inputs &amp; Assumptions'!$C$31*'Scenario Analysis'!G100)</f>
        <v>0</v>
      </c>
      <c r="H125" s="39" t="n">
        <f aca="false">MAX(0,H115-'Inputs &amp; Assumptions'!$C$31*'Scenario Analysis'!H100)</f>
        <v>0</v>
      </c>
      <c r="I125" s="39" t="n">
        <f aca="false">MAX(0,I115-'Inputs &amp; Assumptions'!$C$31*'Scenario Analysis'!I100)</f>
        <v>0</v>
      </c>
      <c r="J125" s="39" t="n">
        <f aca="false">MAX(0,J115-'Inputs &amp; Assumptions'!$C$31*'Scenario Analysis'!J100)</f>
        <v>0</v>
      </c>
      <c r="K125" s="39" t="n">
        <f aca="false">MAX(0,K115-'Inputs &amp; Assumptions'!$C$31*'Scenario Analysis'!K100)</f>
        <v>0</v>
      </c>
      <c r="L125" s="39" t="n">
        <f aca="false">MAX(0,L115-'Inputs &amp; Assumptions'!$C$31*'Scenario Analysis'!L100)</f>
        <v>0</v>
      </c>
      <c r="M125" s="39" t="n">
        <f aca="false">MAX(0,M115-'Inputs &amp; Assumptions'!$C$31*'Scenario Analysis'!M100)</f>
        <v>0</v>
      </c>
      <c r="N125" s="39" t="n">
        <f aca="false">MAX(0,N115-'Inputs &amp; Assumptions'!$C$31*'Scenario Analysis'!N100)</f>
        <v>0</v>
      </c>
      <c r="O125" s="39" t="n">
        <f aca="false">MAX(0,O115-'Inputs &amp; Assumptions'!$C$31*'Scenario Analysis'!O100)</f>
        <v>0</v>
      </c>
      <c r="P125" s="39" t="n">
        <f aca="false">MAX(0,P115-'Inputs &amp; Assumptions'!$C$31*'Scenario Analysis'!P100)</f>
        <v>0</v>
      </c>
      <c r="Q125" s="39" t="n">
        <f aca="false">MAX(0,Q115-'Inputs &amp; Assumptions'!$C$31*'Scenario Analysis'!Q100)</f>
        <v>0</v>
      </c>
      <c r="R125" s="39" t="n">
        <f aca="false">MAX(0,R115-'Inputs &amp; Assumptions'!$C$31*'Scenario Analysis'!R100)</f>
        <v>0</v>
      </c>
      <c r="S125" s="39" t="n">
        <f aca="false">MAX(0,S115-'Inputs &amp; Assumptions'!$C$31*'Scenario Analysis'!S100)</f>
        <v>0</v>
      </c>
      <c r="T125" s="39" t="n">
        <f aca="false">MAX(0,T115-'Inputs &amp; Assumptions'!$C$31*'Scenario Analysis'!T100)</f>
        <v>0</v>
      </c>
      <c r="U125" s="39" t="n">
        <f aca="false">MAX(0,U115-'Inputs &amp; Assumptions'!$C$31*'Scenario Analysis'!U100)</f>
        <v>0</v>
      </c>
      <c r="V125" s="39" t="n">
        <f aca="false">MAX(0,V115-'Inputs &amp; Assumptions'!$C$31*'Scenario Analysis'!V100)</f>
        <v>0</v>
      </c>
      <c r="W125" s="39" t="n">
        <f aca="false">MAX(0,W115-'Inputs &amp; Assumptions'!$C$31*'Scenario Analysis'!W100)</f>
        <v>0</v>
      </c>
      <c r="X125" s="39" t="n">
        <f aca="false">MAX(0,X115-'Inputs &amp; Assumptions'!$C$31*'Scenario Analysis'!X100)</f>
        <v>0</v>
      </c>
      <c r="Y125" s="39" t="n">
        <f aca="false">MAX(0,Y115-'Inputs &amp; Assumptions'!$C$31*'Scenario Analysis'!Y100)</f>
        <v>0</v>
      </c>
      <c r="Z125" s="39" t="n">
        <f aca="false">MAX(0,Z115-'Inputs &amp; Assumptions'!$C$31*'Scenario Analysis'!Z100)</f>
        <v>0</v>
      </c>
      <c r="AA125" s="39" t="n">
        <f aca="false">MAX(0,AA115-'Inputs &amp; Assumptions'!$C$31*'Scenario Analysis'!AA100)</f>
        <v>0</v>
      </c>
      <c r="AB125" s="39" t="n">
        <f aca="false">MAX(0,AB115-'Inputs &amp; Assumptions'!$C$31*'Scenario Analysis'!AB100)</f>
        <v>0</v>
      </c>
      <c r="AC125" s="39" t="n">
        <f aca="false">MAX(0,AC115-'Inputs &amp; Assumptions'!$C$31*'Scenario Analysis'!AC100)</f>
        <v>0</v>
      </c>
      <c r="AD125" s="39" t="n">
        <f aca="false">MAX(0,AD115-'Inputs &amp; Assumptions'!$C$31*'Scenario Analysis'!AD100)</f>
        <v>0</v>
      </c>
      <c r="AE125" s="39" t="n">
        <f aca="false">MAX(0,AE115-'Inputs &amp; Assumptions'!$C$31*'Scenario Analysis'!AE100)</f>
        <v>0</v>
      </c>
      <c r="AF125" s="39" t="n">
        <f aca="false">MAX(0,AF115-'Inputs &amp; Assumptions'!$C$31*'Scenario Analysis'!AF100)</f>
        <v>0</v>
      </c>
      <c r="AG125" s="39" t="n">
        <f aca="false">MAX(0,AG115-'Inputs &amp; Assumptions'!$C$31*'Scenario Analysis'!AG100)</f>
        <v>0</v>
      </c>
      <c r="AH125" s="39" t="n">
        <f aca="false">MAX(0,AH115-'Inputs &amp; Assumptions'!$C$31*'Scenario Analysis'!AH100)</f>
        <v>0</v>
      </c>
      <c r="AI125" s="39" t="n">
        <f aca="false">MAX(0,AI115-'Inputs &amp; Assumptions'!$C$31*'Scenario Analysis'!AI100)</f>
        <v>0</v>
      </c>
      <c r="AJ125" s="39" t="n">
        <f aca="false">MAX(0,AJ115-'Inputs &amp; Assumptions'!$C$31*'Scenario Analysis'!AJ100)</f>
        <v>0</v>
      </c>
      <c r="AK125" s="39" t="n">
        <f aca="false">MAX(0,AK115-'Inputs &amp; Assumptions'!$C$31*'Scenario Analysis'!AK100)</f>
        <v>0</v>
      </c>
      <c r="AL125" s="39" t="n">
        <f aca="false">MAX(0,AL115-'Inputs &amp; Assumptions'!$C$31*'Scenario Analysis'!AL100)</f>
        <v>0</v>
      </c>
      <c r="AM125" s="39" t="n">
        <f aca="false">MAX(0,AM115-'Inputs &amp; Assumptions'!$C$31*'Scenario Analysis'!AM100)</f>
        <v>0</v>
      </c>
      <c r="AN125" s="39" t="n">
        <f aca="false">MAX(0,AN115-'Inputs &amp; Assumptions'!$C$31*'Scenario Analysis'!AN100)</f>
        <v>0</v>
      </c>
    </row>
    <row r="126" customFormat="false" ht="15" hidden="false" customHeight="false" outlineLevel="0" collapsed="false">
      <c r="A126" s="5" t="s">
        <v>157</v>
      </c>
      <c r="E126" s="39" t="n">
        <f aca="false">MIN(E122,E125)</f>
        <v>0</v>
      </c>
      <c r="F126" s="39" t="n">
        <f aca="false">MIN(F122,F125)</f>
        <v>0</v>
      </c>
      <c r="G126" s="39" t="n">
        <f aca="false">MIN(G122,G125)</f>
        <v>0</v>
      </c>
      <c r="H126" s="39" t="n">
        <f aca="false">MIN(H122,H125)</f>
        <v>0</v>
      </c>
      <c r="I126" s="39" t="n">
        <f aca="false">MIN(I122,I125)</f>
        <v>0</v>
      </c>
      <c r="J126" s="39" t="n">
        <f aca="false">MIN(J122,J125)</f>
        <v>0</v>
      </c>
      <c r="K126" s="39" t="n">
        <f aca="false">MIN(K122,K125)</f>
        <v>0</v>
      </c>
      <c r="L126" s="39" t="n">
        <f aca="false">MIN(L122,L125)</f>
        <v>0</v>
      </c>
      <c r="M126" s="39" t="n">
        <f aca="false">MIN(M122,M125)</f>
        <v>0</v>
      </c>
      <c r="N126" s="39" t="n">
        <f aca="false">MIN(N122,N125)</f>
        <v>0</v>
      </c>
      <c r="O126" s="39" t="n">
        <f aca="false">MIN(O122,O125)</f>
        <v>0</v>
      </c>
      <c r="P126" s="39" t="n">
        <f aca="false">MIN(P122,P125)</f>
        <v>0</v>
      </c>
      <c r="Q126" s="39" t="n">
        <f aca="false">MIN(Q122,Q125)</f>
        <v>0</v>
      </c>
      <c r="R126" s="39" t="n">
        <f aca="false">MIN(R122,R125)</f>
        <v>0</v>
      </c>
      <c r="S126" s="39" t="n">
        <f aca="false">MIN(S122,S125)</f>
        <v>0</v>
      </c>
      <c r="T126" s="39" t="n">
        <f aca="false">MIN(T122,T125)</f>
        <v>0</v>
      </c>
      <c r="U126" s="39" t="n">
        <f aca="false">MIN(U122,U125)</f>
        <v>0</v>
      </c>
      <c r="V126" s="39" t="n">
        <f aca="false">MIN(V122,V125)</f>
        <v>0</v>
      </c>
      <c r="W126" s="39" t="n">
        <f aca="false">MIN(W122,W125)</f>
        <v>0</v>
      </c>
      <c r="X126" s="39" t="n">
        <f aca="false">MIN(X122,X125)</f>
        <v>0</v>
      </c>
      <c r="Y126" s="39" t="n">
        <f aca="false">MIN(Y122,Y125)</f>
        <v>0</v>
      </c>
      <c r="Z126" s="39" t="n">
        <f aca="false">MIN(Z122,Z125)</f>
        <v>0</v>
      </c>
      <c r="AA126" s="39" t="n">
        <f aca="false">MIN(AA122,AA125)</f>
        <v>0</v>
      </c>
      <c r="AB126" s="39" t="n">
        <f aca="false">MIN(AB122,AB125)</f>
        <v>0</v>
      </c>
      <c r="AC126" s="39" t="n">
        <f aca="false">MIN(AC122,AC125)</f>
        <v>0</v>
      </c>
      <c r="AD126" s="39" t="n">
        <f aca="false">MIN(AD122,AD125)</f>
        <v>0</v>
      </c>
      <c r="AE126" s="39" t="n">
        <f aca="false">MIN(AE122,AE125)</f>
        <v>0</v>
      </c>
      <c r="AF126" s="39" t="n">
        <f aca="false">MIN(AF122,AF125)</f>
        <v>0</v>
      </c>
      <c r="AG126" s="39" t="n">
        <f aca="false">MIN(AG122,AG125)</f>
        <v>0</v>
      </c>
      <c r="AH126" s="39" t="n">
        <f aca="false">MIN(AH122,AH125)</f>
        <v>0</v>
      </c>
      <c r="AI126" s="39" t="n">
        <f aca="false">MIN(AI122,AI125)</f>
        <v>0</v>
      </c>
      <c r="AJ126" s="39" t="n">
        <f aca="false">MIN(AJ122,AJ125)</f>
        <v>0</v>
      </c>
      <c r="AK126" s="39" t="n">
        <f aca="false">MIN(AK122,AK125)</f>
        <v>0</v>
      </c>
      <c r="AL126" s="39" t="n">
        <f aca="false">MIN(AL122,AL125)</f>
        <v>0</v>
      </c>
      <c r="AM126" s="39" t="n">
        <f aca="false">MIN(AM122,AM125)</f>
        <v>0</v>
      </c>
      <c r="AN126" s="39" t="n">
        <f aca="false">MIN(AN122,AN125)</f>
        <v>0</v>
      </c>
    </row>
    <row r="127" customFormat="false" ht="15" hidden="false" customHeight="false" outlineLevel="0" collapsed="false">
      <c r="A127" s="5" t="s">
        <v>158</v>
      </c>
      <c r="E127" s="39" t="n">
        <f aca="false">E122-E126</f>
        <v>6573083.85231172</v>
      </c>
      <c r="F127" s="39" t="n">
        <f aca="false">F122-F126</f>
        <v>6207590.63796128</v>
      </c>
      <c r="G127" s="39" t="n">
        <f aca="false">G122-G126</f>
        <v>5844755.42362892</v>
      </c>
      <c r="H127" s="39" t="n">
        <f aca="false">H122-H126</f>
        <v>5486291.73567739</v>
      </c>
      <c r="I127" s="39" t="n">
        <f aca="false">I122-I126</f>
        <v>5134963.47770388</v>
      </c>
      <c r="J127" s="39" t="n">
        <f aca="false">J122-J126</f>
        <v>4802967.38351896</v>
      </c>
      <c r="K127" s="39" t="n">
        <f aca="false">K122-K126</f>
        <v>4495140.7944894</v>
      </c>
      <c r="L127" s="39" t="n">
        <f aca="false">L122-L126</f>
        <v>4210050.03080861</v>
      </c>
      <c r="M127" s="39" t="n">
        <f aca="false">M122-M126</f>
        <v>3945426.10973572</v>
      </c>
      <c r="N127" s="39" t="n">
        <f aca="false">N122-N126</f>
        <v>3723824.44715013</v>
      </c>
      <c r="O127" s="39" t="n">
        <f aca="false">O122-O126</f>
        <v>3519052.44396332</v>
      </c>
      <c r="P127" s="39" t="n">
        <f aca="false">P122-P126</f>
        <v>3329721.25675444</v>
      </c>
      <c r="Q127" s="39" t="n">
        <f aca="false">Q122-Q126</f>
        <v>3153790.5927501</v>
      </c>
      <c r="R127" s="39" t="n">
        <f aca="false">R122-R126</f>
        <v>2989477.19111715</v>
      </c>
      <c r="S127" s="39" t="n">
        <f aca="false">S122-S126</f>
        <v>2836026.9094999</v>
      </c>
      <c r="T127" s="39" t="n">
        <f aca="false">T122-T126</f>
        <v>2692652.94262111</v>
      </c>
      <c r="U127" s="39" t="n">
        <f aca="false">U122-U126</f>
        <v>2558101.45464253</v>
      </c>
      <c r="V127" s="39" t="n">
        <f aca="false">V122-V126</f>
        <v>2431717.82978017</v>
      </c>
      <c r="W127" s="39" t="n">
        <f aca="false">W122-W126</f>
        <v>2198190.30877302</v>
      </c>
      <c r="X127" s="39" t="n">
        <f aca="false">X122-X126</f>
        <v>1927507.93199643</v>
      </c>
      <c r="Y127" s="39" t="n">
        <f aca="false">Y122-Y126</f>
        <v>1678888.00877033</v>
      </c>
      <c r="Z127" s="39" t="n">
        <f aca="false">Z122-Z126</f>
        <v>1451048.00006112</v>
      </c>
      <c r="AA127" s="39" t="n">
        <f aca="false">AA122-AA126</f>
        <v>1264637.07569788</v>
      </c>
      <c r="AB127" s="39" t="n">
        <f aca="false">AB122-AB126</f>
        <v>1094362.30909404</v>
      </c>
      <c r="AC127" s="39" t="n">
        <f aca="false">AC122-AC126</f>
        <v>797162.568065546</v>
      </c>
      <c r="AD127" s="39" t="n">
        <f aca="false">AD122-AD126</f>
        <v>519805.6077097</v>
      </c>
      <c r="AE127" s="39" t="n">
        <f aca="false">AE122-AE126</f>
        <v>266455.013049062</v>
      </c>
      <c r="AF127" s="39" t="n">
        <f aca="false">AF122-AF126</f>
        <v>35439.7401456769</v>
      </c>
      <c r="AG127" s="39" t="n">
        <f aca="false">AG122-AG126</f>
        <v>0</v>
      </c>
      <c r="AH127" s="39" t="n">
        <f aca="false">AH122-AH126</f>
        <v>0</v>
      </c>
      <c r="AI127" s="39" t="n">
        <f aca="false">AI122-AI126</f>
        <v>0</v>
      </c>
      <c r="AJ127" s="39" t="n">
        <f aca="false">AJ122-AJ126</f>
        <v>0</v>
      </c>
      <c r="AK127" s="39" t="n">
        <f aca="false">AK122-AK126</f>
        <v>0</v>
      </c>
      <c r="AL127" s="39" t="n">
        <f aca="false">AL122-AL126</f>
        <v>0</v>
      </c>
      <c r="AM127" s="39" t="n">
        <f aca="false">AM122-AM126</f>
        <v>0</v>
      </c>
      <c r="AN127" s="39" t="n">
        <f aca="false">AN122-AN126</f>
        <v>0</v>
      </c>
    </row>
    <row r="128" customFormat="false" ht="15" hidden="false" customHeight="false" outlineLevel="0" collapsed="false">
      <c r="A128" s="5" t="s">
        <v>159</v>
      </c>
      <c r="E128" s="39" t="n">
        <f aca="false">E127</f>
        <v>6573083.85231172</v>
      </c>
      <c r="F128" s="39" t="n">
        <f aca="false">F127</f>
        <v>6207590.63796128</v>
      </c>
      <c r="G128" s="39" t="n">
        <f aca="false">G127</f>
        <v>5844755.42362892</v>
      </c>
      <c r="H128" s="39" t="n">
        <f aca="false">H127</f>
        <v>5486291.73567739</v>
      </c>
      <c r="I128" s="39" t="n">
        <f aca="false">I127</f>
        <v>5134963.47770388</v>
      </c>
      <c r="J128" s="39" t="n">
        <f aca="false">J127</f>
        <v>4802967.38351896</v>
      </c>
      <c r="K128" s="39" t="n">
        <f aca="false">K127</f>
        <v>4495140.7944894</v>
      </c>
      <c r="L128" s="39" t="n">
        <f aca="false">L127</f>
        <v>4210050.03080861</v>
      </c>
      <c r="M128" s="39" t="n">
        <f aca="false">M127</f>
        <v>3945426.10973572</v>
      </c>
      <c r="N128" s="39" t="n">
        <f aca="false">N127</f>
        <v>3723824.44715013</v>
      </c>
      <c r="O128" s="39" t="n">
        <f aca="false">O127</f>
        <v>3519052.44396332</v>
      </c>
      <c r="P128" s="39" t="n">
        <f aca="false">P127</f>
        <v>3329721.25675444</v>
      </c>
      <c r="Q128" s="39" t="n">
        <f aca="false">Q127</f>
        <v>3153790.5927501</v>
      </c>
      <c r="R128" s="39" t="n">
        <f aca="false">R127</f>
        <v>2989477.19111715</v>
      </c>
      <c r="S128" s="39" t="n">
        <f aca="false">S127</f>
        <v>2836026.9094999</v>
      </c>
      <c r="T128" s="39" t="n">
        <f aca="false">T127</f>
        <v>2692652.94262111</v>
      </c>
      <c r="U128" s="39" t="n">
        <f aca="false">U127</f>
        <v>2558101.45464253</v>
      </c>
      <c r="V128" s="39" t="n">
        <f aca="false">V127</f>
        <v>2431717.82978017</v>
      </c>
      <c r="W128" s="39" t="n">
        <f aca="false">W127</f>
        <v>2198190.30877302</v>
      </c>
      <c r="X128" s="39" t="n">
        <f aca="false">X127</f>
        <v>1927507.93199643</v>
      </c>
      <c r="Y128" s="39" t="n">
        <f aca="false">Y127</f>
        <v>1678888.00877033</v>
      </c>
      <c r="Z128" s="39" t="n">
        <f aca="false">Z127</f>
        <v>1451048.00006112</v>
      </c>
      <c r="AA128" s="39" t="n">
        <f aca="false">AA127</f>
        <v>1264637.07569788</v>
      </c>
      <c r="AB128" s="39" t="n">
        <f aca="false">AB127</f>
        <v>1094362.30909404</v>
      </c>
      <c r="AC128" s="39" t="n">
        <f aca="false">AC127</f>
        <v>797162.568065546</v>
      </c>
      <c r="AD128" s="39" t="n">
        <f aca="false">AD127</f>
        <v>519805.6077097</v>
      </c>
      <c r="AE128" s="39" t="n">
        <f aca="false">AE127</f>
        <v>266455.013049062</v>
      </c>
      <c r="AF128" s="39" t="n">
        <f aca="false">AF127</f>
        <v>35439.7401456769</v>
      </c>
      <c r="AG128" s="39" t="n">
        <f aca="false">AG127</f>
        <v>0</v>
      </c>
      <c r="AH128" s="39" t="n">
        <f aca="false">AH127</f>
        <v>0</v>
      </c>
      <c r="AI128" s="39" t="n">
        <f aca="false">AI127</f>
        <v>0</v>
      </c>
      <c r="AJ128" s="39" t="n">
        <f aca="false">AJ127</f>
        <v>0</v>
      </c>
      <c r="AK128" s="39" t="n">
        <f aca="false">AK127</f>
        <v>0</v>
      </c>
      <c r="AL128" s="39" t="n">
        <f aca="false">AL127</f>
        <v>0</v>
      </c>
      <c r="AM128" s="39" t="n">
        <f aca="false">AM127</f>
        <v>0</v>
      </c>
      <c r="AN128" s="39" t="n">
        <f aca="false">AN127</f>
        <v>0</v>
      </c>
    </row>
    <row r="129" customFormat="false" ht="15" hidden="false" customHeight="false" outlineLevel="0" collapsed="false">
      <c r="A129" s="14" t="s">
        <v>160</v>
      </c>
      <c r="E129" s="39" t="n">
        <f aca="false">'Scenario Analysis'!E105</f>
        <v>25235112.5453807</v>
      </c>
      <c r="F129" s="39" t="n">
        <f aca="false">'Scenario Analysis'!F105</f>
        <v>25433261.7406418</v>
      </c>
      <c r="G129" s="39" t="n">
        <f aca="false">'Scenario Analysis'!G105</f>
        <v>25514900.5814547</v>
      </c>
      <c r="H129" s="39" t="n">
        <f aca="false">'Scenario Analysis'!H105</f>
        <v>25493817.142809</v>
      </c>
      <c r="I129" s="39" t="n">
        <f aca="false">'Scenario Analysis'!I105</f>
        <v>24375617.0780105</v>
      </c>
      <c r="J129" s="39" t="n">
        <f aca="false">'Scenario Analysis'!J105</f>
        <v>22818200.7592614</v>
      </c>
      <c r="K129" s="39" t="n">
        <f aca="false">'Scenario Analysis'!K105</f>
        <v>21369210.1870338</v>
      </c>
      <c r="L129" s="39" t="n">
        <f aca="false">'Scenario Analysis'!L105</f>
        <v>20021847.6946263</v>
      </c>
      <c r="M129" s="39" t="n">
        <f aca="false">'Scenario Analysis'!M105</f>
        <v>21980166.8753552</v>
      </c>
      <c r="N129" s="39" t="n">
        <f aca="false">'Scenario Analysis'!N105</f>
        <v>20690250.4542928</v>
      </c>
      <c r="O129" s="39" t="n">
        <f aca="false">'Scenario Analysis'!O105</f>
        <v>19443738.0141567</v>
      </c>
      <c r="P129" s="39" t="n">
        <f aca="false">'Scenario Analysis'!P105</f>
        <v>18257099.5768854</v>
      </c>
      <c r="Q129" s="39" t="n">
        <f aca="false">'Scenario Analysis'!Q105</f>
        <v>17083542.3649266</v>
      </c>
      <c r="R129" s="39" t="n">
        <f aca="false">'Scenario Analysis'!R105</f>
        <v>15958349.7284853</v>
      </c>
      <c r="S129" s="39" t="n">
        <f aca="false">'Scenario Analysis'!S105</f>
        <v>14887698.2077846</v>
      </c>
      <c r="T129" s="39" t="n">
        <f aca="false">'Scenario Analysis'!T105</f>
        <v>13880675.1254909</v>
      </c>
      <c r="U129" s="39" t="n">
        <f aca="false">'Scenario Analysis'!U105</f>
        <v>12961812.4600499</v>
      </c>
      <c r="V129" s="39" t="n">
        <f aca="false">'Scenario Analysis'!V105</f>
        <v>22875234.0065405</v>
      </c>
      <c r="W129" s="39" t="n">
        <f aca="false">'Scenario Analysis'!W105</f>
        <v>26291355.767435</v>
      </c>
      <c r="X129" s="39" t="n">
        <f aca="false">'Scenario Analysis'!X105</f>
        <v>24164898.2217239</v>
      </c>
      <c r="Y129" s="39" t="n">
        <f aca="false">'Scenario Analysis'!Y105</f>
        <v>22191986.6760878</v>
      </c>
      <c r="Z129" s="39" t="n">
        <f aca="false">'Scenario Analysis'!Z105</f>
        <v>20367872.6089879</v>
      </c>
      <c r="AA129" s="39" t="n">
        <f aca="false">'Scenario Analysis'!AA105</f>
        <v>18662739.472333</v>
      </c>
      <c r="AB129" s="39" t="n">
        <f aca="false">'Scenario Analysis'!AB105</f>
        <v>17073483.1258935</v>
      </c>
      <c r="AC129" s="39" t="n">
        <f aca="false">'Scenario Analysis'!AC105</f>
        <v>15646732.8570852</v>
      </c>
      <c r="AD129" s="39" t="n">
        <f aca="false">'Scenario Analysis'!AD105</f>
        <v>14326065.3604897</v>
      </c>
      <c r="AE129" s="39" t="n">
        <f aca="false">'Scenario Analysis'!AE105</f>
        <v>13072374.8086461</v>
      </c>
      <c r="AF129" s="39" t="n">
        <f aca="false">'Scenario Analysis'!AF105</f>
        <v>4367443.74580403</v>
      </c>
      <c r="AG129" s="39" t="n">
        <f aca="false">'Scenario Analysis'!AG105</f>
        <v>312705.631024147</v>
      </c>
      <c r="AH129" s="39" t="n">
        <f aca="false">'Scenario Analysis'!AH105</f>
        <v>251562.264108125</v>
      </c>
      <c r="AI129" s="39" t="n">
        <f aca="false">'Scenario Analysis'!AI105</f>
        <v>195592.389932903</v>
      </c>
      <c r="AJ129" s="39" t="n">
        <f aca="false">'Scenario Analysis'!AJ105</f>
        <v>144432.500786706</v>
      </c>
      <c r="AK129" s="39" t="n">
        <f aca="false">'Scenario Analysis'!AK105</f>
        <v>103641.422046459</v>
      </c>
      <c r="AL129" s="39" t="n">
        <f aca="false">'Scenario Analysis'!AL105</f>
        <v>69201.5527081401</v>
      </c>
      <c r="AM129" s="39" t="n">
        <f aca="false">'Scenario Analysis'!AM105</f>
        <v>37742.5932297002</v>
      </c>
      <c r="AN129" s="39" t="n">
        <f aca="false">'Scenario Analysis'!AN105</f>
        <v>9057.0473406009</v>
      </c>
    </row>
    <row r="130" customFormat="false" ht="15" hidden="false" customHeight="false" outlineLevel="0" collapsed="false">
      <c r="A130" s="5" t="s">
        <v>161</v>
      </c>
      <c r="E130" s="39" t="n">
        <f aca="false">MIN(E129,'Inputs &amp; Assumptions'!$C$36-E119)</f>
        <v>0</v>
      </c>
      <c r="F130" s="39" t="n">
        <f aca="false">MIN(F129,'Inputs &amp; Assumptions'!$C$36-F119)</f>
        <v>0</v>
      </c>
      <c r="G130" s="39" t="n">
        <f aca="false">MIN(G129,'Inputs &amp; Assumptions'!$C$36-G119)</f>
        <v>0</v>
      </c>
      <c r="H130" s="39" t="n">
        <f aca="false">MIN(H129,'Inputs &amp; Assumptions'!$C$36-H119)</f>
        <v>0</v>
      </c>
      <c r="I130" s="39" t="n">
        <f aca="false">MIN(I129,'Inputs &amp; Assumptions'!$C$36-I119)</f>
        <v>0</v>
      </c>
      <c r="J130" s="39" t="n">
        <f aca="false">MIN(J129,'Inputs &amp; Assumptions'!$C$36-J119)</f>
        <v>0</v>
      </c>
      <c r="K130" s="39" t="n">
        <f aca="false">MIN(K129,'Inputs &amp; Assumptions'!$C$36-K119)</f>
        <v>0</v>
      </c>
      <c r="L130" s="39" t="n">
        <f aca="false">MIN(L129,'Inputs &amp; Assumptions'!$C$36-L119)</f>
        <v>0</v>
      </c>
      <c r="M130" s="39" t="n">
        <f aca="false">MIN(M129,'Inputs &amp; Assumptions'!$C$36-M119)</f>
        <v>0</v>
      </c>
      <c r="N130" s="39" t="n">
        <f aca="false">MIN(N129,'Inputs &amp; Assumptions'!$C$36-N119)</f>
        <v>0</v>
      </c>
      <c r="O130" s="39" t="n">
        <f aca="false">MIN(O129,'Inputs &amp; Assumptions'!$C$36-O119)</f>
        <v>0</v>
      </c>
      <c r="P130" s="39" t="n">
        <f aca="false">MIN(P129,'Inputs &amp; Assumptions'!$C$36-P119)</f>
        <v>0</v>
      </c>
      <c r="Q130" s="39" t="n">
        <f aca="false">MIN(Q129,'Inputs &amp; Assumptions'!$C$36-Q119)</f>
        <v>0</v>
      </c>
      <c r="R130" s="39" t="n">
        <f aca="false">MIN(R129,'Inputs &amp; Assumptions'!$C$36-R119)</f>
        <v>0</v>
      </c>
      <c r="S130" s="39" t="n">
        <f aca="false">MIN(S129,'Inputs &amp; Assumptions'!$C$36-S119)</f>
        <v>0</v>
      </c>
      <c r="T130" s="39" t="n">
        <f aca="false">MIN(T129,'Inputs &amp; Assumptions'!$C$36-T119)</f>
        <v>0</v>
      </c>
      <c r="U130" s="39" t="n">
        <f aca="false">MIN(U129,'Inputs &amp; Assumptions'!$C$36-U119)</f>
        <v>0</v>
      </c>
      <c r="V130" s="39" t="n">
        <f aca="false">MIN(V129,'Inputs &amp; Assumptions'!$C$36-V119)</f>
        <v>0</v>
      </c>
      <c r="W130" s="39" t="n">
        <f aca="false">MIN(W129,'Inputs &amp; Assumptions'!$C$36-W119)</f>
        <v>0</v>
      </c>
      <c r="X130" s="39" t="n">
        <f aca="false">MIN(X129,'Inputs &amp; Assumptions'!$C$36-X119)</f>
        <v>0</v>
      </c>
      <c r="Y130" s="39" t="n">
        <f aca="false">MIN(Y129,'Inputs &amp; Assumptions'!$C$36-Y119)</f>
        <v>0</v>
      </c>
      <c r="Z130" s="39" t="n">
        <f aca="false">MIN(Z129,'Inputs &amp; Assumptions'!$C$36-Z119)</f>
        <v>0</v>
      </c>
      <c r="AA130" s="39" t="n">
        <f aca="false">MIN(AA129,'Inputs &amp; Assumptions'!$C$36-AA119)</f>
        <v>0</v>
      </c>
      <c r="AB130" s="39" t="n">
        <f aca="false">MIN(AB129,'Inputs &amp; Assumptions'!$C$36-AB119)</f>
        <v>0</v>
      </c>
      <c r="AC130" s="39" t="n">
        <f aca="false">MIN(AC129,'Inputs &amp; Assumptions'!$C$36-AC119)</f>
        <v>0</v>
      </c>
      <c r="AD130" s="39" t="n">
        <f aca="false">MIN(AD129,'Inputs &amp; Assumptions'!$C$36-AD119)</f>
        <v>0</v>
      </c>
      <c r="AE130" s="39" t="n">
        <f aca="false">MIN(AE129,'Inputs &amp; Assumptions'!$C$36-AE119)</f>
        <v>0</v>
      </c>
      <c r="AF130" s="39" t="n">
        <f aca="false">MIN(AF129,'Inputs &amp; Assumptions'!$C$36-AF119)</f>
        <v>0</v>
      </c>
      <c r="AG130" s="39" t="n">
        <f aca="false">MIN(AG129,'Inputs &amp; Assumptions'!$C$36-AG119)</f>
        <v>37500</v>
      </c>
      <c r="AH130" s="39" t="n">
        <f aca="false">MIN(AH129,'Inputs &amp; Assumptions'!$C$36-AH119)</f>
        <v>37500</v>
      </c>
      <c r="AI130" s="39" t="n">
        <f aca="false">MIN(AI129,'Inputs &amp; Assumptions'!$C$36-AI119)</f>
        <v>37500</v>
      </c>
      <c r="AJ130" s="39" t="n">
        <f aca="false">MIN(AJ129,'Inputs &amp; Assumptions'!$C$36-AJ119)</f>
        <v>37500</v>
      </c>
      <c r="AK130" s="39" t="n">
        <f aca="false">MIN(AK129,'Inputs &amp; Assumptions'!$C$36-AK119)</f>
        <v>37500</v>
      </c>
      <c r="AL130" s="39" t="n">
        <f aca="false">MIN(AL129,'Inputs &amp; Assumptions'!$C$36-AL119)</f>
        <v>37500</v>
      </c>
      <c r="AM130" s="39" t="n">
        <f aca="false">MIN(AM129,'Inputs &amp; Assumptions'!$C$36-AM119)</f>
        <v>37500</v>
      </c>
      <c r="AN130" s="39" t="n">
        <f aca="false">MIN(AN129,'Inputs &amp; Assumptions'!$C$36-AN119)</f>
        <v>9057.0473406009</v>
      </c>
    </row>
    <row r="131" customFormat="false" ht="15" hidden="false" customHeight="false" outlineLevel="0" collapsed="false">
      <c r="A131" s="5" t="s">
        <v>162</v>
      </c>
      <c r="E131" s="39" t="n">
        <f aca="false">E129-E130</f>
        <v>25235112.5453807</v>
      </c>
      <c r="F131" s="39" t="n">
        <f aca="false">F129-F130</f>
        <v>25433261.7406418</v>
      </c>
      <c r="G131" s="39" t="n">
        <f aca="false">G129-G130</f>
        <v>25514900.5814547</v>
      </c>
      <c r="H131" s="39" t="n">
        <f aca="false">H129-H130</f>
        <v>25493817.142809</v>
      </c>
      <c r="I131" s="39" t="n">
        <f aca="false">I129-I130</f>
        <v>24375617.0780105</v>
      </c>
      <c r="J131" s="39" t="n">
        <f aca="false">J129-J130</f>
        <v>22818200.7592614</v>
      </c>
      <c r="K131" s="39" t="n">
        <f aca="false">K129-K130</f>
        <v>21369210.1870338</v>
      </c>
      <c r="L131" s="39" t="n">
        <f aca="false">L129-L130</f>
        <v>20021847.6946263</v>
      </c>
      <c r="M131" s="39" t="n">
        <f aca="false">M129-M130</f>
        <v>21980166.8753552</v>
      </c>
      <c r="N131" s="39" t="n">
        <f aca="false">N129-N130</f>
        <v>20690250.4542928</v>
      </c>
      <c r="O131" s="39" t="n">
        <f aca="false">O129-O130</f>
        <v>19443738.0141567</v>
      </c>
      <c r="P131" s="39" t="n">
        <f aca="false">P129-P130</f>
        <v>18257099.5768854</v>
      </c>
      <c r="Q131" s="39" t="n">
        <f aca="false">Q129-Q130</f>
        <v>17083542.3649266</v>
      </c>
      <c r="R131" s="39" t="n">
        <f aca="false">R129-R130</f>
        <v>15958349.7284853</v>
      </c>
      <c r="S131" s="39" t="n">
        <f aca="false">S129-S130</f>
        <v>14887698.2077846</v>
      </c>
      <c r="T131" s="39" t="n">
        <f aca="false">T129-T130</f>
        <v>13880675.1254909</v>
      </c>
      <c r="U131" s="39" t="n">
        <f aca="false">U129-U130</f>
        <v>12961812.4600499</v>
      </c>
      <c r="V131" s="39" t="n">
        <f aca="false">V129-V130</f>
        <v>22875234.0065405</v>
      </c>
      <c r="W131" s="39" t="n">
        <f aca="false">W129-W130</f>
        <v>26291355.767435</v>
      </c>
      <c r="X131" s="39" t="n">
        <f aca="false">X129-X130</f>
        <v>24164898.2217239</v>
      </c>
      <c r="Y131" s="39" t="n">
        <f aca="false">Y129-Y130</f>
        <v>22191986.6760878</v>
      </c>
      <c r="Z131" s="39" t="n">
        <f aca="false">Z129-Z130</f>
        <v>20367872.6089879</v>
      </c>
      <c r="AA131" s="39" t="n">
        <f aca="false">AA129-AA130</f>
        <v>18662739.472333</v>
      </c>
      <c r="AB131" s="39" t="n">
        <f aca="false">AB129-AB130</f>
        <v>17073483.1258935</v>
      </c>
      <c r="AC131" s="39" t="n">
        <f aca="false">AC129-AC130</f>
        <v>15646732.8570852</v>
      </c>
      <c r="AD131" s="39" t="n">
        <f aca="false">AD129-AD130</f>
        <v>14326065.3604897</v>
      </c>
      <c r="AE131" s="39" t="n">
        <f aca="false">AE129-AE130</f>
        <v>13072374.8086461</v>
      </c>
      <c r="AF131" s="39" t="n">
        <f aca="false">AF129-AF130</f>
        <v>4367443.74580403</v>
      </c>
      <c r="AG131" s="39" t="n">
        <f aca="false">AG129-AG130</f>
        <v>275205.631024147</v>
      </c>
      <c r="AH131" s="39" t="n">
        <f aca="false">AH129-AH130</f>
        <v>214062.264108125</v>
      </c>
      <c r="AI131" s="39" t="n">
        <f aca="false">AI129-AI130</f>
        <v>158092.389932903</v>
      </c>
      <c r="AJ131" s="39" t="n">
        <f aca="false">AJ129-AJ130</f>
        <v>106932.500786706</v>
      </c>
      <c r="AK131" s="39" t="n">
        <f aca="false">AK129-AK130</f>
        <v>66141.4220464593</v>
      </c>
      <c r="AL131" s="39" t="n">
        <f aca="false">AL129-AL130</f>
        <v>31701.5527081401</v>
      </c>
      <c r="AM131" s="39" t="n">
        <f aca="false">AM129-AM130</f>
        <v>242.593229700156</v>
      </c>
      <c r="AN131" s="39" t="n">
        <f aca="false">AN129-AN130</f>
        <v>0</v>
      </c>
    </row>
    <row r="132" customFormat="false" ht="15" hidden="false" customHeight="false" outlineLevel="0" collapsed="false">
      <c r="A132" s="5" t="s">
        <v>163</v>
      </c>
      <c r="E132" s="39" t="n">
        <f aca="false">MIN(E131,E123)</f>
        <v>0</v>
      </c>
      <c r="F132" s="39" t="n">
        <f aca="false">MIN(F131,F123)</f>
        <v>0</v>
      </c>
      <c r="G132" s="39" t="n">
        <f aca="false">MIN(G131,G123)</f>
        <v>0</v>
      </c>
      <c r="H132" s="39" t="n">
        <f aca="false">MIN(H131,H123)</f>
        <v>0</v>
      </c>
      <c r="I132" s="39" t="n">
        <f aca="false">MIN(I131,I123)</f>
        <v>0</v>
      </c>
      <c r="J132" s="39" t="n">
        <f aca="false">MIN(J131,J123)</f>
        <v>0</v>
      </c>
      <c r="K132" s="39" t="n">
        <f aca="false">MIN(K131,K123)</f>
        <v>0</v>
      </c>
      <c r="L132" s="39" t="n">
        <f aca="false">MIN(L131,L123)</f>
        <v>0</v>
      </c>
      <c r="M132" s="39" t="n">
        <f aca="false">MIN(M131,M123)</f>
        <v>0</v>
      </c>
      <c r="N132" s="39" t="n">
        <f aca="false">MIN(N131,N123)</f>
        <v>0</v>
      </c>
      <c r="O132" s="39" t="n">
        <f aca="false">MIN(O131,O123)</f>
        <v>0</v>
      </c>
      <c r="P132" s="39" t="n">
        <f aca="false">MIN(P131,P123)</f>
        <v>0</v>
      </c>
      <c r="Q132" s="39" t="n">
        <f aca="false">MIN(Q131,Q123)</f>
        <v>0</v>
      </c>
      <c r="R132" s="39" t="n">
        <f aca="false">MIN(R131,R123)</f>
        <v>0</v>
      </c>
      <c r="S132" s="39" t="n">
        <f aca="false">MIN(S131,S123)</f>
        <v>0</v>
      </c>
      <c r="T132" s="39" t="n">
        <f aca="false">MIN(T131,T123)</f>
        <v>0</v>
      </c>
      <c r="U132" s="39" t="n">
        <f aca="false">MIN(U131,U123)</f>
        <v>0</v>
      </c>
      <c r="V132" s="39" t="n">
        <f aca="false">MIN(V131,V123)</f>
        <v>0</v>
      </c>
      <c r="W132" s="39" t="n">
        <f aca="false">MIN(W131,W123)</f>
        <v>0</v>
      </c>
      <c r="X132" s="39" t="n">
        <f aca="false">MIN(X131,X123)</f>
        <v>0</v>
      </c>
      <c r="Y132" s="39" t="n">
        <f aca="false">MIN(Y131,Y123)</f>
        <v>0</v>
      </c>
      <c r="Z132" s="39" t="n">
        <f aca="false">MIN(Z131,Z123)</f>
        <v>0</v>
      </c>
      <c r="AA132" s="39" t="n">
        <f aca="false">MIN(AA131,AA123)</f>
        <v>0</v>
      </c>
      <c r="AB132" s="39" t="n">
        <f aca="false">MIN(AB131,AB123)</f>
        <v>0</v>
      </c>
      <c r="AC132" s="39" t="n">
        <f aca="false">MIN(AC131,AC123)</f>
        <v>0</v>
      </c>
      <c r="AD132" s="39" t="n">
        <f aca="false">MIN(AD131,AD123)</f>
        <v>0</v>
      </c>
      <c r="AE132" s="39" t="n">
        <f aca="false">MIN(AE131,AE123)</f>
        <v>0</v>
      </c>
      <c r="AF132" s="39" t="n">
        <f aca="false">MIN(AF131,AF123)</f>
        <v>0</v>
      </c>
      <c r="AG132" s="39" t="n">
        <f aca="false">MIN(AG131,AG123)</f>
        <v>0</v>
      </c>
      <c r="AH132" s="39" t="n">
        <f aca="false">MIN(AH131,AH123)</f>
        <v>0</v>
      </c>
      <c r="AI132" s="39" t="n">
        <f aca="false">MIN(AI131,AI123)</f>
        <v>0</v>
      </c>
      <c r="AJ132" s="39" t="n">
        <f aca="false">MIN(AJ131,AJ123)</f>
        <v>0</v>
      </c>
      <c r="AK132" s="39" t="n">
        <f aca="false">MIN(AK131,AK123)</f>
        <v>0</v>
      </c>
      <c r="AL132" s="39" t="n">
        <f aca="false">MIN(AL131,AL123)</f>
        <v>0</v>
      </c>
      <c r="AM132" s="39" t="n">
        <f aca="false">MIN(AM131,AM123)</f>
        <v>0</v>
      </c>
      <c r="AN132" s="39" t="n">
        <f aca="false">MIN(AN131,AN123)</f>
        <v>0</v>
      </c>
    </row>
    <row r="133" customFormat="false" ht="15" hidden="false" customHeight="false" outlineLevel="0" collapsed="false">
      <c r="A133" s="5" t="s">
        <v>164</v>
      </c>
      <c r="E133" s="39" t="n">
        <f aca="false">E131-E132</f>
        <v>25235112.5453807</v>
      </c>
      <c r="F133" s="39" t="n">
        <f aca="false">F131-F132</f>
        <v>25433261.7406418</v>
      </c>
      <c r="G133" s="39" t="n">
        <f aca="false">G131-G132</f>
        <v>25514900.5814547</v>
      </c>
      <c r="H133" s="39" t="n">
        <f aca="false">H131-H132</f>
        <v>25493817.142809</v>
      </c>
      <c r="I133" s="39" t="n">
        <f aca="false">I131-I132</f>
        <v>24375617.0780105</v>
      </c>
      <c r="J133" s="39" t="n">
        <f aca="false">J131-J132</f>
        <v>22818200.7592614</v>
      </c>
      <c r="K133" s="39" t="n">
        <f aca="false">K131-K132</f>
        <v>21369210.1870338</v>
      </c>
      <c r="L133" s="39" t="n">
        <f aca="false">L131-L132</f>
        <v>20021847.6946263</v>
      </c>
      <c r="M133" s="39" t="n">
        <f aca="false">M131-M132</f>
        <v>21980166.8753552</v>
      </c>
      <c r="N133" s="39" t="n">
        <f aca="false">N131-N132</f>
        <v>20690250.4542928</v>
      </c>
      <c r="O133" s="39" t="n">
        <f aca="false">O131-O132</f>
        <v>19443738.0141567</v>
      </c>
      <c r="P133" s="39" t="n">
        <f aca="false">P131-P132</f>
        <v>18257099.5768854</v>
      </c>
      <c r="Q133" s="39" t="n">
        <f aca="false">Q131-Q132</f>
        <v>17083542.3649266</v>
      </c>
      <c r="R133" s="39" t="n">
        <f aca="false">R131-R132</f>
        <v>15958349.7284853</v>
      </c>
      <c r="S133" s="39" t="n">
        <f aca="false">S131-S132</f>
        <v>14887698.2077846</v>
      </c>
      <c r="T133" s="39" t="n">
        <f aca="false">T131-T132</f>
        <v>13880675.1254909</v>
      </c>
      <c r="U133" s="39" t="n">
        <f aca="false">U131-U132</f>
        <v>12961812.4600499</v>
      </c>
      <c r="V133" s="39" t="n">
        <f aca="false">V131-V132</f>
        <v>22875234.0065405</v>
      </c>
      <c r="W133" s="39" t="n">
        <f aca="false">W131-W132</f>
        <v>26291355.767435</v>
      </c>
      <c r="X133" s="39" t="n">
        <f aca="false">X131-X132</f>
        <v>24164898.2217239</v>
      </c>
      <c r="Y133" s="39" t="n">
        <f aca="false">Y131-Y132</f>
        <v>22191986.6760878</v>
      </c>
      <c r="Z133" s="39" t="n">
        <f aca="false">Z131-Z132</f>
        <v>20367872.6089879</v>
      </c>
      <c r="AA133" s="39" t="n">
        <f aca="false">AA131-AA132</f>
        <v>18662739.472333</v>
      </c>
      <c r="AB133" s="39" t="n">
        <f aca="false">AB131-AB132</f>
        <v>17073483.1258935</v>
      </c>
      <c r="AC133" s="39" t="n">
        <f aca="false">AC131-AC132</f>
        <v>15646732.8570852</v>
      </c>
      <c r="AD133" s="39" t="n">
        <f aca="false">AD131-AD132</f>
        <v>14326065.3604897</v>
      </c>
      <c r="AE133" s="39" t="n">
        <f aca="false">AE131-AE132</f>
        <v>13072374.8086461</v>
      </c>
      <c r="AF133" s="39" t="n">
        <f aca="false">AF131-AF132</f>
        <v>4367443.74580403</v>
      </c>
      <c r="AG133" s="39" t="n">
        <f aca="false">AG131-AG132</f>
        <v>275205.631024147</v>
      </c>
      <c r="AH133" s="39" t="n">
        <f aca="false">AH131-AH132</f>
        <v>214062.264108125</v>
      </c>
      <c r="AI133" s="39" t="n">
        <f aca="false">AI131-AI132</f>
        <v>158092.389932903</v>
      </c>
      <c r="AJ133" s="39" t="n">
        <f aca="false">AJ131-AJ132</f>
        <v>106932.500786706</v>
      </c>
      <c r="AK133" s="39" t="n">
        <f aca="false">AK131-AK132</f>
        <v>66141.4220464593</v>
      </c>
      <c r="AL133" s="39" t="n">
        <f aca="false">AL131-AL132</f>
        <v>31701.5527081401</v>
      </c>
      <c r="AM133" s="39" t="n">
        <f aca="false">AM131-AM132</f>
        <v>242.593229700156</v>
      </c>
      <c r="AN133" s="39" t="n">
        <f aca="false">AN131-AN132</f>
        <v>0</v>
      </c>
    </row>
    <row r="134" customFormat="false" ht="15" hidden="false" customHeight="false" outlineLevel="0" collapsed="false">
      <c r="A134" s="5" t="s">
        <v>165</v>
      </c>
      <c r="E134" s="39" t="n">
        <f aca="false">MIN(E133,E125-E126)</f>
        <v>0</v>
      </c>
      <c r="F134" s="39" t="n">
        <f aca="false">MIN(F133,F125-F126)</f>
        <v>0</v>
      </c>
      <c r="G134" s="39" t="n">
        <f aca="false">MIN(G133,G125-G126)</f>
        <v>0</v>
      </c>
      <c r="H134" s="39" t="n">
        <f aca="false">MIN(H133,H125-H126)</f>
        <v>0</v>
      </c>
      <c r="I134" s="39" t="n">
        <f aca="false">MIN(I133,I125-I126)</f>
        <v>0</v>
      </c>
      <c r="J134" s="39" t="n">
        <f aca="false">MIN(J133,J125-J126)</f>
        <v>0</v>
      </c>
      <c r="K134" s="39" t="n">
        <f aca="false">MIN(K133,K125-K126)</f>
        <v>0</v>
      </c>
      <c r="L134" s="39" t="n">
        <f aca="false">MIN(L133,L125-L126)</f>
        <v>0</v>
      </c>
      <c r="M134" s="39" t="n">
        <f aca="false">MIN(M133,M125-M126)</f>
        <v>0</v>
      </c>
      <c r="N134" s="39" t="n">
        <f aca="false">MIN(N133,N125-N126)</f>
        <v>0</v>
      </c>
      <c r="O134" s="39" t="n">
        <f aca="false">MIN(O133,O125-O126)</f>
        <v>0</v>
      </c>
      <c r="P134" s="39" t="n">
        <f aca="false">MIN(P133,P125-P126)</f>
        <v>0</v>
      </c>
      <c r="Q134" s="39" t="n">
        <f aca="false">MIN(Q133,Q125-Q126)</f>
        <v>0</v>
      </c>
      <c r="R134" s="39" t="n">
        <f aca="false">MIN(R133,R125-R126)</f>
        <v>0</v>
      </c>
      <c r="S134" s="39" t="n">
        <f aca="false">MIN(S133,S125-S126)</f>
        <v>0</v>
      </c>
      <c r="T134" s="39" t="n">
        <f aca="false">MIN(T133,T125-T126)</f>
        <v>0</v>
      </c>
      <c r="U134" s="39" t="n">
        <f aca="false">MIN(U133,U125-U126)</f>
        <v>0</v>
      </c>
      <c r="V134" s="39" t="n">
        <f aca="false">MIN(V133,V125-V126)</f>
        <v>0</v>
      </c>
      <c r="W134" s="39" t="n">
        <f aca="false">MIN(W133,W125-W126)</f>
        <v>0</v>
      </c>
      <c r="X134" s="39" t="n">
        <f aca="false">MIN(X133,X125-X126)</f>
        <v>0</v>
      </c>
      <c r="Y134" s="39" t="n">
        <f aca="false">MIN(Y133,Y125-Y126)</f>
        <v>0</v>
      </c>
      <c r="Z134" s="39" t="n">
        <f aca="false">MIN(Z133,Z125-Z126)</f>
        <v>0</v>
      </c>
      <c r="AA134" s="39" t="n">
        <f aca="false">MIN(AA133,AA125-AA126)</f>
        <v>0</v>
      </c>
      <c r="AB134" s="39" t="n">
        <f aca="false">MIN(AB133,AB125-AB126)</f>
        <v>0</v>
      </c>
      <c r="AC134" s="39" t="n">
        <f aca="false">MIN(AC133,AC125-AC126)</f>
        <v>0</v>
      </c>
      <c r="AD134" s="39" t="n">
        <f aca="false">MIN(AD133,AD125-AD126)</f>
        <v>0</v>
      </c>
      <c r="AE134" s="39" t="n">
        <f aca="false">MIN(AE133,AE125-AE126)</f>
        <v>0</v>
      </c>
      <c r="AF134" s="39" t="n">
        <f aca="false">MIN(AF133,AF125-AF126)</f>
        <v>0</v>
      </c>
      <c r="AG134" s="39" t="n">
        <f aca="false">MIN(AG133,AG125-AG126)</f>
        <v>0</v>
      </c>
      <c r="AH134" s="39" t="n">
        <f aca="false">MIN(AH133,AH125-AH126)</f>
        <v>0</v>
      </c>
      <c r="AI134" s="39" t="n">
        <f aca="false">MIN(AI133,AI125-AI126)</f>
        <v>0</v>
      </c>
      <c r="AJ134" s="39" t="n">
        <f aca="false">MIN(AJ133,AJ125-AJ126)</f>
        <v>0</v>
      </c>
      <c r="AK134" s="39" t="n">
        <f aca="false">MIN(AK133,AK125-AK126)</f>
        <v>0</v>
      </c>
      <c r="AL134" s="39" t="n">
        <f aca="false">MIN(AL133,AL125-AL126)</f>
        <v>0</v>
      </c>
      <c r="AM134" s="39" t="n">
        <f aca="false">MIN(AM133,AM125-AM126)</f>
        <v>0</v>
      </c>
      <c r="AN134" s="39" t="n">
        <f aca="false">MIN(AN133,AN125-AN126)</f>
        <v>0</v>
      </c>
    </row>
    <row r="135" customFormat="false" ht="15" hidden="false" customHeight="false" outlineLevel="0" collapsed="false">
      <c r="A135" s="5" t="s">
        <v>166</v>
      </c>
      <c r="E135" s="39" t="n">
        <f aca="false">E133-E134</f>
        <v>25235112.5453807</v>
      </c>
      <c r="F135" s="39" t="n">
        <f aca="false">F133-F134</f>
        <v>25433261.7406418</v>
      </c>
      <c r="G135" s="39" t="n">
        <f aca="false">G133-G134</f>
        <v>25514900.5814547</v>
      </c>
      <c r="H135" s="39" t="n">
        <f aca="false">H133-H134</f>
        <v>25493817.142809</v>
      </c>
      <c r="I135" s="39" t="n">
        <f aca="false">I133-I134</f>
        <v>24375617.0780105</v>
      </c>
      <c r="J135" s="39" t="n">
        <f aca="false">J133-J134</f>
        <v>22818200.7592614</v>
      </c>
      <c r="K135" s="39" t="n">
        <f aca="false">K133-K134</f>
        <v>21369210.1870338</v>
      </c>
      <c r="L135" s="39" t="n">
        <f aca="false">L133-L134</f>
        <v>20021847.6946263</v>
      </c>
      <c r="M135" s="39" t="n">
        <f aca="false">M133-M134</f>
        <v>21980166.8753552</v>
      </c>
      <c r="N135" s="39" t="n">
        <f aca="false">N133-N134</f>
        <v>20690250.4542928</v>
      </c>
      <c r="O135" s="39" t="n">
        <f aca="false">O133-O134</f>
        <v>19443738.0141567</v>
      </c>
      <c r="P135" s="39" t="n">
        <f aca="false">P133-P134</f>
        <v>18257099.5768854</v>
      </c>
      <c r="Q135" s="39" t="n">
        <f aca="false">Q133-Q134</f>
        <v>17083542.3649266</v>
      </c>
      <c r="R135" s="39" t="n">
        <f aca="false">R133-R134</f>
        <v>15958349.7284853</v>
      </c>
      <c r="S135" s="39" t="n">
        <f aca="false">S133-S134</f>
        <v>14887698.2077846</v>
      </c>
      <c r="T135" s="39" t="n">
        <f aca="false">T133-T134</f>
        <v>13880675.1254909</v>
      </c>
      <c r="U135" s="39" t="n">
        <f aca="false">U133-U134</f>
        <v>12961812.4600499</v>
      </c>
      <c r="V135" s="39" t="n">
        <f aca="false">V133-V134</f>
        <v>22875234.0065405</v>
      </c>
      <c r="W135" s="39" t="n">
        <f aca="false">W133-W134</f>
        <v>26291355.767435</v>
      </c>
      <c r="X135" s="39" t="n">
        <f aca="false">X133-X134</f>
        <v>24164898.2217239</v>
      </c>
      <c r="Y135" s="39" t="n">
        <f aca="false">Y133-Y134</f>
        <v>22191986.6760878</v>
      </c>
      <c r="Z135" s="39" t="n">
        <f aca="false">Z133-Z134</f>
        <v>20367872.6089879</v>
      </c>
      <c r="AA135" s="39" t="n">
        <f aca="false">AA133-AA134</f>
        <v>18662739.472333</v>
      </c>
      <c r="AB135" s="39" t="n">
        <f aca="false">AB133-AB134</f>
        <v>17073483.1258935</v>
      </c>
      <c r="AC135" s="39" t="n">
        <f aca="false">AC133-AC134</f>
        <v>15646732.8570852</v>
      </c>
      <c r="AD135" s="39" t="n">
        <f aca="false">AD133-AD134</f>
        <v>14326065.3604897</v>
      </c>
      <c r="AE135" s="39" t="n">
        <f aca="false">AE133-AE134</f>
        <v>13072374.8086461</v>
      </c>
      <c r="AF135" s="39" t="n">
        <f aca="false">AF133-AF134</f>
        <v>4367443.74580403</v>
      </c>
      <c r="AG135" s="39" t="n">
        <f aca="false">AG133-AG134</f>
        <v>275205.631024147</v>
      </c>
      <c r="AH135" s="39" t="n">
        <f aca="false">AH133-AH134</f>
        <v>214062.264108125</v>
      </c>
      <c r="AI135" s="39" t="n">
        <f aca="false">AI133-AI134</f>
        <v>158092.389932903</v>
      </c>
      <c r="AJ135" s="39" t="n">
        <f aca="false">AJ133-AJ134</f>
        <v>106932.500786706</v>
      </c>
      <c r="AK135" s="39" t="n">
        <f aca="false">AK133-AK134</f>
        <v>66141.4220464593</v>
      </c>
      <c r="AL135" s="39" t="n">
        <f aca="false">AL133-AL134</f>
        <v>31701.5527081401</v>
      </c>
      <c r="AM135" s="39" t="n">
        <f aca="false">AM133-AM134</f>
        <v>242.593229700156</v>
      </c>
      <c r="AN135" s="39" t="n">
        <f aca="false">AN133-AN134</f>
        <v>0</v>
      </c>
    </row>
    <row r="136" customFormat="false" ht="15" hidden="false" customHeight="false" outlineLevel="0" collapsed="false">
      <c r="A136" s="5" t="s">
        <v>167</v>
      </c>
      <c r="E136" s="18" t="n">
        <f aca="false">IF('Scenario Analysis'!E108&gt;=20,'Inputs &amp; Assumptions'!$C$37,IF('Scenario Analysis'!E108&gt;=10,'Inputs &amp; Assumptions'!$C$38,'Inputs &amp; Assumptions'!$C$39))</f>
        <v>0.7</v>
      </c>
      <c r="F136" s="18" t="n">
        <f aca="false">IF('Scenario Analysis'!F108&gt;=20,'Inputs &amp; Assumptions'!$C$37,IF('Scenario Analysis'!F108&gt;=10,'Inputs &amp; Assumptions'!$C$38,'Inputs &amp; Assumptions'!$C$39))</f>
        <v>0.7</v>
      </c>
      <c r="G136" s="18" t="n">
        <f aca="false">IF('Scenario Analysis'!G108&gt;=20,'Inputs &amp; Assumptions'!$C$37,IF('Scenario Analysis'!G108&gt;=10,'Inputs &amp; Assumptions'!$C$38,'Inputs &amp; Assumptions'!$C$39))</f>
        <v>0.7</v>
      </c>
      <c r="H136" s="18" t="n">
        <f aca="false">IF('Scenario Analysis'!H108&gt;=20,'Inputs &amp; Assumptions'!$C$37,IF('Scenario Analysis'!H108&gt;=10,'Inputs &amp; Assumptions'!$C$38,'Inputs &amp; Assumptions'!$C$39))</f>
        <v>0.7</v>
      </c>
      <c r="I136" s="18" t="n">
        <f aca="false">IF('Scenario Analysis'!I108&gt;=20,'Inputs &amp; Assumptions'!$C$37,IF('Scenario Analysis'!I108&gt;=10,'Inputs &amp; Assumptions'!$C$38,'Inputs &amp; Assumptions'!$C$39))</f>
        <v>0.7</v>
      </c>
      <c r="J136" s="18" t="n">
        <f aca="false">IF('Scenario Analysis'!J108&gt;=20,'Inputs &amp; Assumptions'!$C$37,IF('Scenario Analysis'!J108&gt;=10,'Inputs &amp; Assumptions'!$C$38,'Inputs &amp; Assumptions'!$C$39))</f>
        <v>0.7</v>
      </c>
      <c r="K136" s="18" t="n">
        <f aca="false">IF('Scenario Analysis'!K108&gt;=20,'Inputs &amp; Assumptions'!$C$37,IF('Scenario Analysis'!K108&gt;=10,'Inputs &amp; Assumptions'!$C$38,'Inputs &amp; Assumptions'!$C$39))</f>
        <v>0.7</v>
      </c>
      <c r="L136" s="18" t="n">
        <f aca="false">IF('Scenario Analysis'!L108&gt;=20,'Inputs &amp; Assumptions'!$C$37,IF('Scenario Analysis'!L108&gt;=10,'Inputs &amp; Assumptions'!$C$38,'Inputs &amp; Assumptions'!$C$39))</f>
        <v>0.7</v>
      </c>
      <c r="M136" s="18" t="n">
        <f aca="false">IF('Scenario Analysis'!M108&gt;=20,'Inputs &amp; Assumptions'!$C$37,IF('Scenario Analysis'!M108&gt;=10,'Inputs &amp; Assumptions'!$C$38,'Inputs &amp; Assumptions'!$C$39))</f>
        <v>0.7</v>
      </c>
      <c r="N136" s="18" t="n">
        <f aca="false">IF('Scenario Analysis'!N108&gt;=20,'Inputs &amp; Assumptions'!$C$37,IF('Scenario Analysis'!N108&gt;=10,'Inputs &amp; Assumptions'!$C$38,'Inputs &amp; Assumptions'!$C$39))</f>
        <v>0.7</v>
      </c>
      <c r="O136" s="18" t="n">
        <f aca="false">IF('Scenario Analysis'!O108&gt;=20,'Inputs &amp; Assumptions'!$C$37,IF('Scenario Analysis'!O108&gt;=10,'Inputs &amp; Assumptions'!$C$38,'Inputs &amp; Assumptions'!$C$39))</f>
        <v>0.7</v>
      </c>
      <c r="P136" s="18" t="n">
        <f aca="false">IF('Scenario Analysis'!P108&gt;=20,'Inputs &amp; Assumptions'!$C$37,IF('Scenario Analysis'!P108&gt;=10,'Inputs &amp; Assumptions'!$C$38,'Inputs &amp; Assumptions'!$C$39))</f>
        <v>0.7</v>
      </c>
      <c r="Q136" s="18" t="n">
        <f aca="false">IF('Scenario Analysis'!Q108&gt;=20,'Inputs &amp; Assumptions'!$C$37,IF('Scenario Analysis'!Q108&gt;=10,'Inputs &amp; Assumptions'!$C$38,'Inputs &amp; Assumptions'!$C$39))</f>
        <v>0.7</v>
      </c>
      <c r="R136" s="18" t="n">
        <f aca="false">IF('Scenario Analysis'!R108&gt;=20,'Inputs &amp; Assumptions'!$C$37,IF('Scenario Analysis'!R108&gt;=10,'Inputs &amp; Assumptions'!$C$38,'Inputs &amp; Assumptions'!$C$39))</f>
        <v>0.7</v>
      </c>
      <c r="S136" s="18" t="n">
        <f aca="false">IF('Scenario Analysis'!S108&gt;=20,'Inputs &amp; Assumptions'!$C$37,IF('Scenario Analysis'!S108&gt;=10,'Inputs &amp; Assumptions'!$C$38,'Inputs &amp; Assumptions'!$C$39))</f>
        <v>0.7</v>
      </c>
      <c r="T136" s="18" t="n">
        <f aca="false">IF('Scenario Analysis'!T108&gt;=20,'Inputs &amp; Assumptions'!$C$37,IF('Scenario Analysis'!T108&gt;=10,'Inputs &amp; Assumptions'!$C$38,'Inputs &amp; Assumptions'!$C$39))</f>
        <v>0.7</v>
      </c>
      <c r="U136" s="18" t="n">
        <f aca="false">IF('Scenario Analysis'!U108&gt;=20,'Inputs &amp; Assumptions'!$C$37,IF('Scenario Analysis'!U108&gt;=10,'Inputs &amp; Assumptions'!$C$38,'Inputs &amp; Assumptions'!$C$39))</f>
        <v>0.7</v>
      </c>
      <c r="V136" s="18" t="n">
        <f aca="false">IF('Scenario Analysis'!V108&gt;=20,'Inputs &amp; Assumptions'!$C$37,IF('Scenario Analysis'!V108&gt;=10,'Inputs &amp; Assumptions'!$C$38,'Inputs &amp; Assumptions'!$C$39))</f>
        <v>0.7</v>
      </c>
      <c r="W136" s="18" t="n">
        <f aca="false">IF('Scenario Analysis'!W108&gt;=20,'Inputs &amp; Assumptions'!$C$37,IF('Scenario Analysis'!W108&gt;=10,'Inputs &amp; Assumptions'!$C$38,'Inputs &amp; Assumptions'!$C$39))</f>
        <v>0.7</v>
      </c>
      <c r="X136" s="18" t="n">
        <f aca="false">IF('Scenario Analysis'!X108&gt;=20,'Inputs &amp; Assumptions'!$C$37,IF('Scenario Analysis'!X108&gt;=10,'Inputs &amp; Assumptions'!$C$38,'Inputs &amp; Assumptions'!$C$39))</f>
        <v>0.7</v>
      </c>
      <c r="Y136" s="18" t="n">
        <f aca="false">IF('Scenario Analysis'!Y108&gt;=20,'Inputs &amp; Assumptions'!$C$37,IF('Scenario Analysis'!Y108&gt;=10,'Inputs &amp; Assumptions'!$C$38,'Inputs &amp; Assumptions'!$C$39))</f>
        <v>0.7</v>
      </c>
      <c r="Z136" s="18" t="n">
        <f aca="false">IF('Scenario Analysis'!Z108&gt;=20,'Inputs &amp; Assumptions'!$C$37,IF('Scenario Analysis'!Z108&gt;=10,'Inputs &amp; Assumptions'!$C$38,'Inputs &amp; Assumptions'!$C$39))</f>
        <v>0.8</v>
      </c>
      <c r="AA136" s="18" t="n">
        <f aca="false">IF('Scenario Analysis'!AA108&gt;=20,'Inputs &amp; Assumptions'!$C$37,IF('Scenario Analysis'!AA108&gt;=10,'Inputs &amp; Assumptions'!$C$38,'Inputs &amp; Assumptions'!$C$39))</f>
        <v>0.8</v>
      </c>
      <c r="AB136" s="18" t="n">
        <f aca="false">IF('Scenario Analysis'!AB108&gt;=20,'Inputs &amp; Assumptions'!$C$37,IF('Scenario Analysis'!AB108&gt;=10,'Inputs &amp; Assumptions'!$C$38,'Inputs &amp; Assumptions'!$C$39))</f>
        <v>0.8</v>
      </c>
      <c r="AC136" s="18" t="n">
        <f aca="false">IF('Scenario Analysis'!AC108&gt;=20,'Inputs &amp; Assumptions'!$C$37,IF('Scenario Analysis'!AC108&gt;=10,'Inputs &amp; Assumptions'!$C$38,'Inputs &amp; Assumptions'!$C$39))</f>
        <v>0.8</v>
      </c>
      <c r="AD136" s="18" t="n">
        <f aca="false">IF('Scenario Analysis'!AD108&gt;=20,'Inputs &amp; Assumptions'!$C$37,IF('Scenario Analysis'!AD108&gt;=10,'Inputs &amp; Assumptions'!$C$38,'Inputs &amp; Assumptions'!$C$39))</f>
        <v>1</v>
      </c>
      <c r="AE136" s="18" t="n">
        <f aca="false">IF('Scenario Analysis'!AE108&gt;=20,'Inputs &amp; Assumptions'!$C$37,IF('Scenario Analysis'!AE108&gt;=10,'Inputs &amp; Assumptions'!$C$38,'Inputs &amp; Assumptions'!$C$39))</f>
        <v>1</v>
      </c>
      <c r="AF136" s="18" t="n">
        <f aca="false">IF('Scenario Analysis'!AF108&gt;=20,'Inputs &amp; Assumptions'!$C$37,IF('Scenario Analysis'!AF108&gt;=10,'Inputs &amp; Assumptions'!$C$38,'Inputs &amp; Assumptions'!$C$39))</f>
        <v>1</v>
      </c>
      <c r="AG136" s="18" t="n">
        <f aca="false">IF('Scenario Analysis'!AG108&gt;=20,'Inputs &amp; Assumptions'!$C$37,IF('Scenario Analysis'!AG108&gt;=10,'Inputs &amp; Assumptions'!$C$38,'Inputs &amp; Assumptions'!$C$39))</f>
        <v>1</v>
      </c>
      <c r="AH136" s="18" t="n">
        <f aca="false">IF('Scenario Analysis'!AH108&gt;=20,'Inputs &amp; Assumptions'!$C$37,IF('Scenario Analysis'!AH108&gt;=10,'Inputs &amp; Assumptions'!$C$38,'Inputs &amp; Assumptions'!$C$39))</f>
        <v>1</v>
      </c>
      <c r="AI136" s="18" t="n">
        <f aca="false">IF('Scenario Analysis'!AI108&gt;=20,'Inputs &amp; Assumptions'!$C$37,IF('Scenario Analysis'!AI108&gt;=10,'Inputs &amp; Assumptions'!$C$38,'Inputs &amp; Assumptions'!$C$39))</f>
        <v>1</v>
      </c>
      <c r="AJ136" s="18" t="n">
        <f aca="false">IF('Scenario Analysis'!AJ108&gt;=20,'Inputs &amp; Assumptions'!$C$37,IF('Scenario Analysis'!AJ108&gt;=10,'Inputs &amp; Assumptions'!$C$38,'Inputs &amp; Assumptions'!$C$39))</f>
        <v>1</v>
      </c>
      <c r="AK136" s="18" t="n">
        <f aca="false">IF('Scenario Analysis'!AK108&gt;=20,'Inputs &amp; Assumptions'!$C$37,IF('Scenario Analysis'!AK108&gt;=10,'Inputs &amp; Assumptions'!$C$38,'Inputs &amp; Assumptions'!$C$39))</f>
        <v>1</v>
      </c>
      <c r="AL136" s="18" t="n">
        <f aca="false">IF('Scenario Analysis'!AL108&gt;=20,'Inputs &amp; Assumptions'!$C$37,IF('Scenario Analysis'!AL108&gt;=10,'Inputs &amp; Assumptions'!$C$38,'Inputs &amp; Assumptions'!$C$39))</f>
        <v>1</v>
      </c>
      <c r="AM136" s="18" t="n">
        <f aca="false">IF('Scenario Analysis'!AM108&gt;=20,'Inputs &amp; Assumptions'!$C$37,IF('Scenario Analysis'!AM108&gt;=10,'Inputs &amp; Assumptions'!$C$38,'Inputs &amp; Assumptions'!$C$39))</f>
        <v>1</v>
      </c>
      <c r="AN136" s="18" t="n">
        <f aca="false">IF('Scenario Analysis'!AN108&gt;=20,'Inputs &amp; Assumptions'!$C$37,IF('Scenario Analysis'!AN108&gt;=10,'Inputs &amp; Assumptions'!$C$38,'Inputs &amp; Assumptions'!$C$39))</f>
        <v>1</v>
      </c>
    </row>
    <row r="137" customFormat="false" ht="15" hidden="false" customHeight="false" outlineLevel="0" collapsed="false">
      <c r="A137" s="5" t="s">
        <v>168</v>
      </c>
      <c r="E137" s="39" t="n">
        <f aca="false">E115-E126-E134</f>
        <v>340424922.203496</v>
      </c>
      <c r="F137" s="39" t="n">
        <f aca="false">F115-F126-F134</f>
        <v>322760343.421729</v>
      </c>
      <c r="G137" s="39" t="n">
        <f aca="false">G115-G126-G134</f>
        <v>304957060.20328</v>
      </c>
      <c r="H137" s="39" t="n">
        <f aca="false">H115-H126-H134</f>
        <v>287096629.796262</v>
      </c>
      <c r="I137" s="39" t="n">
        <f aca="false">I115-I126-I134</f>
        <v>269250957.796296</v>
      </c>
      <c r="J137" s="39" t="n">
        <f aca="false">J115-J126-J134</f>
        <v>252188025.841688</v>
      </c>
      <c r="K137" s="39" t="n">
        <f aca="false">K115-K126-K134</f>
        <v>236215285.310205</v>
      </c>
      <c r="L137" s="39" t="n">
        <f aca="false">L115-L126-L134</f>
        <v>221256838.179282</v>
      </c>
      <c r="M137" s="39" t="n">
        <f aca="false">M115-M126-M134</f>
        <v>207241544.793043</v>
      </c>
      <c r="N137" s="39" t="n">
        <f aca="false">N115-N126-N134</f>
        <v>191855427.980295</v>
      </c>
      <c r="O137" s="39" t="n">
        <f aca="false">O115-O126-O134</f>
        <v>177372252.66229</v>
      </c>
      <c r="P137" s="39" t="n">
        <f aca="false">P115-P126-P134</f>
        <v>163761636.05238</v>
      </c>
      <c r="Q137" s="39" t="n">
        <f aca="false">Q115-Q126-Q134</f>
        <v>150981666.34856</v>
      </c>
      <c r="R137" s="39" t="n">
        <f aca="false">R115-R126-R134</f>
        <v>139023186.693111</v>
      </c>
      <c r="S137" s="39" t="n">
        <f aca="false">S115-S126-S134</f>
        <v>127852341.883172</v>
      </c>
      <c r="T137" s="39" t="n">
        <f aca="false">T115-T126-T134</f>
        <v>117430953.137723</v>
      </c>
      <c r="U137" s="39" t="n">
        <f aca="false">U115-U126-U134</f>
        <v>107714480.549879</v>
      </c>
      <c r="V137" s="39" t="n">
        <f aca="false">V115-V126-V134</f>
        <v>98641211.8278441</v>
      </c>
      <c r="W137" s="39" t="n">
        <f aca="false">W115-W126-W134</f>
        <v>82628548.0232657</v>
      </c>
      <c r="X137" s="39" t="n">
        <f aca="false">X115-X126-X134</f>
        <v>64224598.9860612</v>
      </c>
      <c r="Y137" s="39" t="n">
        <f aca="false">Y115-Y126-Y134</f>
        <v>47309170.2308545</v>
      </c>
      <c r="Z137" s="39" t="n">
        <f aca="false">Z115-Z126-Z134</f>
        <v>31774779.557593</v>
      </c>
      <c r="AA137" s="39" t="n">
        <f aca="false">AA115-AA126-AA134</f>
        <v>15480481.4704027</v>
      </c>
      <c r="AB137" s="39" t="n">
        <f aca="false">AB115-AB126-AB134</f>
        <v>550289.892536361</v>
      </c>
      <c r="AC137" s="39" t="n">
        <f aca="false">AC115-AC126-AC134</f>
        <v>0</v>
      </c>
      <c r="AD137" s="39" t="n">
        <f aca="false">AD115-AD126-AD134</f>
        <v>0</v>
      </c>
      <c r="AE137" s="39" t="n">
        <f aca="false">AE115-AE126-AE134</f>
        <v>0</v>
      </c>
      <c r="AF137" s="39" t="n">
        <f aca="false">AF115-AF126-AF134</f>
        <v>0</v>
      </c>
      <c r="AG137" s="39" t="n">
        <f aca="false">AG115-AG126-AG134</f>
        <v>0</v>
      </c>
      <c r="AH137" s="39" t="n">
        <f aca="false">AH115-AH126-AH134</f>
        <v>0</v>
      </c>
      <c r="AI137" s="39" t="n">
        <f aca="false">AI115-AI126-AI134</f>
        <v>0</v>
      </c>
      <c r="AJ137" s="39" t="n">
        <f aca="false">AJ115-AJ126-AJ134</f>
        <v>0</v>
      </c>
      <c r="AK137" s="39" t="n">
        <f aca="false">AK115-AK126-AK134</f>
        <v>0</v>
      </c>
      <c r="AL137" s="39" t="n">
        <f aca="false">AL115-AL126-AL134</f>
        <v>0</v>
      </c>
      <c r="AM137" s="39" t="n">
        <f aca="false">AM115-AM126-AM134</f>
        <v>0</v>
      </c>
      <c r="AN137" s="39" t="n">
        <f aca="false">AN115-AN126-AN134</f>
        <v>0</v>
      </c>
    </row>
    <row r="138" customFormat="false" ht="15" hidden="false" customHeight="false" outlineLevel="0" collapsed="false">
      <c r="A138" s="5" t="s">
        <v>169</v>
      </c>
      <c r="E138" s="39" t="n">
        <f aca="false">MIN(E136*E135,E137)</f>
        <v>17664578.7817665</v>
      </c>
      <c r="F138" s="39" t="n">
        <f aca="false">MIN(F136*F135,F137)</f>
        <v>17803283.2184492</v>
      </c>
      <c r="G138" s="39" t="n">
        <f aca="false">MIN(G136*G135,G137)</f>
        <v>17860430.4070183</v>
      </c>
      <c r="H138" s="39" t="n">
        <f aca="false">MIN(H136*H135,H137)</f>
        <v>17845671.9999663</v>
      </c>
      <c r="I138" s="39" t="n">
        <f aca="false">MIN(I136*I135,I137)</f>
        <v>17062931.9546074</v>
      </c>
      <c r="J138" s="39" t="n">
        <f aca="false">MIN(J136*J135,J137)</f>
        <v>15972740.531483</v>
      </c>
      <c r="K138" s="39" t="n">
        <f aca="false">MIN(K136*K135,K137)</f>
        <v>14958447.1309236</v>
      </c>
      <c r="L138" s="39" t="n">
        <f aca="false">MIN(L136*L135,L137)</f>
        <v>14015293.3862384</v>
      </c>
      <c r="M138" s="39" t="n">
        <f aca="false">MIN(M136*M135,M137)</f>
        <v>15386116.8127486</v>
      </c>
      <c r="N138" s="39" t="n">
        <f aca="false">MIN(N136*N135,N137)</f>
        <v>14483175.318005</v>
      </c>
      <c r="O138" s="39" t="n">
        <f aca="false">MIN(O136*O135,O137)</f>
        <v>13610616.6099097</v>
      </c>
      <c r="P138" s="39" t="n">
        <f aca="false">MIN(P136*P135,P137)</f>
        <v>12779969.7038198</v>
      </c>
      <c r="Q138" s="39" t="n">
        <f aca="false">MIN(Q136*Q135,Q137)</f>
        <v>11958479.6554486</v>
      </c>
      <c r="R138" s="39" t="n">
        <f aca="false">MIN(R136*R135,R137)</f>
        <v>11170844.8099397</v>
      </c>
      <c r="S138" s="39" t="n">
        <f aca="false">MIN(S136*S135,S137)</f>
        <v>10421388.7454492</v>
      </c>
      <c r="T138" s="39" t="n">
        <f aca="false">MIN(T136*T135,T137)</f>
        <v>9716472.58784364</v>
      </c>
      <c r="U138" s="39" t="n">
        <f aca="false">MIN(U136*U135,U137)</f>
        <v>9073268.72203491</v>
      </c>
      <c r="V138" s="39" t="n">
        <f aca="false">MIN(V136*V135,V137)</f>
        <v>16012663.8045783</v>
      </c>
      <c r="W138" s="39" t="n">
        <f aca="false">MIN(W136*W135,W137)</f>
        <v>18403949.0372045</v>
      </c>
      <c r="X138" s="39" t="n">
        <f aca="false">MIN(X136*X135,X137)</f>
        <v>16915428.7552067</v>
      </c>
      <c r="Y138" s="39" t="n">
        <f aca="false">MIN(Y136*Y135,Y137)</f>
        <v>15534390.6732614</v>
      </c>
      <c r="Z138" s="39" t="n">
        <f aca="false">MIN(Z136*Z135,Z137)</f>
        <v>16294298.0871903</v>
      </c>
      <c r="AA138" s="39" t="n">
        <f aca="false">MIN(AA136*AA135,AA137)</f>
        <v>14930191.5778664</v>
      </c>
      <c r="AB138" s="39" t="n">
        <f aca="false">MIN(AB136*AB135,AB137)</f>
        <v>550289.892536361</v>
      </c>
      <c r="AC138" s="39" t="n">
        <f aca="false">MIN(AC136*AC135,AC137)</f>
        <v>0</v>
      </c>
      <c r="AD138" s="39" t="n">
        <f aca="false">MIN(AD136*AD135,AD137)</f>
        <v>0</v>
      </c>
      <c r="AE138" s="39" t="n">
        <f aca="false">MIN(AE136*AE135,AE137)</f>
        <v>0</v>
      </c>
      <c r="AF138" s="39" t="n">
        <f aca="false">MIN(AF136*AF135,AF137)</f>
        <v>0</v>
      </c>
      <c r="AG138" s="39" t="n">
        <f aca="false">MIN(AG136*AG135,AG137)</f>
        <v>0</v>
      </c>
      <c r="AH138" s="39" t="n">
        <f aca="false">MIN(AH136*AH135,AH137)</f>
        <v>0</v>
      </c>
      <c r="AI138" s="39" t="n">
        <f aca="false">MIN(AI136*AI135,AI137)</f>
        <v>0</v>
      </c>
      <c r="AJ138" s="39" t="n">
        <f aca="false">MIN(AJ136*AJ135,AJ137)</f>
        <v>0</v>
      </c>
      <c r="AK138" s="39" t="n">
        <f aca="false">MIN(AK136*AK135,AK137)</f>
        <v>0</v>
      </c>
      <c r="AL138" s="39" t="n">
        <f aca="false">MIN(AL136*AL135,AL137)</f>
        <v>0</v>
      </c>
      <c r="AM138" s="39" t="n">
        <f aca="false">MIN(AM136*AM135,AM137)</f>
        <v>0</v>
      </c>
      <c r="AN138" s="39" t="n">
        <f aca="false">MIN(AN136*AN135,AN137)</f>
        <v>0</v>
      </c>
    </row>
    <row r="139" customFormat="false" ht="15" hidden="false" customHeight="false" outlineLevel="0" collapsed="false">
      <c r="A139" s="5" t="s">
        <v>170</v>
      </c>
      <c r="E139" s="39" t="n">
        <f aca="false">E135-E138</f>
        <v>7570533.76361422</v>
      </c>
      <c r="F139" s="39" t="n">
        <f aca="false">F135-F138</f>
        <v>7629978.52219254</v>
      </c>
      <c r="G139" s="39" t="n">
        <f aca="false">G135-G138</f>
        <v>7654470.17443641</v>
      </c>
      <c r="H139" s="39" t="n">
        <f aca="false">H135-H138</f>
        <v>7648145.1428427</v>
      </c>
      <c r="I139" s="39" t="n">
        <f aca="false">I135-I138</f>
        <v>7312685.12340316</v>
      </c>
      <c r="J139" s="39" t="n">
        <f aca="false">J135-J138</f>
        <v>6845460.22777841</v>
      </c>
      <c r="K139" s="39" t="n">
        <f aca="false">K135-K138</f>
        <v>6410763.05611013</v>
      </c>
      <c r="L139" s="39" t="n">
        <f aca="false">L135-L138</f>
        <v>6006554.30838788</v>
      </c>
      <c r="M139" s="39" t="n">
        <f aca="false">M135-M138</f>
        <v>6594050.06260655</v>
      </c>
      <c r="N139" s="39" t="n">
        <f aca="false">N135-N138</f>
        <v>6207075.13628785</v>
      </c>
      <c r="O139" s="39" t="n">
        <f aca="false">O135-O138</f>
        <v>5833121.40424702</v>
      </c>
      <c r="P139" s="39" t="n">
        <f aca="false">P135-P138</f>
        <v>5477129.87306562</v>
      </c>
      <c r="Q139" s="39" t="n">
        <f aca="false">Q135-Q138</f>
        <v>5125062.70947798</v>
      </c>
      <c r="R139" s="39" t="n">
        <f aca="false">R135-R138</f>
        <v>4787504.91854558</v>
      </c>
      <c r="S139" s="39" t="n">
        <f aca="false">S135-S138</f>
        <v>4466309.46233537</v>
      </c>
      <c r="T139" s="39" t="n">
        <f aca="false">T135-T138</f>
        <v>4164202.53764728</v>
      </c>
      <c r="U139" s="39" t="n">
        <f aca="false">U135-U138</f>
        <v>3888543.73801496</v>
      </c>
      <c r="V139" s="39" t="n">
        <f aca="false">V135-V138</f>
        <v>6862570.20196214</v>
      </c>
      <c r="W139" s="39" t="n">
        <f aca="false">W135-W138</f>
        <v>7887406.73023051</v>
      </c>
      <c r="X139" s="39" t="n">
        <f aca="false">X135-X138</f>
        <v>7249469.46651717</v>
      </c>
      <c r="Y139" s="39" t="n">
        <f aca="false">Y135-Y138</f>
        <v>6657596.00282634</v>
      </c>
      <c r="Z139" s="39" t="n">
        <f aca="false">Z135-Z138</f>
        <v>4073574.52179758</v>
      </c>
      <c r="AA139" s="39" t="n">
        <f aca="false">AA135-AA138</f>
        <v>3732547.89446659</v>
      </c>
      <c r="AB139" s="39" t="n">
        <f aca="false">AB135-AB138</f>
        <v>16523193.2333572</v>
      </c>
      <c r="AC139" s="39" t="n">
        <f aca="false">AC135-AC138</f>
        <v>15646732.8570852</v>
      </c>
      <c r="AD139" s="39" t="n">
        <f aca="false">AD135-AD138</f>
        <v>14326065.3604897</v>
      </c>
      <c r="AE139" s="39" t="n">
        <f aca="false">AE135-AE138</f>
        <v>13072374.8086461</v>
      </c>
      <c r="AF139" s="39" t="n">
        <f aca="false">AF135-AF138</f>
        <v>4367443.74580403</v>
      </c>
      <c r="AG139" s="39" t="n">
        <f aca="false">AG135-AG138</f>
        <v>275205.631024147</v>
      </c>
      <c r="AH139" s="39" t="n">
        <f aca="false">AH135-AH138</f>
        <v>214062.264108125</v>
      </c>
      <c r="AI139" s="39" t="n">
        <f aca="false">AI135-AI138</f>
        <v>158092.389932903</v>
      </c>
      <c r="AJ139" s="39" t="n">
        <f aca="false">AJ135-AJ138</f>
        <v>106932.500786706</v>
      </c>
      <c r="AK139" s="39" t="n">
        <f aca="false">AK135-AK138</f>
        <v>66141.4220464593</v>
      </c>
      <c r="AL139" s="39" t="n">
        <f aca="false">AL135-AL138</f>
        <v>31701.5527081401</v>
      </c>
      <c r="AM139" s="39" t="n">
        <f aca="false">AM135-AM138</f>
        <v>242.593229700156</v>
      </c>
      <c r="AN139" s="39" t="n">
        <f aca="false">AN135-AN138</f>
        <v>0</v>
      </c>
    </row>
    <row r="140" customFormat="false" ht="15" hidden="false" customHeight="false" outlineLevel="0" collapsed="false">
      <c r="A140" s="5" t="s">
        <v>171</v>
      </c>
      <c r="E140" s="39" t="n">
        <f aca="false">MIN(E139,E142)</f>
        <v>7570533.76361422</v>
      </c>
      <c r="F140" s="39" t="n">
        <f aca="false">MIN(F139,F142)</f>
        <v>7629978.52219254</v>
      </c>
      <c r="G140" s="39" t="n">
        <f aca="false">MIN(G139,G142)</f>
        <v>7654470.17443641</v>
      </c>
      <c r="H140" s="39" t="n">
        <f aca="false">MIN(H139,H142)</f>
        <v>7648145.1428427</v>
      </c>
      <c r="I140" s="39" t="n">
        <f aca="false">MIN(I139,I142)</f>
        <v>7312685.12340316</v>
      </c>
      <c r="J140" s="39" t="n">
        <f aca="false">MIN(J139,J142)</f>
        <v>6845460.22777841</v>
      </c>
      <c r="K140" s="39" t="n">
        <f aca="false">MIN(K139,K142)</f>
        <v>6410763.05611013</v>
      </c>
      <c r="L140" s="39" t="n">
        <f aca="false">MIN(L139,L142)</f>
        <v>6006554.30838788</v>
      </c>
      <c r="M140" s="39" t="n">
        <f aca="false">MIN(M139,M142)</f>
        <v>6594050.06260655</v>
      </c>
      <c r="N140" s="39" t="n">
        <f aca="false">MIN(N139,N142)</f>
        <v>6207075.13628785</v>
      </c>
      <c r="O140" s="39" t="n">
        <f aca="false">MIN(O139,O142)</f>
        <v>5833121.40424702</v>
      </c>
      <c r="P140" s="39" t="n">
        <f aca="false">MIN(P139,P142)</f>
        <v>5477129.87306562</v>
      </c>
      <c r="Q140" s="39" t="n">
        <f aca="false">MIN(Q139,Q142)</f>
        <v>5125062.70947798</v>
      </c>
      <c r="R140" s="39" t="n">
        <f aca="false">MIN(R139,R142)</f>
        <v>4787504.91854558</v>
      </c>
      <c r="S140" s="39" t="n">
        <f aca="false">MIN(S139,S142)</f>
        <v>4466309.46233537</v>
      </c>
      <c r="T140" s="39" t="n">
        <f aca="false">MIN(T139,T142)</f>
        <v>4164202.53764728</v>
      </c>
      <c r="U140" s="39" t="n">
        <f aca="false">MIN(U139,U142)</f>
        <v>3888543.73801496</v>
      </c>
      <c r="V140" s="39" t="n">
        <f aca="false">MIN(V139,V142)</f>
        <v>6862570.20196214</v>
      </c>
      <c r="W140" s="39" t="n">
        <f aca="false">MIN(W139,W142)</f>
        <v>7887406.73023051</v>
      </c>
      <c r="X140" s="39" t="n">
        <f aca="false">MIN(X139,X142)</f>
        <v>7249469.46651717</v>
      </c>
      <c r="Y140" s="39" t="n">
        <f aca="false">MIN(Y139,Y142)</f>
        <v>6657596.00282634</v>
      </c>
      <c r="Z140" s="39" t="n">
        <f aca="false">MIN(Z139,Z142)</f>
        <v>4073574.52179758</v>
      </c>
      <c r="AA140" s="39" t="n">
        <f aca="false">MIN(AA139,AA142)</f>
        <v>3732547.89446659</v>
      </c>
      <c r="AB140" s="39" t="n">
        <f aca="false">MIN(AB139,AB142)</f>
        <v>16523193.2333572</v>
      </c>
      <c r="AC140" s="39" t="n">
        <f aca="false">MIN(AC139,AC142)</f>
        <v>15646732.8570852</v>
      </c>
      <c r="AD140" s="39" t="n">
        <f aca="false">MIN(AD139,AD142)</f>
        <v>14326065.3604897</v>
      </c>
      <c r="AE140" s="39" t="n">
        <f aca="false">MIN(AE139,AE142)</f>
        <v>13072374.8086461</v>
      </c>
      <c r="AF140" s="39" t="n">
        <f aca="false">MIN(AF139,AF142)</f>
        <v>4367443.74580403</v>
      </c>
      <c r="AG140" s="39" t="n">
        <f aca="false">MIN(AG139,AG142)</f>
        <v>275205.631024147</v>
      </c>
      <c r="AH140" s="39" t="n">
        <f aca="false">MIN(AH139,AH142)</f>
        <v>214062.264108125</v>
      </c>
      <c r="AI140" s="39" t="n">
        <f aca="false">MIN(AI139,AI142)</f>
        <v>158092.389932903</v>
      </c>
      <c r="AJ140" s="39" t="n">
        <f aca="false">MIN(AJ139,AJ142)</f>
        <v>106932.500786706</v>
      </c>
      <c r="AK140" s="39" t="n">
        <f aca="false">MIN(AK139,AK142)</f>
        <v>66141.4220464593</v>
      </c>
      <c r="AL140" s="39" t="n">
        <f aca="false">MIN(AL139,AL142)</f>
        <v>31701.5527081401</v>
      </c>
      <c r="AM140" s="39" t="n">
        <f aca="false">MIN(AM139,AM142)</f>
        <v>242.593229700156</v>
      </c>
      <c r="AN140" s="39" t="n">
        <f aca="false">MIN(AN139,AN142)</f>
        <v>0</v>
      </c>
    </row>
    <row r="141" customFormat="false" ht="15" hidden="false" customHeight="false" outlineLevel="0" collapsed="false">
      <c r="A141" s="14" t="s">
        <v>172</v>
      </c>
      <c r="E141" s="39" t="n">
        <f aca="false">E115-E126-E134-E138</f>
        <v>322760343.421729</v>
      </c>
      <c r="F141" s="39" t="n">
        <f aca="false">F115-F126-F134-F138</f>
        <v>304957060.20328</v>
      </c>
      <c r="G141" s="39" t="n">
        <f aca="false">G115-G126-G134-G138</f>
        <v>287096629.796262</v>
      </c>
      <c r="H141" s="39" t="n">
        <f aca="false">H115-H126-H134-H138</f>
        <v>269250957.796296</v>
      </c>
      <c r="I141" s="39" t="n">
        <f aca="false">I115-I126-I134-I138</f>
        <v>252188025.841688</v>
      </c>
      <c r="J141" s="39" t="n">
        <f aca="false">J115-J126-J134-J138</f>
        <v>236215285.310205</v>
      </c>
      <c r="K141" s="39" t="n">
        <f aca="false">K115-K126-K134-K138</f>
        <v>221256838.179282</v>
      </c>
      <c r="L141" s="39" t="n">
        <f aca="false">L115-L126-L134-L138</f>
        <v>207241544.793043</v>
      </c>
      <c r="M141" s="39" t="n">
        <f aca="false">M115-M126-M134-M138</f>
        <v>191855427.980295</v>
      </c>
      <c r="N141" s="39" t="n">
        <f aca="false">N115-N126-N134-N138</f>
        <v>177372252.66229</v>
      </c>
      <c r="O141" s="39" t="n">
        <f aca="false">O115-O126-O134-O138</f>
        <v>163761636.05238</v>
      </c>
      <c r="P141" s="39" t="n">
        <f aca="false">P115-P126-P134-P138</f>
        <v>150981666.34856</v>
      </c>
      <c r="Q141" s="39" t="n">
        <f aca="false">Q115-Q126-Q134-Q138</f>
        <v>139023186.693111</v>
      </c>
      <c r="R141" s="39" t="n">
        <f aca="false">R115-R126-R134-R138</f>
        <v>127852341.883172</v>
      </c>
      <c r="S141" s="39" t="n">
        <f aca="false">S115-S126-S134-S138</f>
        <v>117430953.137723</v>
      </c>
      <c r="T141" s="39" t="n">
        <f aca="false">T115-T126-T134-T138</f>
        <v>107714480.549879</v>
      </c>
      <c r="U141" s="39" t="n">
        <f aca="false">U115-U126-U134-U138</f>
        <v>98641211.8278441</v>
      </c>
      <c r="V141" s="39" t="n">
        <f aca="false">V115-V126-V134-V138</f>
        <v>82628548.0232657</v>
      </c>
      <c r="W141" s="39" t="n">
        <f aca="false">W115-W126-W134-W138</f>
        <v>64224598.9860612</v>
      </c>
      <c r="X141" s="39" t="n">
        <f aca="false">X115-X126-X134-X138</f>
        <v>47309170.2308545</v>
      </c>
      <c r="Y141" s="39" t="n">
        <f aca="false">Y115-Y126-Y134-Y138</f>
        <v>31774779.557593</v>
      </c>
      <c r="Z141" s="39" t="n">
        <f aca="false">Z115-Z126-Z134-Z138</f>
        <v>15480481.4704027</v>
      </c>
      <c r="AA141" s="39" t="n">
        <f aca="false">AA115-AA126-AA134-AA138</f>
        <v>550289.892536361</v>
      </c>
      <c r="AB141" s="39" t="n">
        <f aca="false">AB115-AB126-AB134-AB138</f>
        <v>0</v>
      </c>
      <c r="AC141" s="39" t="n">
        <f aca="false">AC115-AC126-AC134-AC138</f>
        <v>0</v>
      </c>
      <c r="AD141" s="39" t="n">
        <f aca="false">AD115-AD126-AD134-AD138</f>
        <v>0</v>
      </c>
      <c r="AE141" s="39" t="n">
        <f aca="false">AE115-AE126-AE134-AE138</f>
        <v>0</v>
      </c>
      <c r="AF141" s="39" t="n">
        <f aca="false">AF115-AF126-AF134-AF138</f>
        <v>0</v>
      </c>
      <c r="AG141" s="39" t="n">
        <f aca="false">AG115-AG126-AG134-AG138</f>
        <v>0</v>
      </c>
      <c r="AH141" s="39" t="n">
        <f aca="false">AH115-AH126-AH134-AH138</f>
        <v>0</v>
      </c>
      <c r="AI141" s="39" t="n">
        <f aca="false">AI115-AI126-AI134-AI138</f>
        <v>0</v>
      </c>
      <c r="AJ141" s="39" t="n">
        <f aca="false">AJ115-AJ126-AJ134-AJ138</f>
        <v>0</v>
      </c>
      <c r="AK141" s="39" t="n">
        <f aca="false">AK115-AK126-AK134-AK138</f>
        <v>0</v>
      </c>
      <c r="AL141" s="39" t="n">
        <f aca="false">AL115-AL126-AL134-AL138</f>
        <v>0</v>
      </c>
      <c r="AM141" s="39" t="n">
        <f aca="false">AM115-AM126-AM134-AM138</f>
        <v>0</v>
      </c>
      <c r="AN141" s="39" t="n">
        <f aca="false">AN115-AN126-AN134-AN138</f>
        <v>0</v>
      </c>
    </row>
    <row r="142" customFormat="false" ht="15" hidden="false" customHeight="false" outlineLevel="0" collapsed="false">
      <c r="A142" s="14" t="s">
        <v>173</v>
      </c>
      <c r="E142" s="39" t="n">
        <f aca="false">'Inputs &amp; Assumptions'!$C$135</f>
        <v>226949948.135664</v>
      </c>
      <c r="F142" s="39" t="n">
        <f aca="false">E143</f>
        <v>219379414.37205</v>
      </c>
      <c r="G142" s="39" t="n">
        <f aca="false">F143</f>
        <v>211749435.849857</v>
      </c>
      <c r="H142" s="39" t="n">
        <f aca="false">G143</f>
        <v>204094965.675421</v>
      </c>
      <c r="I142" s="39" t="n">
        <f aca="false">H143</f>
        <v>196446820.532578</v>
      </c>
      <c r="J142" s="39" t="n">
        <f aca="false">I143</f>
        <v>189134135.409175</v>
      </c>
      <c r="K142" s="39" t="n">
        <f aca="false">J143</f>
        <v>182288675.181397</v>
      </c>
      <c r="L142" s="39" t="n">
        <f aca="false">K143</f>
        <v>175877912.125286</v>
      </c>
      <c r="M142" s="39" t="n">
        <f aca="false">L143</f>
        <v>169871357.816899</v>
      </c>
      <c r="N142" s="39" t="n">
        <f aca="false">M143</f>
        <v>163277307.754292</v>
      </c>
      <c r="O142" s="39" t="n">
        <f aca="false">N143</f>
        <v>157070232.618004</v>
      </c>
      <c r="P142" s="39" t="n">
        <f aca="false">O143</f>
        <v>151237111.213757</v>
      </c>
      <c r="Q142" s="39" t="n">
        <f aca="false">P143</f>
        <v>145759981.340691</v>
      </c>
      <c r="R142" s="39" t="n">
        <f aca="false">Q143</f>
        <v>140634918.631214</v>
      </c>
      <c r="S142" s="39" t="n">
        <f aca="false">R143</f>
        <v>135847413.712668</v>
      </c>
      <c r="T142" s="39" t="n">
        <f aca="false">S143</f>
        <v>131381104.250333</v>
      </c>
      <c r="U142" s="39" t="n">
        <f aca="false">T143</f>
        <v>127216901.712685</v>
      </c>
      <c r="V142" s="39" t="n">
        <f aca="false">U143</f>
        <v>123328357.97467</v>
      </c>
      <c r="W142" s="39" t="n">
        <f aca="false">V143</f>
        <v>116465787.772708</v>
      </c>
      <c r="X142" s="39" t="n">
        <f aca="false">W143</f>
        <v>108578381.042478</v>
      </c>
      <c r="Y142" s="39" t="n">
        <f aca="false">X143</f>
        <v>101328911.57596</v>
      </c>
      <c r="Z142" s="39" t="n">
        <f aca="false">Y143</f>
        <v>94671315.5731341</v>
      </c>
      <c r="AA142" s="39" t="n">
        <f aca="false">Z143</f>
        <v>90597741.0513366</v>
      </c>
      <c r="AB142" s="39" t="n">
        <f aca="false">AA143</f>
        <v>86865193.15687</v>
      </c>
      <c r="AC142" s="39" t="n">
        <f aca="false">AB143</f>
        <v>70341999.9235128</v>
      </c>
      <c r="AD142" s="39" t="n">
        <f aca="false">AC143</f>
        <v>54695267.0664276</v>
      </c>
      <c r="AE142" s="39" t="n">
        <f aca="false">AD143</f>
        <v>40369201.7059379</v>
      </c>
      <c r="AF142" s="39" t="n">
        <f aca="false">AE143</f>
        <v>27296826.8972918</v>
      </c>
      <c r="AG142" s="39" t="n">
        <f aca="false">AF143</f>
        <v>22929383.1514878</v>
      </c>
      <c r="AH142" s="39" t="n">
        <f aca="false">AG143</f>
        <v>22654177.5204636</v>
      </c>
      <c r="AI142" s="39" t="n">
        <f aca="false">AH143</f>
        <v>22440115.2563555</v>
      </c>
      <c r="AJ142" s="39" t="n">
        <f aca="false">AI143</f>
        <v>22282022.8664226</v>
      </c>
      <c r="AK142" s="39" t="n">
        <f aca="false">AJ143</f>
        <v>22175090.3656359</v>
      </c>
      <c r="AL142" s="39" t="n">
        <f aca="false">AK143</f>
        <v>22108948.9435894</v>
      </c>
      <c r="AM142" s="39" t="n">
        <f aca="false">AL143</f>
        <v>22077247.3908813</v>
      </c>
      <c r="AN142" s="39" t="n">
        <f aca="false">AM143</f>
        <v>22077004.7976516</v>
      </c>
    </row>
    <row r="143" customFormat="false" ht="15" hidden="false" customHeight="false" outlineLevel="0" collapsed="false">
      <c r="A143" s="14" t="s">
        <v>174</v>
      </c>
      <c r="E143" s="39" t="n">
        <f aca="false">E142-E140</f>
        <v>219379414.37205</v>
      </c>
      <c r="F143" s="39" t="n">
        <f aca="false">F142-F140</f>
        <v>211749435.849857</v>
      </c>
      <c r="G143" s="39" t="n">
        <f aca="false">G142-G140</f>
        <v>204094965.675421</v>
      </c>
      <c r="H143" s="39" t="n">
        <f aca="false">H142-H140</f>
        <v>196446820.532578</v>
      </c>
      <c r="I143" s="39" t="n">
        <f aca="false">I142-I140</f>
        <v>189134135.409175</v>
      </c>
      <c r="J143" s="39" t="n">
        <f aca="false">J142-J140</f>
        <v>182288675.181397</v>
      </c>
      <c r="K143" s="39" t="n">
        <f aca="false">K142-K140</f>
        <v>175877912.125286</v>
      </c>
      <c r="L143" s="39" t="n">
        <f aca="false">L142-L140</f>
        <v>169871357.816899</v>
      </c>
      <c r="M143" s="39" t="n">
        <f aca="false">M142-M140</f>
        <v>163277307.754292</v>
      </c>
      <c r="N143" s="39" t="n">
        <f aca="false">N142-N140</f>
        <v>157070232.618004</v>
      </c>
      <c r="O143" s="39" t="n">
        <f aca="false">O142-O140</f>
        <v>151237111.213757</v>
      </c>
      <c r="P143" s="39" t="n">
        <f aca="false">P142-P140</f>
        <v>145759981.340691</v>
      </c>
      <c r="Q143" s="39" t="n">
        <f aca="false">Q142-Q140</f>
        <v>140634918.631214</v>
      </c>
      <c r="R143" s="39" t="n">
        <f aca="false">R142-R140</f>
        <v>135847413.712668</v>
      </c>
      <c r="S143" s="39" t="n">
        <f aca="false">S142-S140</f>
        <v>131381104.250333</v>
      </c>
      <c r="T143" s="39" t="n">
        <f aca="false">T142-T140</f>
        <v>127216901.712685</v>
      </c>
      <c r="U143" s="39" t="n">
        <f aca="false">U142-U140</f>
        <v>123328357.97467</v>
      </c>
      <c r="V143" s="39" t="n">
        <f aca="false">V142-V140</f>
        <v>116465787.772708</v>
      </c>
      <c r="W143" s="39" t="n">
        <f aca="false">W142-W140</f>
        <v>108578381.042478</v>
      </c>
      <c r="X143" s="39" t="n">
        <f aca="false">X142-X140</f>
        <v>101328911.57596</v>
      </c>
      <c r="Y143" s="39" t="n">
        <f aca="false">Y142-Y140</f>
        <v>94671315.5731341</v>
      </c>
      <c r="Z143" s="39" t="n">
        <f aca="false">Z142-Z140</f>
        <v>90597741.0513366</v>
      </c>
      <c r="AA143" s="39" t="n">
        <f aca="false">AA142-AA140</f>
        <v>86865193.15687</v>
      </c>
      <c r="AB143" s="39" t="n">
        <f aca="false">AB142-AB140</f>
        <v>70341999.9235128</v>
      </c>
      <c r="AC143" s="39" t="n">
        <f aca="false">AC142-AC140</f>
        <v>54695267.0664276</v>
      </c>
      <c r="AD143" s="39" t="n">
        <f aca="false">AD142-AD140</f>
        <v>40369201.7059379</v>
      </c>
      <c r="AE143" s="39" t="n">
        <f aca="false">AE142-AE140</f>
        <v>27296826.8972918</v>
      </c>
      <c r="AF143" s="39" t="n">
        <f aca="false">AF142-AF140</f>
        <v>22929383.1514878</v>
      </c>
      <c r="AG143" s="39" t="n">
        <f aca="false">AG142-AG140</f>
        <v>22654177.5204636</v>
      </c>
      <c r="AH143" s="39" t="n">
        <f aca="false">AH142-AH140</f>
        <v>22440115.2563555</v>
      </c>
      <c r="AI143" s="39" t="n">
        <f aca="false">AI142-AI140</f>
        <v>22282022.8664226</v>
      </c>
      <c r="AJ143" s="39" t="n">
        <f aca="false">AJ142-AJ140</f>
        <v>22175090.3656359</v>
      </c>
      <c r="AK143" s="39" t="n">
        <f aca="false">AK142-AK140</f>
        <v>22108948.9435894</v>
      </c>
      <c r="AL143" s="39" t="n">
        <f aca="false">AL142-AL140</f>
        <v>22077247.3908813</v>
      </c>
      <c r="AM143" s="39" t="n">
        <f aca="false">AM142-AM140</f>
        <v>22077004.7976516</v>
      </c>
      <c r="AN143" s="39" t="n">
        <f aca="false">AN142-AN140</f>
        <v>22077004.7976516</v>
      </c>
    </row>
    <row r="144" customFormat="false" ht="15" hidden="false" customHeight="false" outlineLevel="0" collapsed="false">
      <c r="A144" s="14" t="s">
        <v>175</v>
      </c>
      <c r="E144" s="18" t="n">
        <f aca="false">IF(E142&gt;0,E128/E142*4,0)</f>
        <v>0.11585081038895</v>
      </c>
      <c r="F144" s="18" t="n">
        <f aca="false">IF(F142&gt;0,F128/F142*4,0)</f>
        <v>0.11318456028757</v>
      </c>
      <c r="G144" s="18" t="n">
        <f aca="false">IF(G142&gt;0,G128/G142*4,0)</f>
        <v>0.110408897198162</v>
      </c>
      <c r="H144" s="18" t="n">
        <f aca="false">IF(H142&gt;0,H128/H142*4,0)</f>
        <v>0.107524293262626</v>
      </c>
      <c r="I144" s="18" t="n">
        <f aca="false">IF(I142&gt;0,I128/I142*4,0)</f>
        <v>0.104556815198795</v>
      </c>
      <c r="J144" s="18" t="n">
        <f aca="false">IF(J142&gt;0,J128/J142*4,0)</f>
        <v>0.10157801230599</v>
      </c>
      <c r="K144" s="18" t="n">
        <f aca="false">IF(K142&gt;0,K128/K142*4,0)</f>
        <v>0.0986378509804027</v>
      </c>
      <c r="L144" s="18" t="n">
        <f aca="false">IF(L142&gt;0,L128/L142*4,0)</f>
        <v>0.0957493747778764</v>
      </c>
      <c r="M144" s="18" t="n">
        <f aca="false">IF(M142&gt;0,M128/M142*4,0)</f>
        <v>0.0929038576117919</v>
      </c>
      <c r="N144" s="18" t="n">
        <f aca="false">IF(N142&gt;0,N128/N142*4,0)</f>
        <v>0.0912269928593857</v>
      </c>
      <c r="O144" s="18" t="n">
        <f aca="false">IF(O142&gt;0,O128/O142*4,0)</f>
        <v>0.0896172975695956</v>
      </c>
      <c r="P144" s="18" t="n">
        <f aca="false">IF(P142&gt;0,P128/P142*4,0)</f>
        <v>0.0880662485558388</v>
      </c>
      <c r="Q144" s="18" t="n">
        <f aca="false">IF(Q142&gt;0,Q128/Q142*4,0)</f>
        <v>0.086547502647619</v>
      </c>
      <c r="R144" s="18" t="n">
        <f aca="false">IF(R142&gt;0,R128/R142*4,0)</f>
        <v>0.0850280206427664</v>
      </c>
      <c r="S144" s="18" t="n">
        <f aca="false">IF(S142&gt;0,S128/S142*4,0)</f>
        <v>0.0835062466628449</v>
      </c>
      <c r="T144" s="18" t="n">
        <f aca="false">IF(T142&gt;0,T128/T142*4,0)</f>
        <v>0.0819799150870449</v>
      </c>
      <c r="U144" s="18" t="n">
        <f aca="false">IF(U142&gt;0,U128/U142*4,0)</f>
        <v>0.0804327544596208</v>
      </c>
      <c r="V144" s="18" t="n">
        <f aca="false">IF(V142&gt;0,V128/V142*4,0)</f>
        <v>0.0788697058718517</v>
      </c>
      <c r="W144" s="18" t="n">
        <f aca="false">IF(W142&gt;0,W128/W142*4,0)</f>
        <v>0.0754965162151467</v>
      </c>
      <c r="X144" s="18" t="n">
        <f aca="false">IF(X142&gt;0,X128/X142*4,0)</f>
        <v>0.0710089030059257</v>
      </c>
      <c r="Y144" s="18" t="n">
        <f aca="false">IF(Y142&gt;0,Y128/Y142*4,0)</f>
        <v>0.0662747870339754</v>
      </c>
      <c r="Z144" s="18" t="n">
        <f aca="false">IF(Z142&gt;0,Z128/Z142*4,0)</f>
        <v>0.061308876559983</v>
      </c>
      <c r="AA144" s="18" t="n">
        <f aca="false">IF(AA142&gt;0,AA128/AA142*4,0)</f>
        <v>0.0558352586288562</v>
      </c>
      <c r="AB144" s="18" t="n">
        <f aca="false">IF(AB142&gt;0,AB128/AB142*4,0)</f>
        <v>0.0503935935360316</v>
      </c>
      <c r="AC144" s="18" t="n">
        <f aca="false">IF(AC142&gt;0,AC128/AC142*4,0)</f>
        <v>0.0453306740742288</v>
      </c>
      <c r="AD144" s="18" t="n">
        <f aca="false">IF(AD142&gt;0,AD128/AD142*4,0)</f>
        <v>0.0380146682219062</v>
      </c>
      <c r="AE144" s="18" t="n">
        <f aca="false">IF(AE142&gt;0,AE128/AE142*4,0)</f>
        <v>0.026401811459142</v>
      </c>
      <c r="AF144" s="18" t="n">
        <f aca="false">IF(AF142&gt;0,AF128/AF142*4,0)</f>
        <v>0.00519323953352146</v>
      </c>
      <c r="AG144" s="18" t="n">
        <f aca="false">IF(AG142&gt;0,AG128/AG142*4,0)</f>
        <v>0</v>
      </c>
      <c r="AH144" s="18" t="n">
        <f aca="false">IF(AH142&gt;0,AH128/AH142*4,0)</f>
        <v>0</v>
      </c>
      <c r="AI144" s="18" t="n">
        <f aca="false">IF(AI142&gt;0,AI128/AI142*4,0)</f>
        <v>0</v>
      </c>
      <c r="AJ144" s="18" t="n">
        <f aca="false">IF(AJ142&gt;0,AJ128/AJ142*4,0)</f>
        <v>0</v>
      </c>
      <c r="AK144" s="18" t="n">
        <f aca="false">IF(AK142&gt;0,AK128/AK142*4,0)</f>
        <v>0</v>
      </c>
      <c r="AL144" s="18" t="n">
        <f aca="false">IF(AL142&gt;0,AL128/AL142*4,0)</f>
        <v>0</v>
      </c>
      <c r="AM144" s="18" t="n">
        <f aca="false">IF(AM142&gt;0,AM128/AM142*4,0)</f>
        <v>0</v>
      </c>
      <c r="AN144" s="18" t="n">
        <f aca="false">IF(AN142&gt;0,AN128/AN142*4,0)</f>
        <v>0</v>
      </c>
    </row>
    <row r="145" customFormat="false" ht="15" hidden="false" customHeight="false" outlineLevel="0" collapsed="false">
      <c r="A145" s="14" t="s">
        <v>176</v>
      </c>
      <c r="E145" s="39" t="n">
        <f aca="false">E126+E134+E138</f>
        <v>17664578.7817665</v>
      </c>
      <c r="F145" s="39" t="n">
        <f aca="false">F126+F134+F138</f>
        <v>17803283.2184492</v>
      </c>
      <c r="G145" s="39" t="n">
        <f aca="false">G126+G134+G138</f>
        <v>17860430.4070183</v>
      </c>
      <c r="H145" s="39" t="n">
        <f aca="false">H126+H134+H138</f>
        <v>17845671.9999663</v>
      </c>
      <c r="I145" s="39" t="n">
        <f aca="false">I126+I134+I138</f>
        <v>17062931.9546074</v>
      </c>
      <c r="J145" s="39" t="n">
        <f aca="false">J126+J134+J138</f>
        <v>15972740.531483</v>
      </c>
      <c r="K145" s="39" t="n">
        <f aca="false">K126+K134+K138</f>
        <v>14958447.1309236</v>
      </c>
      <c r="L145" s="39" t="n">
        <f aca="false">L126+L134+L138</f>
        <v>14015293.3862384</v>
      </c>
      <c r="M145" s="39" t="n">
        <f aca="false">M126+M134+M138</f>
        <v>15386116.8127486</v>
      </c>
      <c r="N145" s="39" t="n">
        <f aca="false">N126+N134+N138</f>
        <v>14483175.318005</v>
      </c>
      <c r="O145" s="39" t="n">
        <f aca="false">O126+O134+O138</f>
        <v>13610616.6099097</v>
      </c>
      <c r="P145" s="39" t="n">
        <f aca="false">P126+P134+P138</f>
        <v>12779969.7038198</v>
      </c>
      <c r="Q145" s="39" t="n">
        <f aca="false">Q126+Q134+Q138</f>
        <v>11958479.6554486</v>
      </c>
      <c r="R145" s="39" t="n">
        <f aca="false">R126+R134+R138</f>
        <v>11170844.8099397</v>
      </c>
      <c r="S145" s="39" t="n">
        <f aca="false">S126+S134+S138</f>
        <v>10421388.7454492</v>
      </c>
      <c r="T145" s="39" t="n">
        <f aca="false">T126+T134+T138</f>
        <v>9716472.58784364</v>
      </c>
      <c r="U145" s="39" t="n">
        <f aca="false">U126+U134+U138</f>
        <v>9073268.72203491</v>
      </c>
      <c r="V145" s="39" t="n">
        <f aca="false">V126+V134+V138</f>
        <v>16012663.8045783</v>
      </c>
      <c r="W145" s="39" t="n">
        <f aca="false">W126+W134+W138</f>
        <v>18403949.0372045</v>
      </c>
      <c r="X145" s="39" t="n">
        <f aca="false">X126+X134+X138</f>
        <v>16915428.7552067</v>
      </c>
      <c r="Y145" s="39" t="n">
        <f aca="false">Y126+Y134+Y138</f>
        <v>15534390.6732614</v>
      </c>
      <c r="Z145" s="39" t="n">
        <f aca="false">Z126+Z134+Z138</f>
        <v>16294298.0871903</v>
      </c>
      <c r="AA145" s="39" t="n">
        <f aca="false">AA126+AA134+AA138</f>
        <v>14930191.5778664</v>
      </c>
      <c r="AB145" s="39" t="n">
        <f aca="false">AB126+AB134+AB138</f>
        <v>550289.892536361</v>
      </c>
      <c r="AC145" s="39" t="n">
        <f aca="false">AC126+AC134+AC138</f>
        <v>0</v>
      </c>
      <c r="AD145" s="39" t="n">
        <f aca="false">AD126+AD134+AD138</f>
        <v>0</v>
      </c>
      <c r="AE145" s="39" t="n">
        <f aca="false">AE126+AE134+AE138</f>
        <v>0</v>
      </c>
      <c r="AF145" s="39" t="n">
        <f aca="false">AF126+AF134+AF138</f>
        <v>0</v>
      </c>
      <c r="AG145" s="39" t="n">
        <f aca="false">AG126+AG134+AG138</f>
        <v>0</v>
      </c>
      <c r="AH145" s="39" t="n">
        <f aca="false">AH126+AH134+AH138</f>
        <v>0</v>
      </c>
      <c r="AI145" s="39" t="n">
        <f aca="false">AI126+AI134+AI138</f>
        <v>0</v>
      </c>
      <c r="AJ145" s="39" t="n">
        <f aca="false">AJ126+AJ134+AJ138</f>
        <v>0</v>
      </c>
      <c r="AK145" s="39" t="n">
        <f aca="false">AK126+AK134+AK138</f>
        <v>0</v>
      </c>
      <c r="AL145" s="39" t="n">
        <f aca="false">AL126+AL134+AL138</f>
        <v>0</v>
      </c>
      <c r="AM145" s="39" t="n">
        <f aca="false">AM126+AM134+AM138</f>
        <v>0</v>
      </c>
      <c r="AN145" s="39" t="n">
        <f aca="false">AN126+AN134+AN138</f>
        <v>0</v>
      </c>
    </row>
    <row r="146" customFormat="false" ht="15" hidden="false" customHeight="false" outlineLevel="0" collapsed="false">
      <c r="A146" s="14" t="s">
        <v>177</v>
      </c>
      <c r="D146" s="39" t="n">
        <f aca="false">-'Inputs &amp; Assumptions'!$C$134</f>
        <v>-340424922.203496</v>
      </c>
      <c r="E146" s="39" t="n">
        <f aca="false">E121+E132+E145</f>
        <v>21344572.1907863</v>
      </c>
      <c r="F146" s="39" t="n">
        <f aca="false">F121+F132+F145</f>
        <v>21292322.5308381</v>
      </c>
      <c r="G146" s="39" t="n">
        <f aca="false">G121+G132+G145</f>
        <v>21157016.2278157</v>
      </c>
      <c r="H146" s="39" t="n">
        <f aca="false">H121+H132+H145</f>
        <v>20949186.5680639</v>
      </c>
      <c r="I146" s="39" t="n">
        <f aca="false">I121+I132+I145</f>
        <v>19973534.8083853</v>
      </c>
      <c r="J146" s="39" t="n">
        <f aca="false">J121+J132+J145</f>
        <v>18698893.0908316</v>
      </c>
      <c r="K146" s="39" t="n">
        <f aca="false">K121+K132+K145</f>
        <v>17511934.365127</v>
      </c>
      <c r="L146" s="39" t="n">
        <f aca="false">L121+L132+L145</f>
        <v>16407079.8069564</v>
      </c>
      <c r="M146" s="39" t="n">
        <f aca="false">M121+M132+M145</f>
        <v>17626397.9119614</v>
      </c>
      <c r="N146" s="39" t="n">
        <f aca="false">N121+N132+N145</f>
        <v>16557132.494472</v>
      </c>
      <c r="O146" s="39" t="n">
        <f aca="false">O121+O132+O145</f>
        <v>15528010.6611891</v>
      </c>
      <c r="P146" s="39" t="n">
        <f aca="false">P121+P132+P145</f>
        <v>14550232.989546</v>
      </c>
      <c r="Q146" s="39" t="n">
        <f aca="false">Q121+Q132+Q145</f>
        <v>13590591.4686765</v>
      </c>
      <c r="R146" s="39" t="n">
        <f aca="false">R121+R132+R145</f>
        <v>12673685.4580922</v>
      </c>
      <c r="S146" s="39" t="n">
        <f aca="false">S121+S132+S145</f>
        <v>11803472.5612063</v>
      </c>
      <c r="T146" s="39" t="n">
        <f aca="false">T121+T132+T145</f>
        <v>10985901.1912624</v>
      </c>
      <c r="U146" s="39" t="n">
        <f aca="false">U121+U132+U145</f>
        <v>10237662.2567791</v>
      </c>
      <c r="V146" s="39" t="n">
        <f aca="false">V121+V132+V145</f>
        <v>17078975.3044373</v>
      </c>
      <c r="W146" s="39" t="n">
        <f aca="false">W121+W132+W145</f>
        <v>19297163.641336</v>
      </c>
      <c r="X146" s="39" t="n">
        <f aca="false">X121+X132+X145</f>
        <v>17609696.6702461</v>
      </c>
      <c r="Y146" s="39" t="n">
        <f aca="false">Y121+Y132+Y145</f>
        <v>16045802.803457</v>
      </c>
      <c r="Z146" s="39" t="n">
        <f aca="false">Z121+Z132+Z145</f>
        <v>16637783.4542079</v>
      </c>
      <c r="AA146" s="39" t="n">
        <f aca="false">AA121+AA132+AA145</f>
        <v>15097535.5825614</v>
      </c>
      <c r="AB146" s="39" t="n">
        <f aca="false">AB121+AB132+AB145</f>
        <v>556238.526274679</v>
      </c>
      <c r="AC146" s="39" t="n">
        <f aca="false">AC121+AC132+AC145</f>
        <v>0</v>
      </c>
      <c r="AD146" s="39" t="n">
        <f aca="false">AD121+AD132+AD145</f>
        <v>0</v>
      </c>
      <c r="AE146" s="39" t="n">
        <f aca="false">AE121+AE132+AE145</f>
        <v>0</v>
      </c>
      <c r="AF146" s="39" t="n">
        <f aca="false">AF121+AF132+AF145</f>
        <v>0</v>
      </c>
      <c r="AG146" s="39" t="n">
        <f aca="false">AG121+AG132+AG145</f>
        <v>0</v>
      </c>
      <c r="AH146" s="39" t="n">
        <f aca="false">AH121+AH132+AH145</f>
        <v>0</v>
      </c>
      <c r="AI146" s="39" t="n">
        <f aca="false">AI121+AI132+AI145</f>
        <v>0</v>
      </c>
      <c r="AJ146" s="39" t="n">
        <f aca="false">AJ121+AJ132+AJ145</f>
        <v>0</v>
      </c>
      <c r="AK146" s="39" t="n">
        <f aca="false">AK121+AK132+AK145</f>
        <v>0</v>
      </c>
      <c r="AL146" s="39" t="n">
        <f aca="false">AL121+AL132+AL145</f>
        <v>0</v>
      </c>
      <c r="AM146" s="39" t="n">
        <f aca="false">AM121+AM132+AM145</f>
        <v>0</v>
      </c>
      <c r="AN146" s="39" t="n">
        <f aca="false">AN121+AN132+AN145</f>
        <v>0</v>
      </c>
    </row>
    <row r="147" customFormat="false" ht="15" hidden="false" customHeight="false" outlineLevel="0" collapsed="false">
      <c r="A147" s="14" t="s">
        <v>178</v>
      </c>
      <c r="D147" s="39" t="n">
        <f aca="false">-'Inputs &amp; Assumptions'!$C$135</f>
        <v>-226949948.135664</v>
      </c>
      <c r="E147" s="39" t="n">
        <f aca="false">E128+E140</f>
        <v>14143617.6159259</v>
      </c>
      <c r="F147" s="39" t="n">
        <f aca="false">F128+F140</f>
        <v>13837569.1601538</v>
      </c>
      <c r="G147" s="39" t="n">
        <f aca="false">G128+G140</f>
        <v>13499225.5980653</v>
      </c>
      <c r="H147" s="39" t="n">
        <f aca="false">H128+H140</f>
        <v>13134436.8785201</v>
      </c>
      <c r="I147" s="39" t="n">
        <f aca="false">I128+I140</f>
        <v>12447648.601107</v>
      </c>
      <c r="J147" s="39" t="n">
        <f aca="false">J128+J140</f>
        <v>11648427.6112974</v>
      </c>
      <c r="K147" s="39" t="n">
        <f aca="false">K128+K140</f>
        <v>10905903.8505995</v>
      </c>
      <c r="L147" s="39" t="n">
        <f aca="false">L128+L140</f>
        <v>10216604.3391965</v>
      </c>
      <c r="M147" s="39" t="n">
        <f aca="false">M128+M140</f>
        <v>10539476.1723423</v>
      </c>
      <c r="N147" s="39" t="n">
        <f aca="false">N128+N140</f>
        <v>9930899.58343798</v>
      </c>
      <c r="O147" s="39" t="n">
        <f aca="false">O128+O140</f>
        <v>9352173.84821034</v>
      </c>
      <c r="P147" s="39" t="n">
        <f aca="false">P128+P140</f>
        <v>8806851.12982006</v>
      </c>
      <c r="Q147" s="39" t="n">
        <f aca="false">Q128+Q140</f>
        <v>8278853.30222807</v>
      </c>
      <c r="R147" s="39" t="n">
        <f aca="false">R128+R140</f>
        <v>7776982.10966273</v>
      </c>
      <c r="S147" s="39" t="n">
        <f aca="false">S128+S140</f>
        <v>7302336.37183527</v>
      </c>
      <c r="T147" s="39" t="n">
        <f aca="false">T128+T140</f>
        <v>6856855.48026839</v>
      </c>
      <c r="U147" s="39" t="n">
        <f aca="false">U128+U140</f>
        <v>6446645.1926575</v>
      </c>
      <c r="V147" s="39" t="n">
        <f aca="false">V128+V140</f>
        <v>9294288.03174231</v>
      </c>
      <c r="W147" s="39" t="n">
        <f aca="false">W128+W140</f>
        <v>10085597.0390035</v>
      </c>
      <c r="X147" s="39" t="n">
        <f aca="false">X128+X140</f>
        <v>9176977.3985136</v>
      </c>
      <c r="Y147" s="39" t="n">
        <f aca="false">Y128+Y140</f>
        <v>8336484.01159666</v>
      </c>
      <c r="Z147" s="39" t="n">
        <f aca="false">Z128+Z140</f>
        <v>5524622.5218587</v>
      </c>
      <c r="AA147" s="39" t="n">
        <f aca="false">AA128+AA140</f>
        <v>4997184.97016447</v>
      </c>
      <c r="AB147" s="39" t="n">
        <f aca="false">AB128+AB140</f>
        <v>17617555.5424512</v>
      </c>
      <c r="AC147" s="39" t="n">
        <f aca="false">AC128+AC140</f>
        <v>16443895.4251507</v>
      </c>
      <c r="AD147" s="39" t="n">
        <f aca="false">AD128+AD140</f>
        <v>14845870.9681994</v>
      </c>
      <c r="AE147" s="39" t="n">
        <f aca="false">AE128+AE140</f>
        <v>13338829.8216951</v>
      </c>
      <c r="AF147" s="39" t="n">
        <f aca="false">AF128+AF140</f>
        <v>4402883.48594971</v>
      </c>
      <c r="AG147" s="39" t="n">
        <f aca="false">AG128+AG140</f>
        <v>275205.631024147</v>
      </c>
      <c r="AH147" s="39" t="n">
        <f aca="false">AH128+AH140</f>
        <v>214062.264108125</v>
      </c>
      <c r="AI147" s="39" t="n">
        <f aca="false">AI128+AI140</f>
        <v>158092.389932903</v>
      </c>
      <c r="AJ147" s="39" t="n">
        <f aca="false">AJ128+AJ140</f>
        <v>106932.500786706</v>
      </c>
      <c r="AK147" s="39" t="n">
        <f aca="false">AK128+AK140</f>
        <v>66141.4220464593</v>
      </c>
      <c r="AL147" s="39" t="n">
        <f aca="false">AL128+AL140</f>
        <v>31701.5527081401</v>
      </c>
      <c r="AM147" s="39" t="n">
        <f aca="false">AM128+AM140</f>
        <v>242.593229700156</v>
      </c>
      <c r="AN147" s="39" t="n">
        <f aca="false">AN128+AN140</f>
        <v>0</v>
      </c>
    </row>
    <row r="148" customFormat="false" ht="15" hidden="false" customHeight="false" outlineLevel="0" collapsed="false">
      <c r="A148" s="14" t="s">
        <v>179</v>
      </c>
      <c r="E148" s="18" t="n">
        <f aca="false">IF('Scenario Analysis'!E109&gt;0,E141/'Scenario Analysis'!E109,0)</f>
        <v>0.60128488059812</v>
      </c>
      <c r="F148" s="18" t="n">
        <f aca="false">IF('Scenario Analysis'!F109&gt;0,F141/'Scenario Analysis'!F109,0)</f>
        <v>0.602448696720308</v>
      </c>
      <c r="G148" s="18" t="n">
        <f aca="false">IF('Scenario Analysis'!G109&gt;0,G141/'Scenario Analysis'!G109,0)</f>
        <v>0.603413956816919</v>
      </c>
      <c r="H148" s="18" t="n">
        <f aca="false">IF('Scenario Analysis'!H109&gt;0,H141/'Scenario Analysis'!H109,0)</f>
        <v>0.604126741036612</v>
      </c>
      <c r="I148" s="18" t="n">
        <f aca="false">IF('Scenario Analysis'!I109&gt;0,I141/'Scenario Analysis'!I109,0)</f>
        <v>0.604650340675249</v>
      </c>
      <c r="J148" s="18" t="n">
        <f aca="false">IF('Scenario Analysis'!J109&gt;0,J141/'Scenario Analysis'!J109,0)</f>
        <v>0.605009311806415</v>
      </c>
      <c r="K148" s="18" t="n">
        <f aca="false">IF('Scenario Analysis'!K109&gt;0,K141/'Scenario Analysis'!K109,0)</f>
        <v>0.605123041300763</v>
      </c>
      <c r="L148" s="18" t="n">
        <f aca="false">IF('Scenario Analysis'!L109&gt;0,L141/'Scenario Analysis'!L109,0)</f>
        <v>0.604934183575439</v>
      </c>
      <c r="M148" s="18" t="n">
        <f aca="false">IF('Scenario Analysis'!M109&gt;0,M141/'Scenario Analysis'!M109,0)</f>
        <v>0.597469598837228</v>
      </c>
      <c r="N148" s="18" t="n">
        <f aca="false">IF('Scenario Analysis'!N109&gt;0,N141/'Scenario Analysis'!N109,0)</f>
        <v>0.589087548874689</v>
      </c>
      <c r="O148" s="18" t="n">
        <f aca="false">IF('Scenario Analysis'!O109&gt;0,O141/'Scenario Analysis'!O109,0)</f>
        <v>0.579785838107794</v>
      </c>
      <c r="P148" s="18" t="n">
        <f aca="false">IF('Scenario Analysis'!P109&gt;0,P141/'Scenario Analysis'!P109,0)</f>
        <v>0.569547131308072</v>
      </c>
      <c r="Q148" s="18" t="n">
        <f aca="false">IF('Scenario Analysis'!Q109&gt;0,Q141/'Scenario Analysis'!Q109,0)</f>
        <v>0.558585587826773</v>
      </c>
      <c r="R148" s="18" t="n">
        <f aca="false">IF('Scenario Analysis'!R109&gt;0,R141/'Scenario Analysis'!R109,0)</f>
        <v>0.546995725242546</v>
      </c>
      <c r="S148" s="18" t="n">
        <f aca="false">IF('Scenario Analysis'!S109&gt;0,S141/'Scenario Analysis'!S109,0)</f>
        <v>0.534781867871539</v>
      </c>
      <c r="T148" s="18" t="n">
        <f aca="false">IF('Scenario Analysis'!T109&gt;0,T141/'Scenario Analysis'!T109,0)</f>
        <v>0.521933915232904</v>
      </c>
      <c r="U148" s="18" t="n">
        <f aca="false">IF('Scenario Analysis'!U109&gt;0,U141/'Scenario Analysis'!U109,0)</f>
        <v>0.508425255457898</v>
      </c>
      <c r="V148" s="18" t="n">
        <f aca="false">IF('Scenario Analysis'!V109&gt;0,V141/'Scenario Analysis'!V109,0)</f>
        <v>0.481323882960386</v>
      </c>
      <c r="W148" s="18" t="n">
        <f aca="false">IF('Scenario Analysis'!W109&gt;0,W141/'Scenario Analysis'!W109,0)</f>
        <v>0.44026846026148</v>
      </c>
      <c r="X148" s="18" t="n">
        <f aca="false">IF('Scenario Analysis'!X109&gt;0,X141/'Scenario Analysis'!X109,0)</f>
        <v>0.387169493592023</v>
      </c>
      <c r="Y148" s="18" t="n">
        <f aca="false">IF('Scenario Analysis'!Y109&gt;0,Y141/'Scenario Analysis'!Y109,0)</f>
        <v>0.316243401218541</v>
      </c>
      <c r="Z148" s="18" t="n">
        <f aca="false">IF('Scenario Analysis'!Z109&gt;0,Z141/'Scenario Analysis'!Z109,0)</f>
        <v>0.192109277418125</v>
      </c>
      <c r="AA148" s="18" t="n">
        <f aca="false">IF('Scenario Analysis'!AA109&gt;0,AA141/'Scenario Analysis'!AA109,0)</f>
        <v>0.00882126105284846</v>
      </c>
      <c r="AB148" s="18" t="n">
        <f aca="false">IF('Scenario Analysis'!AB109&gt;0,AB141/'Scenario Analysis'!AB109,0)</f>
        <v>0</v>
      </c>
      <c r="AC148" s="18" t="n">
        <f aca="false">IF('Scenario Analysis'!AC109&gt;0,AC141/'Scenario Analysis'!AC109,0)</f>
        <v>0</v>
      </c>
      <c r="AD148" s="18" t="n">
        <f aca="false">IF('Scenario Analysis'!AD109&gt;0,AD141/'Scenario Analysis'!AD109,0)</f>
        <v>0</v>
      </c>
      <c r="AE148" s="18" t="n">
        <f aca="false">IF('Scenario Analysis'!AE109&gt;0,AE141/'Scenario Analysis'!AE109,0)</f>
        <v>0</v>
      </c>
      <c r="AF148" s="18" t="n">
        <f aca="false">IF('Scenario Analysis'!AF109&gt;0,AF141/'Scenario Analysis'!AF109,0)</f>
        <v>0</v>
      </c>
      <c r="AG148" s="18" t="n">
        <f aca="false">IF('Scenario Analysis'!AG109&gt;0,AG141/'Scenario Analysis'!AG109,0)</f>
        <v>0</v>
      </c>
      <c r="AH148" s="18" t="n">
        <f aca="false">IF('Scenario Analysis'!AH109&gt;0,AH141/'Scenario Analysis'!AH109,0)</f>
        <v>0</v>
      </c>
      <c r="AI148" s="18" t="n">
        <f aca="false">IF('Scenario Analysis'!AI109&gt;0,AI141/'Scenario Analysis'!AI109,0)</f>
        <v>0</v>
      </c>
      <c r="AJ148" s="18" t="n">
        <f aca="false">IF('Scenario Analysis'!AJ109&gt;0,AJ141/'Scenario Analysis'!AJ109,0)</f>
        <v>0</v>
      </c>
      <c r="AK148" s="18" t="n">
        <f aca="false">IF('Scenario Analysis'!AK109&gt;0,AK141/'Scenario Analysis'!AK109,0)</f>
        <v>0</v>
      </c>
      <c r="AL148" s="18" t="n">
        <f aca="false">IF('Scenario Analysis'!AL109&gt;0,AL141/'Scenario Analysis'!AL109,0)</f>
        <v>0</v>
      </c>
      <c r="AM148" s="18" t="n">
        <f aca="false">IF('Scenario Analysis'!AM109&gt;0,AM141/'Scenario Analysis'!AM109,0)</f>
        <v>0</v>
      </c>
      <c r="AN148" s="18" t="n">
        <f aca="false">IF('Scenario Analysis'!AN109&gt;0,AN141/'Scenario Analysis'!AN109,0)</f>
        <v>0</v>
      </c>
    </row>
    <row r="150" customFormat="false" ht="15" hidden="false" customHeight="false" outlineLevel="0" collapsed="false">
      <c r="A150" s="12" t="s">
        <v>214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customFormat="false" ht="15" hidden="false" customHeight="false" outlineLevel="0" collapsed="false">
      <c r="A151" s="14" t="s">
        <v>181</v>
      </c>
      <c r="C151" s="41" t="n">
        <f aca="false">IFERROR(SUMPRODUCT(E145:AN145,'Inputs &amp; Assumptions'!E$48:AN$48)/SUM(E145:AN145),0)</f>
        <v>2.90665604564292</v>
      </c>
    </row>
    <row r="152" customFormat="false" ht="15" hidden="false" customHeight="false" outlineLevel="0" collapsed="false">
      <c r="A152" s="14" t="s">
        <v>182</v>
      </c>
      <c r="C152" s="41" t="n">
        <f aca="false">IFERROR(SUMPRODUCT(E140:AN140,'Inputs &amp; Assumptions'!E$48:AN$48)/SUM(E140:AN140),0)</f>
        <v>3.93747508220945</v>
      </c>
    </row>
    <row r="153" customFormat="false" ht="15" hidden="false" customHeight="false" outlineLevel="0" collapsed="false">
      <c r="A153" s="14" t="s">
        <v>183</v>
      </c>
      <c r="C153" s="41" t="n">
        <f aca="false">IFERROR(SUMPRODUCT('Scenario Analysis'!E105:AN105,'Inputs &amp; Assumptions'!E$48:AN$48)/SUM('Scenario Analysis'!E105:AN105),0)</f>
        <v>3.29630237067737</v>
      </c>
    </row>
    <row r="154" customFormat="false" ht="15" hidden="false" customHeight="false" outlineLevel="0" collapsed="false">
      <c r="A154" s="14" t="s">
        <v>184</v>
      </c>
      <c r="C154" s="44" t="n">
        <f aca="false">IFERROR((1+IRR(D146:AN146))^4-1,"n/a")</f>
        <v>0.0439462031131122</v>
      </c>
    </row>
    <row r="155" customFormat="false" ht="15" hidden="false" customHeight="false" outlineLevel="0" collapsed="false">
      <c r="A155" s="14" t="s">
        <v>185</v>
      </c>
      <c r="C155" s="44" t="n">
        <f aca="false">IFERROR((1+IRR(D147:AN147))^4-1,"n/a")</f>
        <v>0.0765693624107737</v>
      </c>
    </row>
    <row r="156" customFormat="false" ht="15" hidden="false" customHeight="false" outlineLevel="0" collapsed="false">
      <c r="A156" s="14" t="s">
        <v>186</v>
      </c>
      <c r="C156" s="45" t="n">
        <f aca="false">SUM(E147:AN147)/'Inputs &amp; Assumptions'!$C$135</f>
        <v>1.27799577306848</v>
      </c>
    </row>
    <row r="157" customFormat="false" ht="15" hidden="false" customHeight="false" outlineLevel="0" collapsed="false">
      <c r="A157" s="14" t="s">
        <v>187</v>
      </c>
      <c r="C157" s="34" t="n">
        <f aca="false">SUM(E128:AN128)</f>
        <v>85168131.0774776</v>
      </c>
    </row>
    <row r="158" customFormat="false" ht="15" hidden="false" customHeight="false" outlineLevel="0" collapsed="false">
      <c r="A158" s="14" t="s">
        <v>188</v>
      </c>
      <c r="C158" s="34" t="n">
        <f aca="false">AN143</f>
        <v>22077004.7976516</v>
      </c>
    </row>
    <row r="159" customFormat="false" ht="15" hidden="false" customHeight="false" outlineLevel="0" collapsed="false">
      <c r="A159" s="14" t="s">
        <v>189</v>
      </c>
      <c r="C159" s="34" t="n">
        <f aca="false">SUMPRODUCT(--(E115:AN115&gt;1))</f>
        <v>24</v>
      </c>
    </row>
    <row r="160" customFormat="false" ht="15" hidden="false" customHeight="false" outlineLevel="0" collapsed="false">
      <c r="A160" s="14" t="s">
        <v>190</v>
      </c>
      <c r="C160" s="34" t="n">
        <f aca="false">SUM('Scenario Analysis'!E103:AN103)</f>
        <v>54513619.3757777</v>
      </c>
    </row>
    <row r="161" customFormat="false" ht="15" hidden="false" customHeight="false" outlineLevel="0" collapsed="false">
      <c r="A161" s="14" t="s">
        <v>191</v>
      </c>
      <c r="C161" s="34" t="n">
        <f aca="false">SUM('Scenario Analysis'!E104:AN104)</f>
        <v>32708171.6254666</v>
      </c>
    </row>
    <row r="162" customFormat="false" ht="15" hidden="false" customHeight="false" outlineLevel="0" collapsed="false">
      <c r="A162" s="14" t="s">
        <v>192</v>
      </c>
      <c r="C162" s="34" t="n">
        <f aca="false">SUM('Scenario Analysis'!E103:AN103)-SUM('Scenario Analysis'!E104:AN104)</f>
        <v>21805447.7503111</v>
      </c>
    </row>
    <row r="163" customFormat="false" ht="15" hidden="false" customHeight="false" outlineLevel="0" collapsed="false">
      <c r="A163" s="14" t="s">
        <v>193</v>
      </c>
      <c r="C163" s="44" t="n">
        <f aca="false">(SUM('Scenario Analysis'!E103:AN103)-SUM('Scenario Analysis'!E104:AN104))/'Inputs &amp; Assumptions'!$C$7</f>
        <v>0.0363424129171851</v>
      </c>
    </row>
    <row r="164" customFormat="false" ht="15" hidden="false" customHeight="false" outlineLevel="0" collapsed="false">
      <c r="A164" s="14" t="s">
        <v>194</v>
      </c>
      <c r="C164" s="46" t="n">
        <f aca="false">MAX(E148:AN148)</f>
        <v>0.605123041300763</v>
      </c>
    </row>
    <row r="167" customFormat="false" ht="15" hidden="false" customHeight="false" outlineLevel="0" collapsed="false">
      <c r="A167" s="3" t="s">
        <v>215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customFormat="false" ht="15" hidden="false" customHeight="false" outlineLevel="0" collapsed="false">
      <c r="A168" s="12" t="s">
        <v>216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customFormat="false" ht="15" hidden="false" customHeight="false" outlineLevel="0" collapsed="false">
      <c r="A169" s="2" t="s">
        <v>124</v>
      </c>
      <c r="B169" s="37" t="s">
        <v>125</v>
      </c>
      <c r="C169" s="37" t="s">
        <v>126</v>
      </c>
      <c r="D169" s="37" t="s">
        <v>127</v>
      </c>
      <c r="E169" s="37" t="n">
        <v>1</v>
      </c>
      <c r="F169" s="37" t="n">
        <v>2</v>
      </c>
      <c r="G169" s="37" t="n">
        <v>3</v>
      </c>
      <c r="H169" s="37" t="n">
        <v>4</v>
      </c>
      <c r="I169" s="37" t="n">
        <v>5</v>
      </c>
      <c r="J169" s="37" t="n">
        <v>6</v>
      </c>
      <c r="K169" s="37" t="n">
        <v>7</v>
      </c>
      <c r="L169" s="37" t="n">
        <v>8</v>
      </c>
      <c r="M169" s="37" t="n">
        <v>9</v>
      </c>
      <c r="N169" s="37" t="n">
        <v>10</v>
      </c>
      <c r="O169" s="37" t="n">
        <v>11</v>
      </c>
      <c r="P169" s="37" t="n">
        <v>12</v>
      </c>
      <c r="Q169" s="37" t="n">
        <v>13</v>
      </c>
      <c r="R169" s="37" t="n">
        <v>14</v>
      </c>
      <c r="S169" s="37" t="n">
        <v>15</v>
      </c>
      <c r="T169" s="37" t="n">
        <v>16</v>
      </c>
      <c r="U169" s="37" t="n">
        <v>17</v>
      </c>
      <c r="V169" s="37" t="n">
        <v>18</v>
      </c>
      <c r="W169" s="37" t="n">
        <v>19</v>
      </c>
      <c r="X169" s="37" t="n">
        <v>20</v>
      </c>
      <c r="Y169" s="37" t="n">
        <v>21</v>
      </c>
      <c r="Z169" s="37" t="n">
        <v>22</v>
      </c>
      <c r="AA169" s="37" t="n">
        <v>23</v>
      </c>
      <c r="AB169" s="37" t="n">
        <v>24</v>
      </c>
      <c r="AC169" s="37" t="n">
        <v>25</v>
      </c>
      <c r="AD169" s="37" t="n">
        <v>26</v>
      </c>
      <c r="AE169" s="37" t="n">
        <v>27</v>
      </c>
      <c r="AF169" s="37" t="n">
        <v>28</v>
      </c>
      <c r="AG169" s="37" t="n">
        <v>29</v>
      </c>
      <c r="AH169" s="37" t="n">
        <v>30</v>
      </c>
      <c r="AI169" s="37" t="n">
        <v>31</v>
      </c>
      <c r="AJ169" s="37" t="n">
        <v>32</v>
      </c>
      <c r="AK169" s="37" t="n">
        <v>33</v>
      </c>
      <c r="AL169" s="37" t="n">
        <v>34</v>
      </c>
      <c r="AM169" s="37" t="n">
        <v>35</v>
      </c>
      <c r="AN169" s="37" t="n">
        <v>36</v>
      </c>
    </row>
    <row r="170" customFormat="false" ht="15" hidden="false" customHeight="false" outlineLevel="0" collapsed="false">
      <c r="A170" s="14" t="s">
        <v>82</v>
      </c>
      <c r="B170" s="37" t="n">
        <v>1</v>
      </c>
      <c r="C170" s="38" t="n">
        <f aca="false">'Inputs &amp; Assumptions'!$C$140</f>
        <v>0</v>
      </c>
      <c r="D170" s="38" t="n">
        <f aca="false">'Inputs &amp; Assumptions'!$D$140</f>
        <v>1</v>
      </c>
      <c r="E170" s="39" t="n">
        <f aca="false">'Inputs &amp; Assumptions'!$G$140</f>
        <v>20000000</v>
      </c>
      <c r="F170" s="39" t="n">
        <f aca="false">E170-E181-E192-E203</f>
        <v>19392757.3673957</v>
      </c>
      <c r="G170" s="39" t="n">
        <f aca="false">F170-F181-F192-F203</f>
        <v>18803951.9155341</v>
      </c>
      <c r="H170" s="39" t="n">
        <f aca="false">G170-G181-G192-G203</f>
        <v>18233023.8523065</v>
      </c>
      <c r="I170" s="39" t="n">
        <f aca="false">H170-H181-H192-H203</f>
        <v>17679430.3820859</v>
      </c>
      <c r="J170" s="39" t="n">
        <f aca="false">I170-I181-I192-I203</f>
        <v>16570632.0974261</v>
      </c>
      <c r="K170" s="39" t="n">
        <f aca="false">J170-J181-J192-J203</f>
        <v>15531374.1548188</v>
      </c>
      <c r="L170" s="39" t="n">
        <f aca="false">K170-K181-K192-K203</f>
        <v>14557295.2026642</v>
      </c>
      <c r="M170" s="39" t="n">
        <f aca="false">L170-L181-L192-L203</f>
        <v>13644307.4196214</v>
      </c>
      <c r="N170" s="39" t="n">
        <f aca="false">M170-M181-M192-M203</f>
        <v>12808022.2777194</v>
      </c>
      <c r="O170" s="39" t="n">
        <f aca="false">N170-N181-N192-N203</f>
        <v>12022994.6175685</v>
      </c>
      <c r="P170" s="39" t="n">
        <f aca="false">O170-O181-O192-O203</f>
        <v>11286082.7721654</v>
      </c>
      <c r="Q170" s="39" t="n">
        <f aca="false">P170-P181-P192-P203</f>
        <v>10594337.6331586</v>
      </c>
      <c r="R170" s="39" t="n">
        <f aca="false">Q170-Q181-Q192-Q203</f>
        <v>9968894.05237815</v>
      </c>
      <c r="S170" s="39" t="n">
        <f aca="false">R170-R181-R192-R203</f>
        <v>9380373.93829136</v>
      </c>
      <c r="T170" s="39" t="n">
        <f aca="false">S170-S181-S192-S203</f>
        <v>8826597.49013832</v>
      </c>
      <c r="U170" s="39" t="n">
        <f aca="false">T170-T181-T192-T203</f>
        <v>8305513.59310812</v>
      </c>
      <c r="V170" s="39" t="n">
        <f aca="false">U170-U181-U192-U203</f>
        <v>7831712.21998155</v>
      </c>
      <c r="W170" s="39" t="n">
        <f aca="false">V170-V181-V192-V203</f>
        <v>7384939.60776904</v>
      </c>
      <c r="X170" s="39" t="n">
        <f aca="false">W170-W181-W192-W203</f>
        <v>6963653.85735847</v>
      </c>
      <c r="Y170" s="39" t="n">
        <f aca="false">X170-X181-X192-X203</f>
        <v>6566401.02975099</v>
      </c>
      <c r="Z170" s="39" t="n">
        <f aca="false">Y170-Y181-Y192-Y203</f>
        <v>6200582.33034974</v>
      </c>
      <c r="AA170" s="39" t="n">
        <f aca="false">Z170-Z181-Z192-Z203</f>
        <v>5855143.64128068</v>
      </c>
      <c r="AB170" s="39" t="n">
        <f aca="false">AA170-AA181-AA192-AA203</f>
        <v>5528949.57820774</v>
      </c>
      <c r="AC170" s="39" t="n">
        <f aca="false">AB170-AB181-AB192-AB203</f>
        <v>5220928.00983396</v>
      </c>
      <c r="AD170" s="39" t="n">
        <f aca="false">AC170-AC181-AC192-AC203</f>
        <v>4936421.31043653</v>
      </c>
      <c r="AE170" s="39" t="n">
        <f aca="false">AD170-AD181-AD192-AD203</f>
        <v>4667418.38007203</v>
      </c>
      <c r="AF170" s="39" t="n">
        <f aca="false">AE170-AE181-AE192-AE203</f>
        <v>4413074.36392778</v>
      </c>
      <c r="AG170" s="39" t="n">
        <f aca="false">AF170-AF181-AF192-AF203</f>
        <v>0</v>
      </c>
      <c r="AH170" s="39" t="n">
        <f aca="false">AG170-AG181-AG192-AG203</f>
        <v>0</v>
      </c>
      <c r="AI170" s="39" t="n">
        <f aca="false">AH170-AH181-AH192-AH203</f>
        <v>0</v>
      </c>
      <c r="AJ170" s="39" t="n">
        <f aca="false">AI170-AI181-AI192-AI203</f>
        <v>0</v>
      </c>
      <c r="AK170" s="39" t="n">
        <f aca="false">AJ170-AJ181-AJ192-AJ203</f>
        <v>0</v>
      </c>
      <c r="AL170" s="39" t="n">
        <f aca="false">AK170-AK181-AK192-AK203</f>
        <v>0</v>
      </c>
      <c r="AM170" s="39" t="n">
        <f aca="false">AL170-AL181-AL192-AL203</f>
        <v>0</v>
      </c>
      <c r="AN170" s="39" t="n">
        <f aca="false">AM170-AM181-AM192-AM203</f>
        <v>0</v>
      </c>
    </row>
    <row r="171" customFormat="false" ht="15" hidden="false" customHeight="false" outlineLevel="0" collapsed="false">
      <c r="B171" s="37" t="n">
        <v>2</v>
      </c>
      <c r="C171" s="38" t="n">
        <f aca="false">'Inputs &amp; Assumptions'!$C$141</f>
        <v>1</v>
      </c>
      <c r="D171" s="38" t="n">
        <f aca="false">'Inputs &amp; Assumptions'!$D$141</f>
        <v>3</v>
      </c>
      <c r="E171" s="39" t="n">
        <f aca="false">'Inputs &amp; Assumptions'!$G$141</f>
        <v>60000000</v>
      </c>
      <c r="F171" s="39" t="n">
        <f aca="false">E171-E182-E193-E204</f>
        <v>58178272.1021872</v>
      </c>
      <c r="G171" s="39" t="n">
        <f aca="false">F171-F182-F193-F204</f>
        <v>56411855.7466023</v>
      </c>
      <c r="H171" s="39" t="n">
        <f aca="false">G171-G182-G193-G204</f>
        <v>54699071.5569194</v>
      </c>
      <c r="I171" s="39" t="n">
        <f aca="false">H171-H182-H193-H204</f>
        <v>51268517.7775254</v>
      </c>
      <c r="J171" s="39" t="n">
        <f aca="false">I171-I182-I193-I204</f>
        <v>48053117.5445873</v>
      </c>
      <c r="K171" s="39" t="n">
        <f aca="false">J171-J182-J193-J204</f>
        <v>45039377.1041723</v>
      </c>
      <c r="L171" s="39" t="n">
        <f aca="false">K171-K182-K193-K204</f>
        <v>42214648.988166</v>
      </c>
      <c r="M171" s="39" t="n">
        <f aca="false">L171-L182-L193-L204</f>
        <v>39627234.1320158</v>
      </c>
      <c r="N171" s="39" t="n">
        <f aca="false">M171-M182-M193-M204</f>
        <v>37198406.7756622</v>
      </c>
      <c r="O171" s="39" t="n">
        <f aca="false">N171-N182-N193-N204</f>
        <v>34918446.7943901</v>
      </c>
      <c r="P171" s="39" t="n">
        <f aca="false">O171-O182-O193-O204</f>
        <v>32778229.8281227</v>
      </c>
      <c r="Q171" s="39" t="n">
        <f aca="false">P171-P182-P193-P204</f>
        <v>30843145.8101109</v>
      </c>
      <c r="R171" s="39" t="n">
        <f aca="false">Q171-Q182-Q193-Q204</f>
        <v>29022300.7298453</v>
      </c>
      <c r="S171" s="39" t="n">
        <f aca="false">R171-R182-R193-R204</f>
        <v>27308950.4176795</v>
      </c>
      <c r="T171" s="39" t="n">
        <f aca="false">S171-S182-S193-S204</f>
        <v>25696748.8503884</v>
      </c>
      <c r="U171" s="39" t="n">
        <f aca="false">T171-T182-T193-T204</f>
        <v>24230836.5074954</v>
      </c>
      <c r="V171" s="39" t="n">
        <f aca="false">U171-U182-U193-U204</f>
        <v>22848549.490497</v>
      </c>
      <c r="W171" s="39" t="n">
        <f aca="false">V171-V182-V193-V204</f>
        <v>21545117.2582591</v>
      </c>
      <c r="X171" s="39" t="n">
        <f aca="false">W171-W182-W193-W204</f>
        <v>20316041.4128343</v>
      </c>
      <c r="Y171" s="39" t="n">
        <f aca="false">X171-X182-X193-X204</f>
        <v>19184220.829085</v>
      </c>
      <c r="Z171" s="39" t="n">
        <f aca="false">Y171-Y182-Y193-Y204</f>
        <v>18115454.7453619</v>
      </c>
      <c r="AA171" s="39" t="n">
        <f aca="false">Z171-Z182-Z193-Z204</f>
        <v>17106230.3522758</v>
      </c>
      <c r="AB171" s="39" t="n">
        <f aca="false">AA171-AA182-AA193-AA204</f>
        <v>16153230.5414547</v>
      </c>
      <c r="AC171" s="39" t="n">
        <f aca="false">AB171-AB182-AB193-AB204</f>
        <v>15272984.2907309</v>
      </c>
      <c r="AD171" s="39" t="n">
        <f aca="false">AC171-AC182-AC193-AC204</f>
        <v>14440705.7490004</v>
      </c>
      <c r="AE171" s="39" t="n">
        <f aca="false">AD171-AD182-AD193-AD204</f>
        <v>13653780.987372</v>
      </c>
      <c r="AF171" s="39" t="n">
        <f aca="false">AE171-AE182-AE193-AE204</f>
        <v>0</v>
      </c>
      <c r="AG171" s="39" t="n">
        <f aca="false">AF171-AF182-AF193-AF204</f>
        <v>0</v>
      </c>
      <c r="AH171" s="39" t="n">
        <f aca="false">AG171-AG182-AG193-AG204</f>
        <v>0</v>
      </c>
      <c r="AI171" s="39" t="n">
        <f aca="false">AH171-AH182-AH193-AH204</f>
        <v>0</v>
      </c>
      <c r="AJ171" s="39" t="n">
        <f aca="false">AI171-AI182-AI193-AI204</f>
        <v>0</v>
      </c>
      <c r="AK171" s="39" t="n">
        <f aca="false">AJ171-AJ182-AJ193-AJ204</f>
        <v>0</v>
      </c>
      <c r="AL171" s="39" t="n">
        <f aca="false">AK171-AK182-AK193-AK204</f>
        <v>0</v>
      </c>
      <c r="AM171" s="39" t="n">
        <f aca="false">AL171-AL182-AL193-AL204</f>
        <v>0</v>
      </c>
      <c r="AN171" s="39" t="n">
        <f aca="false">AM171-AM182-AM193-AM204</f>
        <v>0</v>
      </c>
    </row>
    <row r="172" customFormat="false" ht="15" hidden="false" customHeight="false" outlineLevel="0" collapsed="false">
      <c r="B172" s="37" t="n">
        <v>3</v>
      </c>
      <c r="C172" s="38" t="n">
        <f aca="false">'Inputs &amp; Assumptions'!$C$142</f>
        <v>2</v>
      </c>
      <c r="D172" s="38" t="n">
        <f aca="false">'Inputs &amp; Assumptions'!$D$142</f>
        <v>3</v>
      </c>
      <c r="E172" s="39" t="n">
        <f aca="false">'Inputs &amp; Assumptions'!$G$142</f>
        <v>60000000</v>
      </c>
      <c r="F172" s="39" t="n">
        <f aca="false">E172-E183-E194-E205</f>
        <v>58178272.1021872</v>
      </c>
      <c r="G172" s="39" t="n">
        <f aca="false">F172-F183-F194-F205</f>
        <v>56411855.7466023</v>
      </c>
      <c r="H172" s="39" t="n">
        <f aca="false">G172-G183-G194-G205</f>
        <v>52873881.5282876</v>
      </c>
      <c r="I172" s="39" t="n">
        <f aca="false">H172-H183-H194-H205</f>
        <v>49557797.9285989</v>
      </c>
      <c r="J172" s="39" t="n">
        <f aca="false">I172-I183-I194-I205</f>
        <v>46449688.6656202</v>
      </c>
      <c r="K172" s="39" t="n">
        <f aca="false">J172-J183-J194-J205</f>
        <v>43536510.2428805</v>
      </c>
      <c r="L172" s="39" t="n">
        <f aca="false">K172-K183-K194-K205</f>
        <v>40868076.0360973</v>
      </c>
      <c r="M172" s="39" t="n">
        <f aca="false">L172-L183-L194-L205</f>
        <v>38363195.1567675</v>
      </c>
      <c r="N172" s="39" t="n">
        <f aca="false">M172-M183-M194-M205</f>
        <v>36011843.1153035</v>
      </c>
      <c r="O172" s="39" t="n">
        <f aca="false">N172-N183-N194-N205</f>
        <v>33804609.8418489</v>
      </c>
      <c r="P172" s="39" t="n">
        <f aca="false">O172-O183-O194-O205</f>
        <v>31808932.8152646</v>
      </c>
      <c r="Q172" s="39" t="n">
        <f aca="false">P172-P183-P194-P205</f>
        <v>29931071.8739144</v>
      </c>
      <c r="R172" s="39" t="n">
        <f aca="false">Q172-Q183-Q194-Q205</f>
        <v>28164071.6689344</v>
      </c>
      <c r="S172" s="39" t="n">
        <f aca="false">R172-R183-R194-R205</f>
        <v>26501387.4649835</v>
      </c>
      <c r="T172" s="39" t="n">
        <f aca="false">S172-S183-S194-S205</f>
        <v>24989573.2189521</v>
      </c>
      <c r="U172" s="39" t="n">
        <f aca="false">T172-T183-T194-T205</f>
        <v>23564002.8466621</v>
      </c>
      <c r="V172" s="39" t="n">
        <f aca="false">U172-U183-U194-U205</f>
        <v>22219756.4277084</v>
      </c>
      <c r="W172" s="39" t="n">
        <f aca="false">V172-V183-V194-V205</f>
        <v>20952194.7064535</v>
      </c>
      <c r="X172" s="39" t="n">
        <f aca="false">W172-W183-W194-W205</f>
        <v>19784933.5869469</v>
      </c>
      <c r="Y172" s="39" t="n">
        <f aca="false">X172-X183-X194-X205</f>
        <v>18682701.3839906</v>
      </c>
      <c r="Z172" s="39" t="n">
        <f aca="false">Y172-Y183-Y194-Y205</f>
        <v>17641875.2920982</v>
      </c>
      <c r="AA172" s="39" t="n">
        <f aca="false">Z172-Z183-Z194-Z205</f>
        <v>16659034.3347589</v>
      </c>
      <c r="AB172" s="39" t="n">
        <f aca="false">AA172-AA183-AA194-AA205</f>
        <v>15751225.0593191</v>
      </c>
      <c r="AC172" s="39" t="n">
        <f aca="false">AB172-AB183-AB194-AB205</f>
        <v>14892885.4988708</v>
      </c>
      <c r="AD172" s="39" t="n">
        <f aca="false">AC172-AC183-AC194-AC205</f>
        <v>14081319.8749421</v>
      </c>
      <c r="AE172" s="39" t="n">
        <f aca="false">AD172-AD183-AD194-AD205</f>
        <v>0</v>
      </c>
      <c r="AF172" s="39" t="n">
        <f aca="false">AE172-AE183-AE194-AE205</f>
        <v>0</v>
      </c>
      <c r="AG172" s="39" t="n">
        <f aca="false">AF172-AF183-AF194-AF205</f>
        <v>0</v>
      </c>
      <c r="AH172" s="39" t="n">
        <f aca="false">AG172-AG183-AG194-AG205</f>
        <v>0</v>
      </c>
      <c r="AI172" s="39" t="n">
        <f aca="false">AH172-AH183-AH194-AH205</f>
        <v>0</v>
      </c>
      <c r="AJ172" s="39" t="n">
        <f aca="false">AI172-AI183-AI194-AI205</f>
        <v>0</v>
      </c>
      <c r="AK172" s="39" t="n">
        <f aca="false">AJ172-AJ183-AJ194-AJ205</f>
        <v>0</v>
      </c>
      <c r="AL172" s="39" t="n">
        <f aca="false">AK172-AK183-AK194-AK205</f>
        <v>0</v>
      </c>
      <c r="AM172" s="39" t="n">
        <f aca="false">AL172-AL183-AL194-AL205</f>
        <v>0</v>
      </c>
      <c r="AN172" s="39" t="n">
        <f aca="false">AM172-AM183-AM194-AM205</f>
        <v>0</v>
      </c>
    </row>
    <row r="173" customFormat="false" ht="15" hidden="false" customHeight="false" outlineLevel="0" collapsed="false">
      <c r="B173" s="37" t="n">
        <v>4</v>
      </c>
      <c r="C173" s="38" t="n">
        <f aca="false">'Inputs &amp; Assumptions'!$C$143</f>
        <v>3</v>
      </c>
      <c r="D173" s="38" t="n">
        <f aca="false">'Inputs &amp; Assumptions'!$D$143</f>
        <v>3</v>
      </c>
      <c r="E173" s="39" t="n">
        <f aca="false">'Inputs &amp; Assumptions'!$G$143</f>
        <v>60000000</v>
      </c>
      <c r="F173" s="39" t="n">
        <f aca="false">E173-E184-E195-E206</f>
        <v>58178272.1021872</v>
      </c>
      <c r="G173" s="39" t="n">
        <f aca="false">F173-F184-F195-F206</f>
        <v>54529513.8041404</v>
      </c>
      <c r="H173" s="39" t="n">
        <f aca="false">G173-G184-G195-G206</f>
        <v>51109594.1538654</v>
      </c>
      <c r="I173" s="39" t="n">
        <f aca="false">H173-H184-H195-H206</f>
        <v>47904161.1109044</v>
      </c>
      <c r="J173" s="39" t="n">
        <f aca="false">I173-I184-I195-I206</f>
        <v>44899762.7496507</v>
      </c>
      <c r="K173" s="39" t="n">
        <f aca="false">J173-J184-J195-J206</f>
        <v>42147772.2449178</v>
      </c>
      <c r="L173" s="39" t="n">
        <f aca="false">K173-K184-K195-K206</f>
        <v>39564456.3895447</v>
      </c>
      <c r="M173" s="39" t="n">
        <f aca="false">L173-L184-L195-L206</f>
        <v>37139476.798538</v>
      </c>
      <c r="N173" s="39" t="n">
        <f aca="false">M173-M184-M195-M206</f>
        <v>34863128.7458721</v>
      </c>
      <c r="O173" s="39" t="n">
        <f aca="false">N173-N184-N195-N206</f>
        <v>32804961.3705203</v>
      </c>
      <c r="P173" s="39" t="n">
        <f aca="false">O173-O184-O195-O206</f>
        <v>30868299.2385975</v>
      </c>
      <c r="Q173" s="39" t="n">
        <f aca="false">P173-P184-P195-P206</f>
        <v>29045969.2093973</v>
      </c>
      <c r="R173" s="39" t="n">
        <f aca="false">Q173-Q184-Q195-Q206</f>
        <v>27331221.6132185</v>
      </c>
      <c r="S173" s="39" t="n">
        <f aca="false">R173-R184-R195-R206</f>
        <v>25772068.1443331</v>
      </c>
      <c r="T173" s="39" t="n">
        <f aca="false">S173-S184-S195-S206</f>
        <v>24301859.0912495</v>
      </c>
      <c r="U173" s="39" t="n">
        <f aca="false">T173-T184-T195-T206</f>
        <v>22915520.4767998</v>
      </c>
      <c r="V173" s="39" t="n">
        <f aca="false">U173-U184-U195-U206</f>
        <v>21608267.7769997</v>
      </c>
      <c r="W173" s="39" t="n">
        <f aca="false">V173-V184-V195-V206</f>
        <v>20404456.3773179</v>
      </c>
      <c r="X173" s="39" t="n">
        <f aca="false">W173-W184-W195-W206</f>
        <v>19267710.1353323</v>
      </c>
      <c r="Y173" s="39" t="n">
        <f aca="false">X173-X184-X195-X206</f>
        <v>18194292.8051674</v>
      </c>
      <c r="Z173" s="39" t="n">
        <f aca="false">Y173-Y184-Y195-Y206</f>
        <v>17180676.2897648</v>
      </c>
      <c r="AA173" s="39" t="n">
        <f aca="false">Z173-Z184-Z195-Z206</f>
        <v>16244440.9125656</v>
      </c>
      <c r="AB173" s="39" t="n">
        <f aca="false">AA173-AA184-AA195-AA206</f>
        <v>15359224.2884548</v>
      </c>
      <c r="AC173" s="39" t="n">
        <f aca="false">AB173-AB184-AB195-AB206</f>
        <v>14522246.2264355</v>
      </c>
      <c r="AD173" s="39" t="n">
        <f aca="false">AC173-AC184-AC195-AC206</f>
        <v>0</v>
      </c>
      <c r="AE173" s="39" t="n">
        <f aca="false">AD173-AD184-AD195-AD206</f>
        <v>0</v>
      </c>
      <c r="AF173" s="39" t="n">
        <f aca="false">AE173-AE184-AE195-AE206</f>
        <v>0</v>
      </c>
      <c r="AG173" s="39" t="n">
        <f aca="false">AF173-AF184-AF195-AF206</f>
        <v>0</v>
      </c>
      <c r="AH173" s="39" t="n">
        <f aca="false">AG173-AG184-AG195-AG206</f>
        <v>0</v>
      </c>
      <c r="AI173" s="39" t="n">
        <f aca="false">AH173-AH184-AH195-AH206</f>
        <v>0</v>
      </c>
      <c r="AJ173" s="39" t="n">
        <f aca="false">AI173-AI184-AI195-AI206</f>
        <v>0</v>
      </c>
      <c r="AK173" s="39" t="n">
        <f aca="false">AJ173-AJ184-AJ195-AJ206</f>
        <v>0</v>
      </c>
      <c r="AL173" s="39" t="n">
        <f aca="false">AK173-AK184-AK195-AK206</f>
        <v>0</v>
      </c>
      <c r="AM173" s="39" t="n">
        <f aca="false">AL173-AL184-AL195-AL206</f>
        <v>0</v>
      </c>
      <c r="AN173" s="39" t="n">
        <f aca="false">AM173-AM184-AM195-AM206</f>
        <v>0</v>
      </c>
    </row>
    <row r="174" customFormat="false" ht="15" hidden="false" customHeight="false" outlineLevel="0" collapsed="false">
      <c r="B174" s="37" t="n">
        <v>5</v>
      </c>
      <c r="C174" s="38" t="n">
        <f aca="false">'Inputs &amp; Assumptions'!$C$144</f>
        <v>4</v>
      </c>
      <c r="D174" s="38" t="n">
        <f aca="false">'Inputs &amp; Assumptions'!$D$144</f>
        <v>3</v>
      </c>
      <c r="E174" s="39" t="n">
        <f aca="false">'Inputs &amp; Assumptions'!$G$144</f>
        <v>60000000</v>
      </c>
      <c r="F174" s="39" t="n">
        <f aca="false">E174-E185-E196-E207</f>
        <v>56236988.6562069</v>
      </c>
      <c r="G174" s="39" t="n">
        <f aca="false">F174-F185-F196-F207</f>
        <v>52709981.5519724</v>
      </c>
      <c r="H174" s="39" t="n">
        <f aca="false">G174-G185-G196-G207</f>
        <v>49404177.2434525</v>
      </c>
      <c r="I174" s="39" t="n">
        <f aca="false">H174-H185-H196-H207</f>
        <v>46305702.5868212</v>
      </c>
      <c r="J174" s="39" t="n">
        <f aca="false">I174-I185-I196-I207</f>
        <v>43467539.3977538</v>
      </c>
      <c r="K174" s="39" t="n">
        <f aca="false">J174-J185-J196-J207</f>
        <v>40803332.5431718</v>
      </c>
      <c r="L174" s="39" t="n">
        <f aca="false">K174-K185-K196-K207</f>
        <v>38302419.9137138</v>
      </c>
      <c r="M174" s="39" t="n">
        <f aca="false">L174-L185-L196-L207</f>
        <v>35954792.900659</v>
      </c>
      <c r="N174" s="39" t="n">
        <f aca="false">M174-M185-M196-M207</f>
        <v>33832178.4252032</v>
      </c>
      <c r="O174" s="39" t="n">
        <f aca="false">N174-N185-N196-N207</f>
        <v>31834873.8694531</v>
      </c>
      <c r="P174" s="39" t="n">
        <f aca="false">O174-O185-O196-O207</f>
        <v>29955481.4811751</v>
      </c>
      <c r="Q174" s="39" t="n">
        <f aca="false">P174-P185-P196-P207</f>
        <v>28187040.2392281</v>
      </c>
      <c r="R174" s="39" t="n">
        <f aca="false">Q174-Q185-Q196-Q207</f>
        <v>26579065.2211868</v>
      </c>
      <c r="S174" s="39" t="n">
        <f aca="false">R174-R185-R196-R207</f>
        <v>25062819.7226942</v>
      </c>
      <c r="T174" s="39" t="n">
        <f aca="false">S174-S185-S196-S207</f>
        <v>23633070.8858625</v>
      </c>
      <c r="U174" s="39" t="n">
        <f aca="false">T174-T185-T196-T207</f>
        <v>22284884.3695933</v>
      </c>
      <c r="V174" s="39" t="n">
        <f aca="false">U174-U185-U196-U207</f>
        <v>21043378.1960508</v>
      </c>
      <c r="W174" s="39" t="n">
        <f aca="false">V174-V185-V196-V207</f>
        <v>19871037.1818773</v>
      </c>
      <c r="X174" s="39" t="n">
        <f aca="false">W174-W185-W196-W207</f>
        <v>18764008.0886658</v>
      </c>
      <c r="Y174" s="39" t="n">
        <f aca="false">X174-X185-X196-X207</f>
        <v>17718652.3445603</v>
      </c>
      <c r="Z174" s="39" t="n">
        <f aca="false">Y174-Y185-Y196-Y207</f>
        <v>16753100.7631506</v>
      </c>
      <c r="AA174" s="39" t="n">
        <f aca="false">Z174-Z185-Z196-Z207</f>
        <v>15840165.4777342</v>
      </c>
      <c r="AB174" s="39" t="n">
        <f aca="false">AA174-AA185-AA196-AA207</f>
        <v>14976979.2415917</v>
      </c>
      <c r="AC174" s="39" t="n">
        <f aca="false">AB174-AB185-AB196-AB207</f>
        <v>0</v>
      </c>
      <c r="AD174" s="39" t="n">
        <f aca="false">AC174-AC185-AC196-AC207</f>
        <v>0</v>
      </c>
      <c r="AE174" s="39" t="n">
        <f aca="false">AD174-AD185-AD196-AD207</f>
        <v>0</v>
      </c>
      <c r="AF174" s="39" t="n">
        <f aca="false">AE174-AE185-AE196-AE207</f>
        <v>0</v>
      </c>
      <c r="AG174" s="39" t="n">
        <f aca="false">AF174-AF185-AF196-AF207</f>
        <v>0</v>
      </c>
      <c r="AH174" s="39" t="n">
        <f aca="false">AG174-AG185-AG196-AG207</f>
        <v>0</v>
      </c>
      <c r="AI174" s="39" t="n">
        <f aca="false">AH174-AH185-AH196-AH207</f>
        <v>0</v>
      </c>
      <c r="AJ174" s="39" t="n">
        <f aca="false">AI174-AI185-AI196-AI207</f>
        <v>0</v>
      </c>
      <c r="AK174" s="39" t="n">
        <f aca="false">AJ174-AJ185-AJ196-AJ207</f>
        <v>0</v>
      </c>
      <c r="AL174" s="39" t="n">
        <f aca="false">AK174-AK185-AK196-AK207</f>
        <v>0</v>
      </c>
      <c r="AM174" s="39" t="n">
        <f aca="false">AL174-AL185-AL196-AL207</f>
        <v>0</v>
      </c>
      <c r="AN174" s="39" t="n">
        <f aca="false">AM174-AM185-AM196-AM207</f>
        <v>0</v>
      </c>
    </row>
    <row r="175" customFormat="false" ht="15" hidden="false" customHeight="false" outlineLevel="0" collapsed="false">
      <c r="B175" s="37" t="n">
        <v>6</v>
      </c>
      <c r="C175" s="38" t="n">
        <f aca="false">'Inputs &amp; Assumptions'!$C$145</f>
        <v>5</v>
      </c>
      <c r="D175" s="38" t="n">
        <f aca="false">'Inputs &amp; Assumptions'!$D$145</f>
        <v>3</v>
      </c>
      <c r="E175" s="39" t="n">
        <f aca="false">'Inputs &amp; Assumptions'!$G$145</f>
        <v>58200000</v>
      </c>
      <c r="F175" s="39" t="n">
        <f aca="false">E175-E186-E197-E208</f>
        <v>54549878.9965207</v>
      </c>
      <c r="G175" s="39" t="n">
        <f aca="false">F175-F186-F197-F208</f>
        <v>51128682.1054133</v>
      </c>
      <c r="H175" s="39" t="n">
        <f aca="false">G175-G186-G197-G208</f>
        <v>47922051.9261489</v>
      </c>
      <c r="I175" s="39" t="n">
        <f aca="false">H175-H186-H197-H208</f>
        <v>44984819.6605039</v>
      </c>
      <c r="J175" s="39" t="n">
        <f aca="false">I175-I186-I197-I208</f>
        <v>42227615.8584906</v>
      </c>
      <c r="K175" s="39" t="n">
        <f aca="false">J175-J186-J197-J208</f>
        <v>39639406.2385861</v>
      </c>
      <c r="L175" s="39" t="n">
        <f aca="false">K175-K186-K197-K208</f>
        <v>37209832.8310364</v>
      </c>
      <c r="M175" s="39" t="n">
        <f aca="false">L175-L186-L197-L208</f>
        <v>35013126.2607978</v>
      </c>
      <c r="N175" s="39" t="n">
        <f aca="false">M175-M186-M197-M208</f>
        <v>32946103.6850463</v>
      </c>
      <c r="O175" s="39" t="n">
        <f aca="false">N175-N186-N197-N208</f>
        <v>31001109.1252122</v>
      </c>
      <c r="P175" s="39" t="n">
        <f aca="false">O175-O186-O197-O208</f>
        <v>29170938.5783766</v>
      </c>
      <c r="Q175" s="39" t="n">
        <f aca="false">P175-P186-P197-P208</f>
        <v>27506835.4980693</v>
      </c>
      <c r="R175" s="39" t="n">
        <f aca="false">Q175-Q186-Q197-Q208</f>
        <v>25937663.8528424</v>
      </c>
      <c r="S175" s="39" t="n">
        <f aca="false">R175-R186-R197-R208</f>
        <v>24458008.1263898</v>
      </c>
      <c r="T175" s="39" t="n">
        <f aca="false">S175-S186-S197-S208</f>
        <v>23062761.739238</v>
      </c>
      <c r="U175" s="39" t="n">
        <f aca="false">T175-T186-T197-T208</f>
        <v>21777919.4845807</v>
      </c>
      <c r="V175" s="39" t="n">
        <f aca="false">U175-U186-U197-U208</f>
        <v>20564656.672057</v>
      </c>
      <c r="W175" s="39" t="n">
        <f aca="false">V175-V186-V197-V208</f>
        <v>19418985.5619131</v>
      </c>
      <c r="X175" s="39" t="n">
        <f aca="false">W175-W186-W197-W208</f>
        <v>18337140.5741085</v>
      </c>
      <c r="Y175" s="39" t="n">
        <f aca="false">X175-X186-X197-X208</f>
        <v>17337885.3973852</v>
      </c>
      <c r="Z175" s="39" t="n">
        <f aca="false">Y175-Y186-Y197-Y208</f>
        <v>16393083.1439065</v>
      </c>
      <c r="AA175" s="39" t="n">
        <f aca="false">Z175-Z186-Z197-Z208</f>
        <v>15499766.4826854</v>
      </c>
      <c r="AB175" s="39" t="n">
        <f aca="false">AA175-AA186-AA197-AA208</f>
        <v>0</v>
      </c>
      <c r="AC175" s="39" t="n">
        <f aca="false">AB175-AB186-AB197-AB208</f>
        <v>0</v>
      </c>
      <c r="AD175" s="39" t="n">
        <f aca="false">AC175-AC186-AC197-AC208</f>
        <v>0</v>
      </c>
      <c r="AE175" s="39" t="n">
        <f aca="false">AD175-AD186-AD197-AD208</f>
        <v>0</v>
      </c>
      <c r="AF175" s="39" t="n">
        <f aca="false">AE175-AE186-AE197-AE208</f>
        <v>0</v>
      </c>
      <c r="AG175" s="39" t="n">
        <f aca="false">AF175-AF186-AF197-AF208</f>
        <v>0</v>
      </c>
      <c r="AH175" s="39" t="n">
        <f aca="false">AG175-AG186-AG197-AG208</f>
        <v>0</v>
      </c>
      <c r="AI175" s="39" t="n">
        <f aca="false">AH175-AH186-AH197-AH208</f>
        <v>0</v>
      </c>
      <c r="AJ175" s="39" t="n">
        <f aca="false">AI175-AI186-AI197-AI208</f>
        <v>0</v>
      </c>
      <c r="AK175" s="39" t="n">
        <f aca="false">AJ175-AJ186-AJ197-AJ208</f>
        <v>0</v>
      </c>
      <c r="AL175" s="39" t="n">
        <f aca="false">AK175-AK186-AK197-AK208</f>
        <v>0</v>
      </c>
      <c r="AM175" s="39" t="n">
        <f aca="false">AL175-AL186-AL197-AL208</f>
        <v>0</v>
      </c>
      <c r="AN175" s="39" t="n">
        <f aca="false">AM175-AM186-AM197-AM208</f>
        <v>0</v>
      </c>
    </row>
    <row r="176" customFormat="false" ht="15" hidden="false" customHeight="false" outlineLevel="0" collapsed="false">
      <c r="B176" s="37" t="n">
        <v>7</v>
      </c>
      <c r="C176" s="38" t="n">
        <f aca="false">'Inputs &amp; Assumptions'!$C$146</f>
        <v>6</v>
      </c>
      <c r="D176" s="38" t="n">
        <f aca="false">'Inputs &amp; Assumptions'!$D$146</f>
        <v>3</v>
      </c>
      <c r="E176" s="39" t="n">
        <f aca="false">'Inputs &amp; Assumptions'!$G$146</f>
        <v>56454000</v>
      </c>
      <c r="F176" s="39" t="n">
        <f aca="false">E176-E187-E198-E209</f>
        <v>52913382.6266251</v>
      </c>
      <c r="G176" s="39" t="n">
        <f aca="false">F176-F187-F198-F209</f>
        <v>49594821.6422509</v>
      </c>
      <c r="H176" s="39" t="n">
        <f aca="false">G176-G187-G198-G209</f>
        <v>46555062.189525</v>
      </c>
      <c r="I176" s="39" t="n">
        <f aca="false">H176-H187-H198-H209</f>
        <v>43701615.2836431</v>
      </c>
      <c r="J176" s="39" t="n">
        <f aca="false">I176-I187-I198-I209</f>
        <v>41023061.479859</v>
      </c>
      <c r="K176" s="39" t="n">
        <f aca="false">J176-J187-J198-J209</f>
        <v>38508681.252571</v>
      </c>
      <c r="L176" s="39" t="n">
        <f aca="false">K176-K187-K198-K209</f>
        <v>36235296.3249131</v>
      </c>
      <c r="M176" s="39" t="n">
        <f aca="false">L176-L187-L198-L209</f>
        <v>34096122.148213</v>
      </c>
      <c r="N176" s="39" t="n">
        <f aca="false">M176-M187-M198-M209</f>
        <v>32083235.503902</v>
      </c>
      <c r="O176" s="39" t="n">
        <f aca="false">N176-N187-N198-N209</f>
        <v>30189180.9257489</v>
      </c>
      <c r="P176" s="39" t="n">
        <f aca="false">O176-O187-O198-O209</f>
        <v>28466990.5740221</v>
      </c>
      <c r="Q176" s="39" t="n">
        <f aca="false">P176-P187-P198-P209</f>
        <v>26843045.3391429</v>
      </c>
      <c r="R176" s="39" t="n">
        <f aca="false">Q176-Q187-Q198-Q209</f>
        <v>25311740.6705023</v>
      </c>
      <c r="S176" s="39" t="n">
        <f aca="false">R176-R187-R198-R209</f>
        <v>23867791.7380896</v>
      </c>
      <c r="T176" s="39" t="n">
        <f aca="false">S176-S187-S198-S209</f>
        <v>22538100.7107447</v>
      </c>
      <c r="U176" s="39" t="n">
        <f aca="false">T176-T187-T198-T209</f>
        <v>21282487.6813816</v>
      </c>
      <c r="V176" s="39" t="n">
        <f aca="false">U176-U187-U198-U209</f>
        <v>20096825.7139885</v>
      </c>
      <c r="W176" s="39" t="n">
        <f aca="false">V176-V187-V198-V209</f>
        <v>18977217.7869863</v>
      </c>
      <c r="X176" s="39" t="n">
        <f aca="false">W176-W187-W198-W209</f>
        <v>17943082.5554428</v>
      </c>
      <c r="Y176" s="39" t="n">
        <f aca="false">X176-X187-X198-X209</f>
        <v>16965300.9838047</v>
      </c>
      <c r="Z176" s="39" t="n">
        <f aca="false">Y176-Y187-Y198-Y209</f>
        <v>16040802.1632703</v>
      </c>
      <c r="AA176" s="39" t="n">
        <f aca="false">Z176-Z187-Z198-Z209</f>
        <v>0</v>
      </c>
      <c r="AB176" s="39" t="n">
        <f aca="false">AA176-AA187-AA198-AA209</f>
        <v>0</v>
      </c>
      <c r="AC176" s="39" t="n">
        <f aca="false">AB176-AB187-AB198-AB209</f>
        <v>0</v>
      </c>
      <c r="AD176" s="39" t="n">
        <f aca="false">AC176-AC187-AC198-AC209</f>
        <v>0</v>
      </c>
      <c r="AE176" s="39" t="n">
        <f aca="false">AD176-AD187-AD198-AD209</f>
        <v>0</v>
      </c>
      <c r="AF176" s="39" t="n">
        <f aca="false">AE176-AE187-AE198-AE209</f>
        <v>0</v>
      </c>
      <c r="AG176" s="39" t="n">
        <f aca="false">AF176-AF187-AF198-AF209</f>
        <v>0</v>
      </c>
      <c r="AH176" s="39" t="n">
        <f aca="false">AG176-AG187-AG198-AG209</f>
        <v>0</v>
      </c>
      <c r="AI176" s="39" t="n">
        <f aca="false">AH176-AH187-AH198-AH209</f>
        <v>0</v>
      </c>
      <c r="AJ176" s="39" t="n">
        <f aca="false">AI176-AI187-AI198-AI209</f>
        <v>0</v>
      </c>
      <c r="AK176" s="39" t="n">
        <f aca="false">AJ176-AJ187-AJ198-AJ209</f>
        <v>0</v>
      </c>
      <c r="AL176" s="39" t="n">
        <f aca="false">AK176-AK187-AK198-AK209</f>
        <v>0</v>
      </c>
      <c r="AM176" s="39" t="n">
        <f aca="false">AL176-AL187-AL198-AL209</f>
        <v>0</v>
      </c>
      <c r="AN176" s="39" t="n">
        <f aca="false">AM176-AM187-AM198-AM209</f>
        <v>0</v>
      </c>
    </row>
    <row r="177" customFormat="false" ht="15" hidden="false" customHeight="false" outlineLevel="0" collapsed="false">
      <c r="B177" s="37" t="n">
        <v>8</v>
      </c>
      <c r="C177" s="38" t="n">
        <f aca="false">'Inputs &amp; Assumptions'!$C$147</f>
        <v>7</v>
      </c>
      <c r="D177" s="38" t="n">
        <f aca="false">'Inputs &amp; Assumptions'!$D$147</f>
        <v>3</v>
      </c>
      <c r="E177" s="39" t="n">
        <f aca="false">'Inputs &amp; Assumptions'!$G$147</f>
        <v>54760380</v>
      </c>
      <c r="F177" s="39" t="n">
        <f aca="false">E177-E188-E199-E210</f>
        <v>51325981.1478263</v>
      </c>
      <c r="G177" s="39" t="n">
        <f aca="false">F177-F188-F199-F210</f>
        <v>48180115.6885257</v>
      </c>
      <c r="H177" s="39" t="n">
        <f aca="false">G177-G188-G199-G210</f>
        <v>45227066.2118269</v>
      </c>
      <c r="I177" s="39" t="n">
        <f aca="false">H177-H188-H199-H210</f>
        <v>42455014.6652328</v>
      </c>
      <c r="J177" s="39" t="n">
        <f aca="false">I177-I188-I199-I210</f>
        <v>39852867.3468057</v>
      </c>
      <c r="K177" s="39" t="n">
        <f aca="false">J177-J188-J199-J210</f>
        <v>37500127.5228697</v>
      </c>
      <c r="L177" s="39" t="n">
        <f aca="false">K177-K188-K199-K210</f>
        <v>35286283.2175665</v>
      </c>
      <c r="M177" s="39" t="n">
        <f aca="false">L177-L188-L199-L210</f>
        <v>33203134.6440347</v>
      </c>
      <c r="N177" s="39" t="n">
        <f aca="false">M177-M188-M199-M210</f>
        <v>31242966.0951389</v>
      </c>
      <c r="O177" s="39" t="n">
        <f aca="false">N177-N188-N199-N210</f>
        <v>29460660.8745795</v>
      </c>
      <c r="P177" s="39" t="n">
        <f aca="false">O177-O188-O199-O210</f>
        <v>27780030.1201883</v>
      </c>
      <c r="Q177" s="39" t="n">
        <f aca="false">P177-P188-P199-P210</f>
        <v>26195273.648612</v>
      </c>
      <c r="R177" s="39" t="n">
        <f aca="false">Q177-Q188-Q199-Q210</f>
        <v>24700922.1572801</v>
      </c>
      <c r="S177" s="39" t="n">
        <f aca="false">R177-R188-R199-R210</f>
        <v>23324816.8635816</v>
      </c>
      <c r="T177" s="39" t="n">
        <f aca="false">S177-S188-S199-S210</f>
        <v>22025375.3384374</v>
      </c>
      <c r="U177" s="39" t="n">
        <f aca="false">T177-T188-T199-T210</f>
        <v>20798326.5907862</v>
      </c>
      <c r="V177" s="39" t="n">
        <f aca="false">U177-U188-U199-U210</f>
        <v>19639637.5694042</v>
      </c>
      <c r="W177" s="39" t="n">
        <f aca="false">V177-V188-V199-V210</f>
        <v>18569404.7579752</v>
      </c>
      <c r="X177" s="39" t="n">
        <f aca="false">W177-W188-W199-W210</f>
        <v>17557492.6903284</v>
      </c>
      <c r="Y177" s="39" t="n">
        <f aca="false">X177-X188-X199-X210</f>
        <v>16600723.2643545</v>
      </c>
      <c r="Z177" s="39" t="n">
        <f aca="false">Y177-Y188-Y199-Y210</f>
        <v>0</v>
      </c>
      <c r="AA177" s="39" t="n">
        <f aca="false">Z177-Z188-Z199-Z210</f>
        <v>0</v>
      </c>
      <c r="AB177" s="39" t="n">
        <f aca="false">AA177-AA188-AA199-AA210</f>
        <v>0</v>
      </c>
      <c r="AC177" s="39" t="n">
        <f aca="false">AB177-AB188-AB199-AB210</f>
        <v>0</v>
      </c>
      <c r="AD177" s="39" t="n">
        <f aca="false">AC177-AC188-AC199-AC210</f>
        <v>0</v>
      </c>
      <c r="AE177" s="39" t="n">
        <f aca="false">AD177-AD188-AD199-AD210</f>
        <v>0</v>
      </c>
      <c r="AF177" s="39" t="n">
        <f aca="false">AE177-AE188-AE199-AE210</f>
        <v>0</v>
      </c>
      <c r="AG177" s="39" t="n">
        <f aca="false">AF177-AF188-AF199-AF210</f>
        <v>0</v>
      </c>
      <c r="AH177" s="39" t="n">
        <f aca="false">AG177-AG188-AG199-AG210</f>
        <v>0</v>
      </c>
      <c r="AI177" s="39" t="n">
        <f aca="false">AH177-AH188-AH199-AH210</f>
        <v>0</v>
      </c>
      <c r="AJ177" s="39" t="n">
        <f aca="false">AI177-AI188-AI199-AI210</f>
        <v>0</v>
      </c>
      <c r="AK177" s="39" t="n">
        <f aca="false">AJ177-AJ188-AJ199-AJ210</f>
        <v>0</v>
      </c>
      <c r="AL177" s="39" t="n">
        <f aca="false">AK177-AK188-AK199-AK210</f>
        <v>0</v>
      </c>
      <c r="AM177" s="39" t="n">
        <f aca="false">AL177-AL188-AL199-AL210</f>
        <v>0</v>
      </c>
      <c r="AN177" s="39" t="n">
        <f aca="false">AM177-AM188-AM199-AM210</f>
        <v>0</v>
      </c>
    </row>
    <row r="178" customFormat="false" ht="15" hidden="false" customHeight="false" outlineLevel="0" collapsed="false">
      <c r="B178" s="37" t="n">
        <v>9</v>
      </c>
      <c r="C178" s="38" t="n">
        <f aca="false">'Inputs &amp; Assumptions'!$C$148</f>
        <v>8</v>
      </c>
      <c r="D178" s="38" t="n">
        <f aca="false">'Inputs &amp; Assumptions'!$D$148</f>
        <v>3</v>
      </c>
      <c r="E178" s="39" t="n">
        <f aca="false">'Inputs &amp; Assumptions'!$G$148</f>
        <v>53117568.6</v>
      </c>
      <c r="F178" s="39" t="n">
        <f aca="false">E178-E189-E200-E211</f>
        <v>49861893.3921652</v>
      </c>
      <c r="G178" s="39" t="n">
        <f aca="false">F178-F189-F200-F211</f>
        <v>46805764.6119678</v>
      </c>
      <c r="H178" s="39" t="n">
        <f aca="false">G178-G189-G200-G211</f>
        <v>43936951.6853359</v>
      </c>
      <c r="I178" s="39" t="n">
        <f aca="false">H178-H189-H200-H211</f>
        <v>41243973.6729767</v>
      </c>
      <c r="J178" s="39" t="n">
        <f aca="false">I178-I189-I200-I211</f>
        <v>38809108.9864951</v>
      </c>
      <c r="K178" s="39" t="n">
        <f aca="false">J178-J189-J200-J211</f>
        <v>36517988.1130728</v>
      </c>
      <c r="L178" s="39" t="n">
        <f aca="false">K178-K189-K200-K211</f>
        <v>34362125.0436485</v>
      </c>
      <c r="M178" s="39" t="n">
        <f aca="false">L178-L189-L200-L211</f>
        <v>32333534.7461993</v>
      </c>
      <c r="N178" s="39" t="n">
        <f aca="false">M178-M189-M200-M211</f>
        <v>30489016.28397</v>
      </c>
      <c r="O178" s="39" t="n">
        <f aca="false">N178-N189-N200-N211</f>
        <v>28749721.3422809</v>
      </c>
      <c r="P178" s="39" t="n">
        <f aca="false">O178-O189-O200-O211</f>
        <v>27109647.2762674</v>
      </c>
      <c r="Q178" s="39" t="n">
        <f aca="false">P178-P189-P200-P211</f>
        <v>25563133.87159</v>
      </c>
      <c r="R178" s="39" t="n">
        <f aca="false">Q178-Q189-Q200-Q211</f>
        <v>24138994.1726658</v>
      </c>
      <c r="S178" s="39" t="n">
        <f aca="false">R178-R189-R200-R211</f>
        <v>22794194.271915</v>
      </c>
      <c r="T178" s="39" t="n">
        <f aca="false">S178-S189-S200-S211</f>
        <v>21524314.094833</v>
      </c>
      <c r="U178" s="39" t="n">
        <f aca="false">T178-T189-T200-T211</f>
        <v>20325179.8122937</v>
      </c>
      <c r="V178" s="39" t="n">
        <f aca="false">U178-U189-U200-U211</f>
        <v>19217589.3969187</v>
      </c>
      <c r="W178" s="39" t="n">
        <f aca="false">V178-V189-V200-V211</f>
        <v>18170355.4723378</v>
      </c>
      <c r="X178" s="39" t="n">
        <f aca="false">W178-W189-W200-W211</f>
        <v>17180189.0014393</v>
      </c>
      <c r="Y178" s="39" t="n">
        <f aca="false">X178-X189-X200-X211</f>
        <v>0</v>
      </c>
      <c r="Z178" s="39" t="n">
        <f aca="false">Y178-Y189-Y200-Y211</f>
        <v>0</v>
      </c>
      <c r="AA178" s="39" t="n">
        <f aca="false">Z178-Z189-Z200-Z211</f>
        <v>0</v>
      </c>
      <c r="AB178" s="39" t="n">
        <f aca="false">AA178-AA189-AA200-AA211</f>
        <v>0</v>
      </c>
      <c r="AC178" s="39" t="n">
        <f aca="false">AB178-AB189-AB200-AB211</f>
        <v>0</v>
      </c>
      <c r="AD178" s="39" t="n">
        <f aca="false">AC178-AC189-AC200-AC211</f>
        <v>0</v>
      </c>
      <c r="AE178" s="39" t="n">
        <f aca="false">AD178-AD189-AD200-AD211</f>
        <v>0</v>
      </c>
      <c r="AF178" s="39" t="n">
        <f aca="false">AE178-AE189-AE200-AE211</f>
        <v>0</v>
      </c>
      <c r="AG178" s="39" t="n">
        <f aca="false">AF178-AF189-AF200-AF211</f>
        <v>0</v>
      </c>
      <c r="AH178" s="39" t="n">
        <f aca="false">AG178-AG189-AG200-AG211</f>
        <v>0</v>
      </c>
      <c r="AI178" s="39" t="n">
        <f aca="false">AH178-AH189-AH200-AH211</f>
        <v>0</v>
      </c>
      <c r="AJ178" s="39" t="n">
        <f aca="false">AI178-AI189-AI200-AI211</f>
        <v>0</v>
      </c>
      <c r="AK178" s="39" t="n">
        <f aca="false">AJ178-AJ189-AJ200-AJ211</f>
        <v>0</v>
      </c>
      <c r="AL178" s="39" t="n">
        <f aca="false">AK178-AK189-AK200-AK211</f>
        <v>0</v>
      </c>
      <c r="AM178" s="39" t="n">
        <f aca="false">AL178-AL189-AL200-AL211</f>
        <v>0</v>
      </c>
      <c r="AN178" s="39" t="n">
        <f aca="false">AM178-AM189-AM200-AM211</f>
        <v>0</v>
      </c>
    </row>
    <row r="179" customFormat="false" ht="15" hidden="false" customHeight="false" outlineLevel="0" collapsed="false">
      <c r="B179" s="37" t="n">
        <v>10</v>
      </c>
      <c r="C179" s="38" t="n">
        <f aca="false">'Inputs &amp; Assumptions'!$C$149</f>
        <v>9</v>
      </c>
      <c r="D179" s="38" t="n">
        <f aca="false">'Inputs &amp; Assumptions'!$D$149</f>
        <v>3</v>
      </c>
      <c r="E179" s="39" t="n">
        <f aca="false">'Inputs &amp; Assumptions'!$G$149</f>
        <v>51524041.542</v>
      </c>
      <c r="F179" s="39" t="n">
        <f aca="false">E179-E190-E201-E212</f>
        <v>48366036.5904003</v>
      </c>
      <c r="G179" s="39" t="n">
        <f aca="false">F179-F190-F201-F212</f>
        <v>45401591.6736087</v>
      </c>
      <c r="H179" s="39" t="n">
        <f aca="false">G179-G190-G201-G212</f>
        <v>42618843.1347759</v>
      </c>
      <c r="I179" s="39" t="n">
        <f aca="false">H179-H190-H201-H212</f>
        <v>40102812.1395481</v>
      </c>
      <c r="J179" s="39" t="n">
        <f aca="false">I179-I190-I201-I212</f>
        <v>37735316.6629623</v>
      </c>
      <c r="K179" s="39" t="n">
        <f aca="false">J179-J190-J201-J212</f>
        <v>35507587.814516</v>
      </c>
      <c r="L179" s="39" t="n">
        <f aca="false">K179-K190-K201-K212</f>
        <v>33411374.3808342</v>
      </c>
      <c r="M179" s="39" t="n">
        <f aca="false">L179-L190-L201-L212</f>
        <v>31505368.8241374</v>
      </c>
      <c r="N179" s="39" t="n">
        <f aca="false">M179-M190-M201-M212</f>
        <v>29708094.4181185</v>
      </c>
      <c r="O179" s="39" t="n">
        <f aca="false">N179-N190-N201-N212</f>
        <v>28013348.4195136</v>
      </c>
      <c r="P179" s="39" t="n">
        <f aca="false">O179-O190-O201-O212</f>
        <v>26415281.9305186</v>
      </c>
      <c r="Q179" s="39" t="n">
        <f aca="false">P179-P190-P201-P212</f>
        <v>24943668.4795037</v>
      </c>
      <c r="R179" s="39" t="n">
        <f aca="false">Q179-Q190-Q201-Q212</f>
        <v>23554039.6219111</v>
      </c>
      <c r="S179" s="39" t="n">
        <f aca="false">R179-R190-R201-R212</f>
        <v>22241827.9398811</v>
      </c>
      <c r="T179" s="39" t="n">
        <f aca="false">S179-S190-S201-S212</f>
        <v>21002720.4695318</v>
      </c>
      <c r="U179" s="39" t="n">
        <f aca="false">T179-T190-T201-T212</f>
        <v>19858208.4847087</v>
      </c>
      <c r="V179" s="39" t="n">
        <f aca="false">U179-U190-U201-U212</f>
        <v>18776064.976641</v>
      </c>
      <c r="W179" s="39" t="n">
        <f aca="false">V179-V190-V201-V212</f>
        <v>17752891.2680371</v>
      </c>
      <c r="X179" s="39" t="n">
        <f aca="false">W179-W190-W201-W212</f>
        <v>0</v>
      </c>
      <c r="Y179" s="39" t="n">
        <f aca="false">X179-X190-X201-X212</f>
        <v>0</v>
      </c>
      <c r="Z179" s="39" t="n">
        <f aca="false">Y179-Y190-Y201-Y212</f>
        <v>0</v>
      </c>
      <c r="AA179" s="39" t="n">
        <f aca="false">Z179-Z190-Z201-Z212</f>
        <v>0</v>
      </c>
      <c r="AB179" s="39" t="n">
        <f aca="false">AA179-AA190-AA201-AA212</f>
        <v>0</v>
      </c>
      <c r="AC179" s="39" t="n">
        <f aca="false">AB179-AB190-AB201-AB212</f>
        <v>0</v>
      </c>
      <c r="AD179" s="39" t="n">
        <f aca="false">AC179-AC190-AC201-AC212</f>
        <v>0</v>
      </c>
      <c r="AE179" s="39" t="n">
        <f aca="false">AD179-AD190-AD201-AD212</f>
        <v>0</v>
      </c>
      <c r="AF179" s="39" t="n">
        <f aca="false">AE179-AE190-AE201-AE212</f>
        <v>0</v>
      </c>
      <c r="AG179" s="39" t="n">
        <f aca="false">AF179-AF190-AF201-AF212</f>
        <v>0</v>
      </c>
      <c r="AH179" s="39" t="n">
        <f aca="false">AG179-AG190-AG201-AG212</f>
        <v>0</v>
      </c>
      <c r="AI179" s="39" t="n">
        <f aca="false">AH179-AH190-AH201-AH212</f>
        <v>0</v>
      </c>
      <c r="AJ179" s="39" t="n">
        <f aca="false">AI179-AI190-AI201-AI212</f>
        <v>0</v>
      </c>
      <c r="AK179" s="39" t="n">
        <f aca="false">AJ179-AJ190-AJ201-AJ212</f>
        <v>0</v>
      </c>
      <c r="AL179" s="39" t="n">
        <f aca="false">AK179-AK190-AK201-AK212</f>
        <v>0</v>
      </c>
      <c r="AM179" s="39" t="n">
        <f aca="false">AL179-AL190-AL201-AL212</f>
        <v>0</v>
      </c>
      <c r="AN179" s="39" t="n">
        <f aca="false">AM179-AM190-AM201-AM212</f>
        <v>0</v>
      </c>
    </row>
    <row r="180" customFormat="false" ht="15" hidden="false" customHeight="false" outlineLevel="0" collapsed="false">
      <c r="B180" s="37" t="n">
        <v>11</v>
      </c>
      <c r="C180" s="38" t="n">
        <f aca="false">'Inputs &amp; Assumptions'!$C$150</f>
        <v>10</v>
      </c>
      <c r="D180" s="38" t="n">
        <f aca="false">'Inputs &amp; Assumptions'!$D$150</f>
        <v>2</v>
      </c>
      <c r="E180" s="39" t="n">
        <f aca="false">'Inputs &amp; Assumptions'!$G$150</f>
        <v>33318880.19716</v>
      </c>
      <c r="F180" s="39" t="n">
        <f aca="false">E180-E191-E202-E213</f>
        <v>31276703.6617922</v>
      </c>
      <c r="G180" s="39" t="n">
        <f aca="false">F180-F191-F202-F213</f>
        <v>29359695.9489337</v>
      </c>
      <c r="H180" s="39" t="n">
        <f aca="false">G180-G191-G202-G213</f>
        <v>27626427.2915847</v>
      </c>
      <c r="I180" s="39" t="n">
        <f aca="false">H180-H191-H202-H213</f>
        <v>25995483.271513</v>
      </c>
      <c r="J180" s="39" t="n">
        <f aca="false">I180-I191-I202-I213</f>
        <v>24460823.0875137</v>
      </c>
      <c r="K180" s="39" t="n">
        <f aca="false">J180-J191-J202-J213</f>
        <v>23016762.5609916</v>
      </c>
      <c r="L180" s="39" t="n">
        <f aca="false">K180-K191-K202-K213</f>
        <v>21703734.3437631</v>
      </c>
      <c r="M180" s="39" t="n">
        <f aca="false">L180-L191-L202-L213</f>
        <v>20465609.9317361</v>
      </c>
      <c r="N180" s="39" t="n">
        <f aca="false">M180-M191-M202-M213</f>
        <v>19298116.3169432</v>
      </c>
      <c r="O180" s="39" t="n">
        <f aca="false">N180-N191-N202-N213</f>
        <v>18197224.2520249</v>
      </c>
      <c r="P180" s="39" t="n">
        <f aca="false">O180-O191-O202-O213</f>
        <v>17183444.4237098</v>
      </c>
      <c r="Q180" s="39" t="n">
        <f aca="false">P180-P191-P202-P213</f>
        <v>16226142.964077</v>
      </c>
      <c r="R180" s="39" t="n">
        <f aca="false">Q180-Q191-Q202-Q213</f>
        <v>15322173.424519</v>
      </c>
      <c r="S180" s="39" t="n">
        <f aca="false">R180-R191-R202-R213</f>
        <v>14468564.6472356</v>
      </c>
      <c r="T180" s="39" t="n">
        <f aca="false">S180-S191-S202-S213</f>
        <v>13680121.756422</v>
      </c>
      <c r="U180" s="39" t="n">
        <f aca="false">T180-T191-T202-T213</f>
        <v>12934643.8871727</v>
      </c>
      <c r="V180" s="39" t="n">
        <f aca="false">U180-U191-U202-U213</f>
        <v>12229789.7246006</v>
      </c>
      <c r="W180" s="39" t="n">
        <f aca="false">V180-V191-V202-V213</f>
        <v>0</v>
      </c>
      <c r="X180" s="39" t="n">
        <f aca="false">W180-W191-W202-W213</f>
        <v>0</v>
      </c>
      <c r="Y180" s="39" t="n">
        <f aca="false">X180-X191-X202-X213</f>
        <v>0</v>
      </c>
      <c r="Z180" s="39" t="n">
        <f aca="false">Y180-Y191-Y202-Y213</f>
        <v>0</v>
      </c>
      <c r="AA180" s="39" t="n">
        <f aca="false">Z180-Z191-Z202-Z213</f>
        <v>0</v>
      </c>
      <c r="AB180" s="39" t="n">
        <f aca="false">AA180-AA191-AA202-AA213</f>
        <v>0</v>
      </c>
      <c r="AC180" s="39" t="n">
        <f aca="false">AB180-AB191-AB202-AB213</f>
        <v>0</v>
      </c>
      <c r="AD180" s="39" t="n">
        <f aca="false">AC180-AC191-AC202-AC213</f>
        <v>0</v>
      </c>
      <c r="AE180" s="39" t="n">
        <f aca="false">AD180-AD191-AD202-AD213</f>
        <v>0</v>
      </c>
      <c r="AF180" s="39" t="n">
        <f aca="false">AE180-AE191-AE202-AE213</f>
        <v>0</v>
      </c>
      <c r="AG180" s="39" t="n">
        <f aca="false">AF180-AF191-AF202-AF213</f>
        <v>0</v>
      </c>
      <c r="AH180" s="39" t="n">
        <f aca="false">AG180-AG191-AG202-AG213</f>
        <v>0</v>
      </c>
      <c r="AI180" s="39" t="n">
        <f aca="false">AH180-AH191-AH202-AH213</f>
        <v>0</v>
      </c>
      <c r="AJ180" s="39" t="n">
        <f aca="false">AI180-AI191-AI202-AI213</f>
        <v>0</v>
      </c>
      <c r="AK180" s="39" t="n">
        <f aca="false">AJ180-AJ191-AJ202-AJ213</f>
        <v>0</v>
      </c>
      <c r="AL180" s="39" t="n">
        <f aca="false">AK180-AK191-AK202-AK213</f>
        <v>0</v>
      </c>
      <c r="AM180" s="39" t="n">
        <f aca="false">AL180-AL191-AL202-AL213</f>
        <v>0</v>
      </c>
      <c r="AN180" s="39" t="n">
        <f aca="false">AM180-AM191-AM202-AM213</f>
        <v>0</v>
      </c>
    </row>
    <row r="181" customFormat="false" ht="15" hidden="false" customHeight="false" outlineLevel="0" collapsed="false">
      <c r="A181" s="14" t="s">
        <v>128</v>
      </c>
      <c r="B181" s="37" t="n">
        <v>1</v>
      </c>
      <c r="C181" s="38" t="n">
        <f aca="false">'Inputs &amp; Assumptions'!$C$140</f>
        <v>0</v>
      </c>
      <c r="D181" s="38" t="n">
        <f aca="false">'Inputs &amp; Assumptions'!$D$140</f>
        <v>1</v>
      </c>
      <c r="E181" s="39" t="n">
        <f aca="false">IF(1&lt;='Inputs &amp; Assumptions'!$E$140,'Inputs &amp; Assumptions'!$D$59*INDEX('Inputs &amp; Assumptions'!$C$26:$I$26,CEILING(('Inputs &amp; Assumptions'!$C$140+1)/4,1))*E170,0)</f>
        <v>198750</v>
      </c>
      <c r="F181" s="39" t="n">
        <f aca="false">IF(2&lt;='Inputs &amp; Assumptions'!$E$140,'Inputs &amp; Assumptions'!$D$59*INDEX('Inputs &amp; Assumptions'!$C$26:$I$26,CEILING(('Inputs &amp; Assumptions'!$C$140+2)/4,1))*F170,0)</f>
        <v>192715.526338495</v>
      </c>
      <c r="G181" s="39" t="n">
        <f aca="false">IF(3&lt;='Inputs &amp; Assumptions'!$E$140,'Inputs &amp; Assumptions'!$D$59*INDEX('Inputs &amp; Assumptions'!$C$26:$I$26,CEILING(('Inputs &amp; Assumptions'!$C$140+3)/4,1))*G170,0)</f>
        <v>186864.27216062</v>
      </c>
      <c r="H181" s="39" t="n">
        <f aca="false">IF(4&lt;='Inputs &amp; Assumptions'!$E$140,'Inputs &amp; Assumptions'!$D$59*INDEX('Inputs &amp; Assumptions'!$C$26:$I$26,CEILING(('Inputs &amp; Assumptions'!$C$140+4)/4,1))*H170,0)</f>
        <v>181190.674532295</v>
      </c>
      <c r="I181" s="39" t="n">
        <f aca="false">IF(5&lt;='Inputs &amp; Assumptions'!$E$140,'Inputs &amp; Assumptions'!$D$59*INDEX('Inputs &amp; Assumptions'!$C$26:$I$26,CEILING(('Inputs &amp; Assumptions'!$C$140+5)/4,1))*I170,0)</f>
        <v>236462.381360399</v>
      </c>
      <c r="J181" s="39" t="n">
        <f aca="false">IF(6&lt;='Inputs &amp; Assumptions'!$E$140,'Inputs &amp; Assumptions'!$D$59*INDEX('Inputs &amp; Assumptions'!$C$26:$I$26,CEILING(('Inputs &amp; Assumptions'!$C$140+6)/4,1))*J170,0)</f>
        <v>221632.204303074</v>
      </c>
      <c r="K181" s="39" t="n">
        <f aca="false">IF(7&lt;='Inputs &amp; Assumptions'!$E$140,'Inputs &amp; Assumptions'!$D$59*INDEX('Inputs &amp; Assumptions'!$C$26:$I$26,CEILING(('Inputs &amp; Assumptions'!$C$140+7)/4,1))*K170,0)</f>
        <v>207732.129320702</v>
      </c>
      <c r="L181" s="39" t="n">
        <f aca="false">IF(8&lt;='Inputs &amp; Assumptions'!$E$140,'Inputs &amp; Assumptions'!$D$59*INDEX('Inputs &amp; Assumptions'!$C$26:$I$26,CEILING(('Inputs &amp; Assumptions'!$C$140+8)/4,1))*L170,0)</f>
        <v>194703.823335634</v>
      </c>
      <c r="M181" s="39" t="n">
        <f aca="false">IF(9&lt;='Inputs &amp; Assumptions'!$E$140,'Inputs &amp; Assumptions'!$D$59*INDEX('Inputs &amp; Assumptions'!$C$26:$I$26,CEILING(('Inputs &amp; Assumptions'!$C$140+9)/4,1))*M170,0)</f>
        <v>162026.150608004</v>
      </c>
      <c r="N181" s="39" t="n">
        <f aca="false">IF(10&lt;='Inputs &amp; Assumptions'!$E$140,'Inputs &amp; Assumptions'!$D$59*INDEX('Inputs &amp; Assumptions'!$C$26:$I$26,CEILING(('Inputs &amp; Assumptions'!$C$140+10)/4,1))*N170,0)</f>
        <v>152095.264547918</v>
      </c>
      <c r="O181" s="39" t="n">
        <f aca="false">IF(11&lt;='Inputs &amp; Assumptions'!$E$140,'Inputs &amp; Assumptions'!$D$59*INDEX('Inputs &amp; Assumptions'!$C$26:$I$26,CEILING(('Inputs &amp; Assumptions'!$C$140+11)/4,1))*O170,0)</f>
        <v>142773.061083625</v>
      </c>
      <c r="P181" s="39" t="n">
        <f aca="false">IF(12&lt;='Inputs &amp; Assumptions'!$E$140,'Inputs &amp; Assumptions'!$D$59*INDEX('Inputs &amp; Assumptions'!$C$26:$I$26,CEILING(('Inputs &amp; Assumptions'!$C$140+12)/4,1))*P170,0)</f>
        <v>134022.232919464</v>
      </c>
      <c r="Q181" s="39" t="n">
        <f aca="false">IF(13&lt;='Inputs &amp; Assumptions'!$E$140,'Inputs &amp; Assumptions'!$D$59*INDEX('Inputs &amp; Assumptions'!$C$26:$I$26,CEILING(('Inputs &amp; Assumptions'!$C$140+13)/4,1))*Q170,0)</f>
        <v>100646.207515007</v>
      </c>
      <c r="R181" s="39" t="n">
        <f aca="false">IF(14&lt;='Inputs &amp; Assumptions'!$E$140,'Inputs &amp; Assumptions'!$D$59*INDEX('Inputs &amp; Assumptions'!$C$26:$I$26,CEILING(('Inputs &amp; Assumptions'!$C$140+14)/4,1))*R170,0)</f>
        <v>94704.4934975924</v>
      </c>
      <c r="S181" s="39" t="n">
        <f aca="false">IF(15&lt;='Inputs &amp; Assumptions'!$E$140,'Inputs &amp; Assumptions'!$D$59*INDEX('Inputs &amp; Assumptions'!$C$26:$I$26,CEILING(('Inputs &amp; Assumptions'!$C$140+15)/4,1))*S170,0)</f>
        <v>89113.5524137679</v>
      </c>
      <c r="T181" s="39" t="n">
        <f aca="false">IF(16&lt;='Inputs &amp; Assumptions'!$E$140,'Inputs &amp; Assumptions'!$D$59*INDEX('Inputs &amp; Assumptions'!$C$26:$I$26,CEILING(('Inputs &amp; Assumptions'!$C$140+16)/4,1))*T170,0)</f>
        <v>83852.6761563139</v>
      </c>
      <c r="U181" s="39" t="n">
        <f aca="false">IF(17&lt;='Inputs &amp; Assumptions'!$E$140,'Inputs &amp; Assumptions'!$D$59*INDEX('Inputs &amp; Assumptions'!$C$26:$I$26,CEILING(('Inputs &amp; Assumptions'!$C$140+17)/4,1))*U170,0)</f>
        <v>61512.710048957</v>
      </c>
      <c r="V181" s="39" t="n">
        <f aca="false">IF(18&lt;='Inputs &amp; Assumptions'!$E$140,'Inputs &amp; Assumptions'!$D$59*INDEX('Inputs &amp; Assumptions'!$C$26:$I$26,CEILING(('Inputs &amp; Assumptions'!$C$140+18)/4,1))*V170,0)</f>
        <v>58003.6186292383</v>
      </c>
      <c r="W181" s="39" t="n">
        <f aca="false">IF(19&lt;='Inputs &amp; Assumptions'!$E$140,'Inputs &amp; Assumptions'!$D$59*INDEX('Inputs &amp; Assumptions'!$C$26:$I$26,CEILING(('Inputs &amp; Assumptions'!$C$140+19)/4,1))*W170,0)</f>
        <v>54694.7089700395</v>
      </c>
      <c r="X181" s="39" t="n">
        <f aca="false">IF(20&lt;='Inputs &amp; Assumptions'!$E$140,'Inputs &amp; Assumptions'!$D$59*INDEX('Inputs &amp; Assumptions'!$C$26:$I$26,CEILING(('Inputs &amp; Assumptions'!$C$140+20)/4,1))*X170,0)</f>
        <v>51574.5613810612</v>
      </c>
      <c r="Y181" s="39" t="n">
        <f aca="false">IF(21&lt;='Inputs &amp; Assumptions'!$E$140,'Inputs &amp; Assumptions'!$D$59*INDEX('Inputs &amp; Assumptions'!$C$26:$I$26,CEILING(('Inputs &amp; Assumptions'!$C$140+21)/4,1))*Y170,0)</f>
        <v>39398.406178506</v>
      </c>
      <c r="Z181" s="39" t="n">
        <f aca="false">IF(22&lt;='Inputs &amp; Assumptions'!$E$140,'Inputs &amp; Assumptions'!$D$59*INDEX('Inputs &amp; Assumptions'!$C$26:$I$26,CEILING(('Inputs &amp; Assumptions'!$C$140+22)/4,1))*Z170,0)</f>
        <v>37203.4939820985</v>
      </c>
      <c r="AA181" s="39" t="n">
        <f aca="false">IF(23&lt;='Inputs &amp; Assumptions'!$E$140,'Inputs &amp; Assumptions'!$D$59*INDEX('Inputs &amp; Assumptions'!$C$26:$I$26,CEILING(('Inputs &amp; Assumptions'!$C$140+23)/4,1))*AA170,0)</f>
        <v>35130.8618476841</v>
      </c>
      <c r="AB181" s="39" t="n">
        <f aca="false">IF(24&lt;='Inputs &amp; Assumptions'!$E$140,'Inputs &amp; Assumptions'!$D$59*INDEX('Inputs &amp; Assumptions'!$C$26:$I$26,CEILING(('Inputs &amp; Assumptions'!$C$140+24)/4,1))*AB170,0)</f>
        <v>33173.6974692465</v>
      </c>
      <c r="AC181" s="39" t="n">
        <f aca="false">IF(25&lt;='Inputs &amp; Assumptions'!$E$140,'Inputs &amp; Assumptions'!$D$59*INDEX('Inputs &amp; Assumptions'!$C$26:$I$26,CEILING(('Inputs &amp; Assumptions'!$C$140+25)/4,1))*AC170,0)</f>
        <v>24636.254046404</v>
      </c>
      <c r="AD181" s="39" t="n">
        <f aca="false">IF(26&lt;='Inputs &amp; Assumptions'!$E$140,'Inputs &amp; Assumptions'!$D$59*INDEX('Inputs &amp; Assumptions'!$C$26:$I$26,CEILING(('Inputs &amp; Assumptions'!$C$140+26)/4,1))*AD170,0)</f>
        <v>23293.7380586224</v>
      </c>
      <c r="AE181" s="39" t="n">
        <f aca="false">IF(27&lt;='Inputs &amp; Assumptions'!$E$140,'Inputs &amp; Assumptions'!$D$59*INDEX('Inputs &amp; Assumptions'!$C$26:$I$26,CEILING(('Inputs &amp; Assumptions'!$C$140+27)/4,1))*AE170,0)</f>
        <v>22024.3804809649</v>
      </c>
      <c r="AF181" s="39" t="n">
        <f aca="false">IF(28&lt;='Inputs &amp; Assumptions'!$E$140,'Inputs &amp; Assumptions'!$D$59*INDEX('Inputs &amp; Assumptions'!$C$26:$I$26,CEILING(('Inputs &amp; Assumptions'!$C$140+28)/4,1))*AF170,0)</f>
        <v>20824.1946547842</v>
      </c>
      <c r="AG181" s="39" t="n">
        <f aca="false">IF(29&lt;='Inputs &amp; Assumptions'!$E$140,'Inputs &amp; Assumptions'!$D$59*INDEX('Inputs &amp; Assumptions'!$C$26:$I$26,CEILING(('Inputs &amp; Assumptions'!$C$140+29)/4,1))*AG170,0)</f>
        <v>0</v>
      </c>
      <c r="AH181" s="39" t="n">
        <f aca="false">IF(30&lt;='Inputs &amp; Assumptions'!$E$140,'Inputs &amp; Assumptions'!$D$59*INDEX('Inputs &amp; Assumptions'!$C$26:$I$26,CEILING(('Inputs &amp; Assumptions'!$C$140+30)/4,1))*AH170,0)</f>
        <v>0</v>
      </c>
      <c r="AI181" s="39" t="n">
        <f aca="false">IF(31&lt;='Inputs &amp; Assumptions'!$E$140,'Inputs &amp; Assumptions'!$D$59*INDEX('Inputs &amp; Assumptions'!$C$26:$I$26,CEILING(('Inputs &amp; Assumptions'!$C$140+31)/4,1))*AI170,0)</f>
        <v>0</v>
      </c>
      <c r="AJ181" s="39" t="n">
        <f aca="false">IF(32&lt;='Inputs &amp; Assumptions'!$E$140,'Inputs &amp; Assumptions'!$D$59*INDEX('Inputs &amp; Assumptions'!$C$26:$I$26,CEILING(('Inputs &amp; Assumptions'!$C$140+32)/4,1))*AJ170,0)</f>
        <v>0</v>
      </c>
      <c r="AK181" s="39" t="n">
        <f aca="false">IF(33&lt;='Inputs &amp; Assumptions'!$E$140,'Inputs &amp; Assumptions'!$D$59*INDEX('Inputs &amp; Assumptions'!$C$26:$I$26,CEILING(('Inputs &amp; Assumptions'!$C$140+33)/4,1))*AK170,0)</f>
        <v>0</v>
      </c>
      <c r="AL181" s="39" t="n">
        <f aca="false">IF(34&lt;='Inputs &amp; Assumptions'!$E$140,'Inputs &amp; Assumptions'!$D$59*INDEX('Inputs &amp; Assumptions'!$C$26:$I$26,CEILING(('Inputs &amp; Assumptions'!$C$140+34)/4,1))*AL170,0)</f>
        <v>0</v>
      </c>
      <c r="AM181" s="39" t="n">
        <f aca="false">IF(35&lt;='Inputs &amp; Assumptions'!$E$140,'Inputs &amp; Assumptions'!$D$59*INDEX('Inputs &amp; Assumptions'!$C$26:$I$26,CEILING(('Inputs &amp; Assumptions'!$C$140+35)/4,1))*AM170,0)</f>
        <v>0</v>
      </c>
      <c r="AN181" s="39" t="n">
        <f aca="false">IF(36&lt;='Inputs &amp; Assumptions'!$E$140,'Inputs &amp; Assumptions'!$D$59*INDEX('Inputs &amp; Assumptions'!$C$26:$I$26,CEILING(('Inputs &amp; Assumptions'!$C$140+36)/4,1))*AN170,0)</f>
        <v>0</v>
      </c>
    </row>
    <row r="182" customFormat="false" ht="15" hidden="false" customHeight="false" outlineLevel="0" collapsed="false">
      <c r="B182" s="37" t="n">
        <v>2</v>
      </c>
      <c r="C182" s="38" t="n">
        <f aca="false">'Inputs &amp; Assumptions'!$C$141</f>
        <v>1</v>
      </c>
      <c r="D182" s="38" t="n">
        <f aca="false">'Inputs &amp; Assumptions'!$D$141</f>
        <v>3</v>
      </c>
      <c r="E182" s="39" t="n">
        <f aca="false">IF(1&lt;='Inputs &amp; Assumptions'!$E$141,'Inputs &amp; Assumptions'!$D$59*INDEX('Inputs &amp; Assumptions'!$C$26:$I$26,CEILING(('Inputs &amp; Assumptions'!$C$141+1)/4,1))*E171,0)</f>
        <v>596250</v>
      </c>
      <c r="F182" s="39" t="n">
        <f aca="false">IF(2&lt;='Inputs &amp; Assumptions'!$E$141,'Inputs &amp; Assumptions'!$D$59*INDEX('Inputs &amp; Assumptions'!$C$26:$I$26,CEILING(('Inputs &amp; Assumptions'!$C$141+2)/4,1))*F171,0)</f>
        <v>578146.579015486</v>
      </c>
      <c r="G182" s="39" t="n">
        <f aca="false">IF(3&lt;='Inputs &amp; Assumptions'!$E$141,'Inputs &amp; Assumptions'!$D$59*INDEX('Inputs &amp; Assumptions'!$C$26:$I$26,CEILING(('Inputs &amp; Assumptions'!$C$141+3)/4,1))*G171,0)</f>
        <v>560592.81648186</v>
      </c>
      <c r="H182" s="39" t="n">
        <f aca="false">IF(4&lt;='Inputs &amp; Assumptions'!$E$141,'Inputs &amp; Assumptions'!$D$59*INDEX('Inputs &amp; Assumptions'!$C$26:$I$26,CEILING(('Inputs &amp; Assumptions'!$C$141+4)/4,1))*H171,0)</f>
        <v>731600.082073797</v>
      </c>
      <c r="I182" s="39" t="n">
        <f aca="false">IF(5&lt;='Inputs &amp; Assumptions'!$E$141,'Inputs &amp; Assumptions'!$D$59*INDEX('Inputs &amp; Assumptions'!$C$26:$I$26,CEILING(('Inputs &amp; Assumptions'!$C$141+5)/4,1))*I171,0)</f>
        <v>685716.425274403</v>
      </c>
      <c r="J182" s="39" t="n">
        <f aca="false">IF(6&lt;='Inputs &amp; Assumptions'!$E$141,'Inputs &amp; Assumptions'!$D$59*INDEX('Inputs &amp; Assumptions'!$C$26:$I$26,CEILING(('Inputs &amp; Assumptions'!$C$141+6)/4,1))*J171,0)</f>
        <v>642710.447158856</v>
      </c>
      <c r="K182" s="39" t="n">
        <f aca="false">IF(7&lt;='Inputs &amp; Assumptions'!$E$141,'Inputs &amp; Assumptions'!$D$59*INDEX('Inputs &amp; Assumptions'!$C$26:$I$26,CEILING(('Inputs &amp; Assumptions'!$C$141+7)/4,1))*K171,0)</f>
        <v>602401.668768304</v>
      </c>
      <c r="L182" s="39" t="n">
        <f aca="false">IF(8&lt;='Inputs &amp; Assumptions'!$E$141,'Inputs &amp; Assumptions'!$D$59*INDEX('Inputs &amp; Assumptions'!$C$26:$I$26,CEILING(('Inputs &amp; Assumptions'!$C$141+8)/4,1))*L171,0)</f>
        <v>501298.956734472</v>
      </c>
      <c r="M182" s="39" t="n">
        <f aca="false">IF(9&lt;='Inputs &amp; Assumptions'!$E$141,'Inputs &amp; Assumptions'!$D$59*INDEX('Inputs &amp; Assumptions'!$C$26:$I$26,CEILING(('Inputs &amp; Assumptions'!$C$141+9)/4,1))*M171,0)</f>
        <v>470573.405317688</v>
      </c>
      <c r="N182" s="39" t="n">
        <f aca="false">IF(10&lt;='Inputs &amp; Assumptions'!$E$141,'Inputs &amp; Assumptions'!$D$59*INDEX('Inputs &amp; Assumptions'!$C$26:$I$26,CEILING(('Inputs &amp; Assumptions'!$C$141+10)/4,1))*N171,0)</f>
        <v>441731.080460989</v>
      </c>
      <c r="O182" s="39" t="n">
        <f aca="false">IF(11&lt;='Inputs &amp; Assumptions'!$E$141,'Inputs &amp; Assumptions'!$D$59*INDEX('Inputs &amp; Assumptions'!$C$26:$I$26,CEILING(('Inputs &amp; Assumptions'!$C$141+11)/4,1))*O171,0)</f>
        <v>414656.555683383</v>
      </c>
      <c r="P182" s="39" t="n">
        <f aca="false">IF(12&lt;='Inputs &amp; Assumptions'!$E$141,'Inputs &amp; Assumptions'!$D$59*INDEX('Inputs &amp; Assumptions'!$C$26:$I$26,CEILING(('Inputs &amp; Assumptions'!$C$141+12)/4,1))*P171,0)</f>
        <v>311393.183367165</v>
      </c>
      <c r="Q182" s="39" t="n">
        <f aca="false">IF(13&lt;='Inputs &amp; Assumptions'!$E$141,'Inputs &amp; Assumptions'!$D$59*INDEX('Inputs &amp; Assumptions'!$C$26:$I$26,CEILING(('Inputs &amp; Assumptions'!$C$141+13)/4,1))*Q171,0)</f>
        <v>293009.885196053</v>
      </c>
      <c r="R182" s="39" t="n">
        <f aca="false">IF(14&lt;='Inputs &amp; Assumptions'!$E$141,'Inputs &amp; Assumptions'!$D$59*INDEX('Inputs &amp; Assumptions'!$C$26:$I$26,CEILING(('Inputs &amp; Assumptions'!$C$141+14)/4,1))*R171,0)</f>
        <v>275711.85693353</v>
      </c>
      <c r="S182" s="39" t="n">
        <f aca="false">IF(15&lt;='Inputs &amp; Assumptions'!$E$141,'Inputs &amp; Assumptions'!$D$59*INDEX('Inputs &amp; Assumptions'!$C$26:$I$26,CEILING(('Inputs &amp; Assumptions'!$C$141+15)/4,1))*S171,0)</f>
        <v>259435.028967955</v>
      </c>
      <c r="T182" s="39" t="n">
        <f aca="false">IF(16&lt;='Inputs &amp; Assumptions'!$E$141,'Inputs &amp; Assumptions'!$D$59*INDEX('Inputs &amp; Assumptions'!$C$26:$I$26,CEILING(('Inputs &amp; Assumptions'!$C$141+16)/4,1))*T171,0)</f>
        <v>190316.546173189</v>
      </c>
      <c r="U182" s="39" t="n">
        <f aca="false">IF(17&lt;='Inputs &amp; Assumptions'!$E$141,'Inputs &amp; Assumptions'!$D$59*INDEX('Inputs &amp; Assumptions'!$C$26:$I$26,CEILING(('Inputs &amp; Assumptions'!$C$141+17)/4,1))*U171,0)</f>
        <v>179459.632883638</v>
      </c>
      <c r="V182" s="39" t="n">
        <f aca="false">IF(18&lt;='Inputs &amp; Assumptions'!$E$141,'Inputs &amp; Assumptions'!$D$59*INDEX('Inputs &amp; Assumptions'!$C$26:$I$26,CEILING(('Inputs &amp; Assumptions'!$C$141+18)/4,1))*V171,0)</f>
        <v>169222.069663994</v>
      </c>
      <c r="W182" s="39" t="n">
        <f aca="false">IF(19&lt;='Inputs &amp; Assumptions'!$E$141,'Inputs &amp; Assumptions'!$D$59*INDEX('Inputs &amp; Assumptions'!$C$26:$I$26,CEILING(('Inputs &amp; Assumptions'!$C$141+19)/4,1))*W171,0)</f>
        <v>159568.524693981</v>
      </c>
      <c r="X182" s="39" t="n">
        <f aca="false">IF(20&lt;='Inputs &amp; Assumptions'!$E$141,'Inputs &amp; Assumptions'!$D$59*INDEX('Inputs &amp; Assumptions'!$C$26:$I$26,CEILING(('Inputs &amp; Assumptions'!$C$141+20)/4,1))*X171,0)</f>
        <v>121896.248477006</v>
      </c>
      <c r="Y182" s="39" t="n">
        <f aca="false">IF(21&lt;='Inputs &amp; Assumptions'!$E$141,'Inputs &amp; Assumptions'!$D$59*INDEX('Inputs &amp; Assumptions'!$C$26:$I$26,CEILING(('Inputs &amp; Assumptions'!$C$141+21)/4,1))*Y171,0)</f>
        <v>115105.32497451</v>
      </c>
      <c r="Z182" s="39" t="n">
        <f aca="false">IF(22&lt;='Inputs &amp; Assumptions'!$E$141,'Inputs &amp; Assumptions'!$D$59*INDEX('Inputs &amp; Assumptions'!$C$26:$I$26,CEILING(('Inputs &amp; Assumptions'!$C$141+22)/4,1))*Z171,0)</f>
        <v>108692.728472171</v>
      </c>
      <c r="AA182" s="39" t="n">
        <f aca="false">IF(23&lt;='Inputs &amp; Assumptions'!$E$141,'Inputs &amp; Assumptions'!$D$59*INDEX('Inputs &amp; Assumptions'!$C$26:$I$26,CEILING(('Inputs &amp; Assumptions'!$C$141+23)/4,1))*AA171,0)</f>
        <v>102637.382113655</v>
      </c>
      <c r="AB182" s="39" t="n">
        <f aca="false">IF(24&lt;='Inputs &amp; Assumptions'!$E$141,'Inputs &amp; Assumptions'!$D$59*INDEX('Inputs &amp; Assumptions'!$C$26:$I$26,CEILING(('Inputs &amp; Assumptions'!$C$141+24)/4,1))*AB171,0)</f>
        <v>76223.0566174895</v>
      </c>
      <c r="AC182" s="39" t="n">
        <f aca="false">IF(25&lt;='Inputs &amp; Assumptions'!$E$141,'Inputs &amp; Assumptions'!$D$59*INDEX('Inputs &amp; Assumptions'!$C$26:$I$26,CEILING(('Inputs &amp; Assumptions'!$C$141+25)/4,1))*AC171,0)</f>
        <v>72069.3946218867</v>
      </c>
      <c r="AD182" s="39" t="n">
        <f aca="false">IF(26&lt;='Inputs &amp; Assumptions'!$E$141,'Inputs &amp; Assumptions'!$D$59*INDEX('Inputs &amp; Assumptions'!$C$26:$I$26,CEILING(('Inputs &amp; Assumptions'!$C$141+26)/4,1))*AD171,0)</f>
        <v>68142.0802530957</v>
      </c>
      <c r="AE182" s="39" t="n">
        <f aca="false">IF(27&lt;='Inputs &amp; Assumptions'!$E$141,'Inputs &amp; Assumptions'!$D$59*INDEX('Inputs &amp; Assumptions'!$C$26:$I$26,CEILING(('Inputs &amp; Assumptions'!$C$141+27)/4,1))*AE171,0)</f>
        <v>64428.7790341617</v>
      </c>
      <c r="AF182" s="39" t="n">
        <f aca="false">IF(28&lt;='Inputs &amp; Assumptions'!$E$141,'Inputs &amp; Assumptions'!$D$59*INDEX('Inputs &amp; Assumptions'!$C$26:$I$26,CEILING(('Inputs &amp; Assumptions'!$C$141+28)/4,1))*AF171,0)</f>
        <v>0</v>
      </c>
      <c r="AG182" s="39" t="n">
        <f aca="false">IF(29&lt;='Inputs &amp; Assumptions'!$E$141,'Inputs &amp; Assumptions'!$D$59*INDEX('Inputs &amp; Assumptions'!$C$26:$I$26,CEILING(('Inputs &amp; Assumptions'!$C$141+29)/4,1))*AG171,0)</f>
        <v>0</v>
      </c>
      <c r="AH182" s="39" t="n">
        <f aca="false">IF(30&lt;='Inputs &amp; Assumptions'!$E$141,'Inputs &amp; Assumptions'!$D$59*INDEX('Inputs &amp; Assumptions'!$C$26:$I$26,CEILING(('Inputs &amp; Assumptions'!$C$141+30)/4,1))*AH171,0)</f>
        <v>0</v>
      </c>
      <c r="AI182" s="39" t="n">
        <f aca="false">IF(31&lt;='Inputs &amp; Assumptions'!$E$141,'Inputs &amp; Assumptions'!$D$59*INDEX('Inputs &amp; Assumptions'!$C$26:$I$26,CEILING(('Inputs &amp; Assumptions'!$C$141+31)/4,1))*AI171,0)</f>
        <v>0</v>
      </c>
      <c r="AJ182" s="39" t="n">
        <f aca="false">IF(32&lt;='Inputs &amp; Assumptions'!$E$141,'Inputs &amp; Assumptions'!$D$59*INDEX('Inputs &amp; Assumptions'!$C$26:$I$26,CEILING(('Inputs &amp; Assumptions'!$C$141+32)/4,1))*AJ171,0)</f>
        <v>0</v>
      </c>
      <c r="AK182" s="39" t="n">
        <f aca="false">IF(33&lt;='Inputs &amp; Assumptions'!$E$141,'Inputs &amp; Assumptions'!$D$59*INDEX('Inputs &amp; Assumptions'!$C$26:$I$26,CEILING(('Inputs &amp; Assumptions'!$C$141+33)/4,1))*AK171,0)</f>
        <v>0</v>
      </c>
      <c r="AL182" s="39" t="n">
        <f aca="false">IF(34&lt;='Inputs &amp; Assumptions'!$E$141,'Inputs &amp; Assumptions'!$D$59*INDEX('Inputs &amp; Assumptions'!$C$26:$I$26,CEILING(('Inputs &amp; Assumptions'!$C$141+34)/4,1))*AL171,0)</f>
        <v>0</v>
      </c>
      <c r="AM182" s="39" t="n">
        <f aca="false">IF(35&lt;='Inputs &amp; Assumptions'!$E$141,'Inputs &amp; Assumptions'!$D$59*INDEX('Inputs &amp; Assumptions'!$C$26:$I$26,CEILING(('Inputs &amp; Assumptions'!$C$141+35)/4,1))*AM171,0)</f>
        <v>0</v>
      </c>
      <c r="AN182" s="39" t="n">
        <f aca="false">IF(36&lt;='Inputs &amp; Assumptions'!$E$141,'Inputs &amp; Assumptions'!$D$59*INDEX('Inputs &amp; Assumptions'!$C$26:$I$26,CEILING(('Inputs &amp; Assumptions'!$C$141+36)/4,1))*AN171,0)</f>
        <v>0</v>
      </c>
    </row>
    <row r="183" customFormat="false" ht="15" hidden="false" customHeight="false" outlineLevel="0" collapsed="false">
      <c r="B183" s="37" t="n">
        <v>3</v>
      </c>
      <c r="C183" s="38" t="n">
        <f aca="false">'Inputs &amp; Assumptions'!$C$142</f>
        <v>2</v>
      </c>
      <c r="D183" s="38" t="n">
        <f aca="false">'Inputs &amp; Assumptions'!$D$142</f>
        <v>3</v>
      </c>
      <c r="E183" s="39" t="n">
        <f aca="false">IF(1&lt;='Inputs &amp; Assumptions'!$E$142,'Inputs &amp; Assumptions'!$D$59*INDEX('Inputs &amp; Assumptions'!$C$26:$I$26,CEILING(('Inputs &amp; Assumptions'!$C$142+1)/4,1))*E172,0)</f>
        <v>596250</v>
      </c>
      <c r="F183" s="39" t="n">
        <f aca="false">IF(2&lt;='Inputs &amp; Assumptions'!$E$142,'Inputs &amp; Assumptions'!$D$59*INDEX('Inputs &amp; Assumptions'!$C$26:$I$26,CEILING(('Inputs &amp; Assumptions'!$C$142+2)/4,1))*F172,0)</f>
        <v>578146.579015486</v>
      </c>
      <c r="G183" s="39" t="n">
        <f aca="false">IF(3&lt;='Inputs &amp; Assumptions'!$E$142,'Inputs &amp; Assumptions'!$D$59*INDEX('Inputs &amp; Assumptions'!$C$26:$I$26,CEILING(('Inputs &amp; Assumptions'!$C$142+3)/4,1))*G172,0)</f>
        <v>754508.570610806</v>
      </c>
      <c r="H183" s="39" t="n">
        <f aca="false">IF(4&lt;='Inputs &amp; Assumptions'!$E$142,'Inputs &amp; Assumptions'!$D$59*INDEX('Inputs &amp; Assumptions'!$C$26:$I$26,CEILING(('Inputs &amp; Assumptions'!$C$142+4)/4,1))*H172,0)</f>
        <v>707188.165440846</v>
      </c>
      <c r="I183" s="39" t="n">
        <f aca="false">IF(5&lt;='Inputs &amp; Assumptions'!$E$142,'Inputs &amp; Assumptions'!$D$59*INDEX('Inputs &amp; Assumptions'!$C$26:$I$26,CEILING(('Inputs &amp; Assumptions'!$C$142+5)/4,1))*I172,0)</f>
        <v>662835.547295011</v>
      </c>
      <c r="J183" s="39" t="n">
        <f aca="false">IF(6&lt;='Inputs &amp; Assumptions'!$E$142,'Inputs &amp; Assumptions'!$D$59*INDEX('Inputs &amp; Assumptions'!$C$26:$I$26,CEILING(('Inputs &amp; Assumptions'!$C$142+6)/4,1))*J172,0)</f>
        <v>621264.585902671</v>
      </c>
      <c r="K183" s="39" t="n">
        <f aca="false">IF(7&lt;='Inputs &amp; Assumptions'!$E$142,'Inputs &amp; Assumptions'!$D$59*INDEX('Inputs &amp; Assumptions'!$C$26:$I$26,CEILING(('Inputs &amp; Assumptions'!$C$142+7)/4,1))*K172,0)</f>
        <v>516996.059134206</v>
      </c>
      <c r="L183" s="39" t="n">
        <f aca="false">IF(8&lt;='Inputs &amp; Assumptions'!$E$142,'Inputs &amp; Assumptions'!$D$59*INDEX('Inputs &amp; Assumptions'!$C$26:$I$26,CEILING(('Inputs &amp; Assumptions'!$C$142+8)/4,1))*L172,0)</f>
        <v>485308.402928656</v>
      </c>
      <c r="M183" s="39" t="n">
        <f aca="false">IF(9&lt;='Inputs &amp; Assumptions'!$E$142,'Inputs &amp; Assumptions'!$D$59*INDEX('Inputs &amp; Assumptions'!$C$26:$I$26,CEILING(('Inputs &amp; Assumptions'!$C$142+9)/4,1))*M172,0)</f>
        <v>455562.942486615</v>
      </c>
      <c r="N183" s="39" t="n">
        <f aca="false">IF(10&lt;='Inputs &amp; Assumptions'!$E$142,'Inputs &amp; Assumptions'!$D$59*INDEX('Inputs &amp; Assumptions'!$C$26:$I$26,CEILING(('Inputs &amp; Assumptions'!$C$142+10)/4,1))*N172,0)</f>
        <v>427640.636994229</v>
      </c>
      <c r="O183" s="39" t="n">
        <f aca="false">IF(11&lt;='Inputs &amp; Assumptions'!$E$142,'Inputs &amp; Assumptions'!$D$59*INDEX('Inputs &amp; Assumptions'!$C$26:$I$26,CEILING(('Inputs &amp; Assumptions'!$C$142+11)/4,1))*O172,0)</f>
        <v>321143.793497564</v>
      </c>
      <c r="P183" s="39" t="n">
        <f aca="false">IF(12&lt;='Inputs &amp; Assumptions'!$E$142,'Inputs &amp; Assumptions'!$D$59*INDEX('Inputs &amp; Assumptions'!$C$26:$I$26,CEILING(('Inputs &amp; Assumptions'!$C$142+12)/4,1))*P172,0)</f>
        <v>302184.861745013</v>
      </c>
      <c r="Q183" s="39" t="n">
        <f aca="false">IF(13&lt;='Inputs &amp; Assumptions'!$E$142,'Inputs &amp; Assumptions'!$D$59*INDEX('Inputs &amp; Assumptions'!$C$26:$I$26,CEILING(('Inputs &amp; Assumptions'!$C$142+13)/4,1))*Q172,0)</f>
        <v>284345.182802187</v>
      </c>
      <c r="R183" s="39" t="n">
        <f aca="false">IF(14&lt;='Inputs &amp; Assumptions'!$E$142,'Inputs &amp; Assumptions'!$D$59*INDEX('Inputs &amp; Assumptions'!$C$26:$I$26,CEILING(('Inputs &amp; Assumptions'!$C$142+14)/4,1))*R172,0)</f>
        <v>267558.680854877</v>
      </c>
      <c r="S183" s="39" t="n">
        <f aca="false">IF(15&lt;='Inputs &amp; Assumptions'!$E$142,'Inputs &amp; Assumptions'!$D$59*INDEX('Inputs &amp; Assumptions'!$C$26:$I$26,CEILING(('Inputs &amp; Assumptions'!$C$142+15)/4,1))*S172,0)</f>
        <v>196275.900912534</v>
      </c>
      <c r="T183" s="39" t="n">
        <f aca="false">IF(16&lt;='Inputs &amp; Assumptions'!$E$142,'Inputs &amp; Assumptions'!$D$59*INDEX('Inputs &amp; Assumptions'!$C$26:$I$26,CEILING(('Inputs &amp; Assumptions'!$C$142+16)/4,1))*T172,0)</f>
        <v>185079.026652864</v>
      </c>
      <c r="U183" s="39" t="n">
        <f aca="false">IF(17&lt;='Inputs &amp; Assumptions'!$E$142,'Inputs &amp; Assumptions'!$D$59*INDEX('Inputs &amp; Assumptions'!$C$26:$I$26,CEILING(('Inputs &amp; Assumptions'!$C$142+17)/4,1))*U172,0)</f>
        <v>174520.896083091</v>
      </c>
      <c r="V183" s="39" t="n">
        <f aca="false">IF(18&lt;='Inputs &amp; Assumptions'!$E$142,'Inputs &amp; Assumptions'!$D$59*INDEX('Inputs &amp; Assumptions'!$C$26:$I$26,CEILING(('Inputs &amp; Assumptions'!$C$142+18)/4,1))*V172,0)</f>
        <v>164565.071042715</v>
      </c>
      <c r="W183" s="39" t="n">
        <f aca="false">IF(19&lt;='Inputs &amp; Assumptions'!$E$142,'Inputs &amp; Assumptions'!$D$59*INDEX('Inputs &amp; Assumptions'!$C$26:$I$26,CEILING(('Inputs &amp; Assumptions'!$C$142+19)/4,1))*W172,0)</f>
        <v>125713.168238721</v>
      </c>
      <c r="X183" s="39" t="n">
        <f aca="false">IF(20&lt;='Inputs &amp; Assumptions'!$E$142,'Inputs &amp; Assumptions'!$D$59*INDEX('Inputs &amp; Assumptions'!$C$26:$I$26,CEILING(('Inputs &amp; Assumptions'!$C$142+20)/4,1))*X172,0)</f>
        <v>118709.601521681</v>
      </c>
      <c r="Y183" s="39" t="n">
        <f aca="false">IF(21&lt;='Inputs &amp; Assumptions'!$E$142,'Inputs &amp; Assumptions'!$D$59*INDEX('Inputs &amp; Assumptions'!$C$26:$I$26,CEILING(('Inputs &amp; Assumptions'!$C$142+21)/4,1))*Y172,0)</f>
        <v>112096.208303944</v>
      </c>
      <c r="Z183" s="39" t="n">
        <f aca="false">IF(22&lt;='Inputs &amp; Assumptions'!$E$142,'Inputs &amp; Assumptions'!$D$59*INDEX('Inputs &amp; Assumptions'!$C$26:$I$26,CEILING(('Inputs &amp; Assumptions'!$C$142+22)/4,1))*Z172,0)</f>
        <v>105851.25175259</v>
      </c>
      <c r="AA183" s="39" t="n">
        <f aca="false">IF(23&lt;='Inputs &amp; Assumptions'!$E$142,'Inputs &amp; Assumptions'!$D$59*INDEX('Inputs &amp; Assumptions'!$C$26:$I$26,CEILING(('Inputs &amp; Assumptions'!$C$142+23)/4,1))*AA172,0)</f>
        <v>78609.8182671436</v>
      </c>
      <c r="AB183" s="39" t="n">
        <f aca="false">IF(24&lt;='Inputs &amp; Assumptions'!$E$142,'Inputs &amp; Assumptions'!$D$59*INDEX('Inputs &amp; Assumptions'!$C$26:$I$26,CEILING(('Inputs &amp; Assumptions'!$C$142+24)/4,1))*AB172,0)</f>
        <v>74326.093248662</v>
      </c>
      <c r="AC183" s="39" t="n">
        <f aca="false">IF(25&lt;='Inputs &amp; Assumptions'!$E$142,'Inputs &amp; Assumptions'!$D$59*INDEX('Inputs &amp; Assumptions'!$C$26:$I$26,CEILING(('Inputs &amp; Assumptions'!$C$142+25)/4,1))*AC172,0)</f>
        <v>70275.8034477967</v>
      </c>
      <c r="AD183" s="39" t="n">
        <f aca="false">IF(26&lt;='Inputs &amp; Assumptions'!$E$142,'Inputs &amp; Assumptions'!$D$59*INDEX('Inputs &amp; Assumptions'!$C$26:$I$26,CEILING(('Inputs &amp; Assumptions'!$C$142+26)/4,1))*AD172,0)</f>
        <v>66446.2281598832</v>
      </c>
      <c r="AE183" s="39" t="n">
        <f aca="false">IF(27&lt;='Inputs &amp; Assumptions'!$E$142,'Inputs &amp; Assumptions'!$D$59*INDEX('Inputs &amp; Assumptions'!$C$26:$I$26,CEILING(('Inputs &amp; Assumptions'!$C$142+27)/4,1))*AE172,0)</f>
        <v>0</v>
      </c>
      <c r="AF183" s="39" t="n">
        <f aca="false">IF(28&lt;='Inputs &amp; Assumptions'!$E$142,'Inputs &amp; Assumptions'!$D$59*INDEX('Inputs &amp; Assumptions'!$C$26:$I$26,CEILING(('Inputs &amp; Assumptions'!$C$142+28)/4,1))*AF172,0)</f>
        <v>0</v>
      </c>
      <c r="AG183" s="39" t="n">
        <f aca="false">IF(29&lt;='Inputs &amp; Assumptions'!$E$142,'Inputs &amp; Assumptions'!$D$59*INDEX('Inputs &amp; Assumptions'!$C$26:$I$26,CEILING(('Inputs &amp; Assumptions'!$C$142+29)/4,1))*AG172,0)</f>
        <v>0</v>
      </c>
      <c r="AH183" s="39" t="n">
        <f aca="false">IF(30&lt;='Inputs &amp; Assumptions'!$E$142,'Inputs &amp; Assumptions'!$D$59*INDEX('Inputs &amp; Assumptions'!$C$26:$I$26,CEILING(('Inputs &amp; Assumptions'!$C$142+30)/4,1))*AH172,0)</f>
        <v>0</v>
      </c>
      <c r="AI183" s="39" t="n">
        <f aca="false">IF(31&lt;='Inputs &amp; Assumptions'!$E$142,'Inputs &amp; Assumptions'!$D$59*INDEX('Inputs &amp; Assumptions'!$C$26:$I$26,CEILING(('Inputs &amp; Assumptions'!$C$142+31)/4,1))*AI172,0)</f>
        <v>0</v>
      </c>
      <c r="AJ183" s="39" t="n">
        <f aca="false">IF(32&lt;='Inputs &amp; Assumptions'!$E$142,'Inputs &amp; Assumptions'!$D$59*INDEX('Inputs &amp; Assumptions'!$C$26:$I$26,CEILING(('Inputs &amp; Assumptions'!$C$142+32)/4,1))*AJ172,0)</f>
        <v>0</v>
      </c>
      <c r="AK183" s="39" t="n">
        <f aca="false">IF(33&lt;='Inputs &amp; Assumptions'!$E$142,'Inputs &amp; Assumptions'!$D$59*INDEX('Inputs &amp; Assumptions'!$C$26:$I$26,CEILING(('Inputs &amp; Assumptions'!$C$142+33)/4,1))*AK172,0)</f>
        <v>0</v>
      </c>
      <c r="AL183" s="39" t="n">
        <f aca="false">IF(34&lt;='Inputs &amp; Assumptions'!$E$142,'Inputs &amp; Assumptions'!$D$59*INDEX('Inputs &amp; Assumptions'!$C$26:$I$26,CEILING(('Inputs &amp; Assumptions'!$C$142+34)/4,1))*AL172,0)</f>
        <v>0</v>
      </c>
      <c r="AM183" s="39" t="n">
        <f aca="false">IF(35&lt;='Inputs &amp; Assumptions'!$E$142,'Inputs &amp; Assumptions'!$D$59*INDEX('Inputs &amp; Assumptions'!$C$26:$I$26,CEILING(('Inputs &amp; Assumptions'!$C$142+35)/4,1))*AM172,0)</f>
        <v>0</v>
      </c>
      <c r="AN183" s="39" t="n">
        <f aca="false">IF(36&lt;='Inputs &amp; Assumptions'!$E$142,'Inputs &amp; Assumptions'!$D$59*INDEX('Inputs &amp; Assumptions'!$C$26:$I$26,CEILING(('Inputs &amp; Assumptions'!$C$142+36)/4,1))*AN172,0)</f>
        <v>0</v>
      </c>
    </row>
    <row r="184" customFormat="false" ht="15" hidden="false" customHeight="false" outlineLevel="0" collapsed="false">
      <c r="B184" s="37" t="n">
        <v>4</v>
      </c>
      <c r="C184" s="38" t="n">
        <f aca="false">'Inputs &amp; Assumptions'!$C$143</f>
        <v>3</v>
      </c>
      <c r="D184" s="38" t="n">
        <f aca="false">'Inputs &amp; Assumptions'!$D$143</f>
        <v>3</v>
      </c>
      <c r="E184" s="39" t="n">
        <f aca="false">IF(1&lt;='Inputs &amp; Assumptions'!$E$143,'Inputs &amp; Assumptions'!$D$59*INDEX('Inputs &amp; Assumptions'!$C$26:$I$26,CEILING(('Inputs &amp; Assumptions'!$C$143+1)/4,1))*E173,0)</f>
        <v>596250</v>
      </c>
      <c r="F184" s="39" t="n">
        <f aca="false">IF(2&lt;='Inputs &amp; Assumptions'!$E$143,'Inputs &amp; Assumptions'!$D$59*INDEX('Inputs &amp; Assumptions'!$C$26:$I$26,CEILING(('Inputs &amp; Assumptions'!$C$143+2)/4,1))*F173,0)</f>
        <v>778134.389366754</v>
      </c>
      <c r="G184" s="39" t="n">
        <f aca="false">IF(3&lt;='Inputs &amp; Assumptions'!$E$143,'Inputs &amp; Assumptions'!$D$59*INDEX('Inputs &amp; Assumptions'!$C$26:$I$26,CEILING(('Inputs &amp; Assumptions'!$C$143+3)/4,1))*G173,0)</f>
        <v>729332.247130378</v>
      </c>
      <c r="H184" s="39" t="n">
        <f aca="false">IF(4&lt;='Inputs &amp; Assumptions'!$E$143,'Inputs &amp; Assumptions'!$D$59*INDEX('Inputs &amp; Assumptions'!$C$26:$I$26,CEILING(('Inputs &amp; Assumptions'!$C$143+4)/4,1))*H173,0)</f>
        <v>683590.821807949</v>
      </c>
      <c r="I184" s="39" t="n">
        <f aca="false">IF(5&lt;='Inputs &amp; Assumptions'!$E$143,'Inputs &amp; Assumptions'!$D$59*INDEX('Inputs &amp; Assumptions'!$C$26:$I$26,CEILING(('Inputs &amp; Assumptions'!$C$143+5)/4,1))*I173,0)</f>
        <v>640718.154858347</v>
      </c>
      <c r="J184" s="39" t="n">
        <f aca="false">IF(6&lt;='Inputs &amp; Assumptions'!$E$143,'Inputs &amp; Assumptions'!$D$59*INDEX('Inputs &amp; Assumptions'!$C$26:$I$26,CEILING(('Inputs &amp; Assumptions'!$C$143+6)/4,1))*J173,0)</f>
        <v>533184.682652102</v>
      </c>
      <c r="K184" s="39" t="n">
        <f aca="false">IF(7&lt;='Inputs &amp; Assumptions'!$E$143,'Inputs &amp; Assumptions'!$D$59*INDEX('Inputs &amp; Assumptions'!$C$26:$I$26,CEILING(('Inputs &amp; Assumptions'!$C$143+7)/4,1))*K173,0)</f>
        <v>500504.795408398</v>
      </c>
      <c r="L184" s="39" t="n">
        <f aca="false">IF(8&lt;='Inputs &amp; Assumptions'!$E$143,'Inputs &amp; Assumptions'!$D$59*INDEX('Inputs &amp; Assumptions'!$C$26:$I$26,CEILING(('Inputs &amp; Assumptions'!$C$143+8)/4,1))*L173,0)</f>
        <v>469827.919625844</v>
      </c>
      <c r="M184" s="39" t="n">
        <f aca="false">IF(9&lt;='Inputs &amp; Assumptions'!$E$143,'Inputs &amp; Assumptions'!$D$59*INDEX('Inputs &amp; Assumptions'!$C$26:$I$26,CEILING(('Inputs &amp; Assumptions'!$C$143+9)/4,1))*M173,0)</f>
        <v>441031.286982638</v>
      </c>
      <c r="N184" s="39" t="n">
        <f aca="false">IF(10&lt;='Inputs &amp; Assumptions'!$E$143,'Inputs &amp; Assumptions'!$D$59*INDEX('Inputs &amp; Assumptions'!$C$26:$I$26,CEILING(('Inputs &amp; Assumptions'!$C$143+10)/4,1))*N173,0)</f>
        <v>331199.723085785</v>
      </c>
      <c r="O184" s="39" t="n">
        <f aca="false">IF(11&lt;='Inputs &amp; Assumptions'!$E$143,'Inputs &amp; Assumptions'!$D$59*INDEX('Inputs &amp; Assumptions'!$C$26:$I$26,CEILING(('Inputs &amp; Assumptions'!$C$143+11)/4,1))*O173,0)</f>
        <v>311647.133019943</v>
      </c>
      <c r="P184" s="39" t="n">
        <f aca="false">IF(12&lt;='Inputs &amp; Assumptions'!$E$143,'Inputs &amp; Assumptions'!$D$59*INDEX('Inputs &amp; Assumptions'!$C$26:$I$26,CEILING(('Inputs &amp; Assumptions'!$C$143+12)/4,1))*P173,0)</f>
        <v>293248.842766676</v>
      </c>
      <c r="Q184" s="39" t="n">
        <f aca="false">IF(13&lt;='Inputs &amp; Assumptions'!$E$143,'Inputs &amp; Assumptions'!$D$59*INDEX('Inputs &amp; Assumptions'!$C$26:$I$26,CEILING(('Inputs &amp; Assumptions'!$C$143+13)/4,1))*Q173,0)</f>
        <v>275936.707489274</v>
      </c>
      <c r="R184" s="39" t="n">
        <f aca="false">IF(14&lt;='Inputs &amp; Assumptions'!$E$143,'Inputs &amp; Assumptions'!$D$59*INDEX('Inputs &amp; Assumptions'!$C$26:$I$26,CEILING(('Inputs &amp; Assumptions'!$C$143+14)/4,1))*R173,0)</f>
        <v>202421.8600729</v>
      </c>
      <c r="S184" s="39" t="n">
        <f aca="false">IF(15&lt;='Inputs &amp; Assumptions'!$E$143,'Inputs &amp; Assumptions'!$D$59*INDEX('Inputs &amp; Assumptions'!$C$26:$I$26,CEILING(('Inputs &amp; Assumptions'!$C$143+15)/4,1))*S173,0)</f>
        <v>190874.379693967</v>
      </c>
      <c r="T184" s="39" t="n">
        <f aca="false">IF(16&lt;='Inputs &amp; Assumptions'!$E$143,'Inputs &amp; Assumptions'!$D$59*INDEX('Inputs &amp; Assumptions'!$C$26:$I$26,CEILING(('Inputs &amp; Assumptions'!$C$143+16)/4,1))*T173,0)</f>
        <v>179985.643894567</v>
      </c>
      <c r="U184" s="39" t="n">
        <f aca="false">IF(17&lt;='Inputs &amp; Assumptions'!$E$143,'Inputs &amp; Assumptions'!$D$59*INDEX('Inputs &amp; Assumptions'!$C$26:$I$26,CEILING(('Inputs &amp; Assumptions'!$C$143+17)/4,1))*U173,0)</f>
        <v>169718.073531299</v>
      </c>
      <c r="V184" s="39" t="n">
        <f aca="false">IF(18&lt;='Inputs &amp; Assumptions'!$E$143,'Inputs &amp; Assumptions'!$D$59*INDEX('Inputs &amp; Assumptions'!$C$26:$I$26,CEILING(('Inputs &amp; Assumptions'!$C$143+18)/4,1))*V173,0)</f>
        <v>129649.606661998</v>
      </c>
      <c r="W184" s="39" t="n">
        <f aca="false">IF(19&lt;='Inputs &amp; Assumptions'!$E$143,'Inputs &amp; Assumptions'!$D$59*INDEX('Inputs &amp; Assumptions'!$C$26:$I$26,CEILING(('Inputs &amp; Assumptions'!$C$143+19)/4,1))*W173,0)</f>
        <v>122426.738263908</v>
      </c>
      <c r="X184" s="39" t="n">
        <f aca="false">IF(20&lt;='Inputs &amp; Assumptions'!$E$143,'Inputs &amp; Assumptions'!$D$59*INDEX('Inputs &amp; Assumptions'!$C$26:$I$26,CEILING(('Inputs &amp; Assumptions'!$C$143+20)/4,1))*X173,0)</f>
        <v>115606.260811994</v>
      </c>
      <c r="Y184" s="39" t="n">
        <f aca="false">IF(21&lt;='Inputs &amp; Assumptions'!$E$143,'Inputs &amp; Assumptions'!$D$59*INDEX('Inputs &amp; Assumptions'!$C$26:$I$26,CEILING(('Inputs &amp; Assumptions'!$C$143+21)/4,1))*Y173,0)</f>
        <v>109165.756831004</v>
      </c>
      <c r="Z184" s="39" t="n">
        <f aca="false">IF(22&lt;='Inputs &amp; Assumptions'!$E$143,'Inputs &amp; Assumptions'!$D$59*INDEX('Inputs &amp; Assumptions'!$C$26:$I$26,CEILING(('Inputs &amp; Assumptions'!$C$143+22)/4,1))*Z173,0)</f>
        <v>81071.3162423277</v>
      </c>
      <c r="AA184" s="39" t="n">
        <f aca="false">IF(23&lt;='Inputs &amp; Assumptions'!$E$143,'Inputs &amp; Assumptions'!$D$59*INDEX('Inputs &amp; Assumptions'!$C$26:$I$26,CEILING(('Inputs &amp; Assumptions'!$C$143+23)/4,1))*AA173,0)</f>
        <v>76653.4555561691</v>
      </c>
      <c r="AB184" s="39" t="n">
        <f aca="false">IF(24&lt;='Inputs &amp; Assumptions'!$E$143,'Inputs &amp; Assumptions'!$D$59*INDEX('Inputs &amp; Assumptions'!$C$26:$I$26,CEILING(('Inputs &amp; Assumptions'!$C$143+24)/4,1))*AB173,0)</f>
        <v>72476.3396111463</v>
      </c>
      <c r="AC184" s="39" t="n">
        <f aca="false">IF(25&lt;='Inputs &amp; Assumptions'!$E$143,'Inputs &amp; Assumptions'!$D$59*INDEX('Inputs &amp; Assumptions'!$C$26:$I$26,CEILING(('Inputs &amp; Assumptions'!$C$143+25)/4,1))*AC173,0)</f>
        <v>68526.8493809927</v>
      </c>
      <c r="AD184" s="39" t="n">
        <f aca="false">IF(26&lt;='Inputs &amp; Assumptions'!$E$143,'Inputs &amp; Assumptions'!$D$59*INDEX('Inputs &amp; Assumptions'!$C$26:$I$26,CEILING(('Inputs &amp; Assumptions'!$C$143+26)/4,1))*AD173,0)</f>
        <v>0</v>
      </c>
      <c r="AE184" s="39" t="n">
        <f aca="false">IF(27&lt;='Inputs &amp; Assumptions'!$E$143,'Inputs &amp; Assumptions'!$D$59*INDEX('Inputs &amp; Assumptions'!$C$26:$I$26,CEILING(('Inputs &amp; Assumptions'!$C$143+27)/4,1))*AE173,0)</f>
        <v>0</v>
      </c>
      <c r="AF184" s="39" t="n">
        <f aca="false">IF(28&lt;='Inputs &amp; Assumptions'!$E$143,'Inputs &amp; Assumptions'!$D$59*INDEX('Inputs &amp; Assumptions'!$C$26:$I$26,CEILING(('Inputs &amp; Assumptions'!$C$143+28)/4,1))*AF173,0)</f>
        <v>0</v>
      </c>
      <c r="AG184" s="39" t="n">
        <f aca="false">IF(29&lt;='Inputs &amp; Assumptions'!$E$143,'Inputs &amp; Assumptions'!$D$59*INDEX('Inputs &amp; Assumptions'!$C$26:$I$26,CEILING(('Inputs &amp; Assumptions'!$C$143+29)/4,1))*AG173,0)</f>
        <v>0</v>
      </c>
      <c r="AH184" s="39" t="n">
        <f aca="false">IF(30&lt;='Inputs &amp; Assumptions'!$E$143,'Inputs &amp; Assumptions'!$D$59*INDEX('Inputs &amp; Assumptions'!$C$26:$I$26,CEILING(('Inputs &amp; Assumptions'!$C$143+30)/4,1))*AH173,0)</f>
        <v>0</v>
      </c>
      <c r="AI184" s="39" t="n">
        <f aca="false">IF(31&lt;='Inputs &amp; Assumptions'!$E$143,'Inputs &amp; Assumptions'!$D$59*INDEX('Inputs &amp; Assumptions'!$C$26:$I$26,CEILING(('Inputs &amp; Assumptions'!$C$143+31)/4,1))*AI173,0)</f>
        <v>0</v>
      </c>
      <c r="AJ184" s="39" t="n">
        <f aca="false">IF(32&lt;='Inputs &amp; Assumptions'!$E$143,'Inputs &amp; Assumptions'!$D$59*INDEX('Inputs &amp; Assumptions'!$C$26:$I$26,CEILING(('Inputs &amp; Assumptions'!$C$143+32)/4,1))*AJ173,0)</f>
        <v>0</v>
      </c>
      <c r="AK184" s="39" t="n">
        <f aca="false">IF(33&lt;='Inputs &amp; Assumptions'!$E$143,'Inputs &amp; Assumptions'!$D$59*INDEX('Inputs &amp; Assumptions'!$C$26:$I$26,CEILING(('Inputs &amp; Assumptions'!$C$143+33)/4,1))*AK173,0)</f>
        <v>0</v>
      </c>
      <c r="AL184" s="39" t="n">
        <f aca="false">IF(34&lt;='Inputs &amp; Assumptions'!$E$143,'Inputs &amp; Assumptions'!$D$59*INDEX('Inputs &amp; Assumptions'!$C$26:$I$26,CEILING(('Inputs &amp; Assumptions'!$C$143+34)/4,1))*AL173,0)</f>
        <v>0</v>
      </c>
      <c r="AM184" s="39" t="n">
        <f aca="false">IF(35&lt;='Inputs &amp; Assumptions'!$E$143,'Inputs &amp; Assumptions'!$D$59*INDEX('Inputs &amp; Assumptions'!$C$26:$I$26,CEILING(('Inputs &amp; Assumptions'!$C$143+35)/4,1))*AM173,0)</f>
        <v>0</v>
      </c>
      <c r="AN184" s="39" t="n">
        <f aca="false">IF(36&lt;='Inputs &amp; Assumptions'!$E$143,'Inputs &amp; Assumptions'!$D$59*INDEX('Inputs &amp; Assumptions'!$C$26:$I$26,CEILING(('Inputs &amp; Assumptions'!$C$143+36)/4,1))*AN173,0)</f>
        <v>0</v>
      </c>
    </row>
    <row r="185" customFormat="false" ht="15" hidden="false" customHeight="false" outlineLevel="0" collapsed="false">
      <c r="B185" s="37" t="n">
        <v>5</v>
      </c>
      <c r="C185" s="38" t="n">
        <f aca="false">'Inputs &amp; Assumptions'!$C$144</f>
        <v>4</v>
      </c>
      <c r="D185" s="38" t="n">
        <f aca="false">'Inputs &amp; Assumptions'!$D$144</f>
        <v>3</v>
      </c>
      <c r="E185" s="39" t="n">
        <f aca="false">IF(1&lt;='Inputs &amp; Assumptions'!$E$144,'Inputs &amp; Assumptions'!$D$59*INDEX('Inputs &amp; Assumptions'!$C$26:$I$26,CEILING(('Inputs &amp; Assumptions'!$C$144+1)/4,1))*E174,0)</f>
        <v>802500</v>
      </c>
      <c r="F185" s="39" t="n">
        <f aca="false">IF(2&lt;='Inputs &amp; Assumptions'!$E$144,'Inputs &amp; Assumptions'!$D$59*INDEX('Inputs &amp; Assumptions'!$C$26:$I$26,CEILING(('Inputs &amp; Assumptions'!$C$144+2)/4,1))*F174,0)</f>
        <v>752169.723276768</v>
      </c>
      <c r="G185" s="39" t="n">
        <f aca="false">IF(3&lt;='Inputs &amp; Assumptions'!$E$144,'Inputs &amp; Assumptions'!$D$59*INDEX('Inputs &amp; Assumptions'!$C$26:$I$26,CEILING(('Inputs &amp; Assumptions'!$C$144+3)/4,1))*G174,0)</f>
        <v>704996.003257631</v>
      </c>
      <c r="H185" s="39" t="n">
        <f aca="false">IF(4&lt;='Inputs &amp; Assumptions'!$E$144,'Inputs &amp; Assumptions'!$D$59*INDEX('Inputs &amp; Assumptions'!$C$26:$I$26,CEILING(('Inputs &amp; Assumptions'!$C$144+4)/4,1))*H174,0)</f>
        <v>660780.870631177</v>
      </c>
      <c r="I185" s="39" t="n">
        <f aca="false">IF(5&lt;='Inputs &amp; Assumptions'!$E$144,'Inputs &amp; Assumptions'!$D$59*INDEX('Inputs &amp; Assumptions'!$C$26:$I$26,CEILING(('Inputs &amp; Assumptions'!$C$144+5)/4,1))*I174,0)</f>
        <v>549880.218218502</v>
      </c>
      <c r="J185" s="39" t="n">
        <f aca="false">IF(6&lt;='Inputs &amp; Assumptions'!$E$144,'Inputs &amp; Assumptions'!$D$59*INDEX('Inputs &amp; Assumptions'!$C$26:$I$26,CEILING(('Inputs &amp; Assumptions'!$C$144+6)/4,1))*J174,0)</f>
        <v>516177.030348326</v>
      </c>
      <c r="K185" s="39" t="n">
        <f aca="false">IF(7&lt;='Inputs &amp; Assumptions'!$E$144,'Inputs &amp; Assumptions'!$D$59*INDEX('Inputs &amp; Assumptions'!$C$26:$I$26,CEILING(('Inputs &amp; Assumptions'!$C$144+7)/4,1))*K174,0)</f>
        <v>484539.573950166</v>
      </c>
      <c r="L185" s="39" t="n">
        <f aca="false">IF(8&lt;='Inputs &amp; Assumptions'!$E$144,'Inputs &amp; Assumptions'!$D$59*INDEX('Inputs &amp; Assumptions'!$C$26:$I$26,CEILING(('Inputs &amp; Assumptions'!$C$144+8)/4,1))*L174,0)</f>
        <v>454841.236475352</v>
      </c>
      <c r="M185" s="39" t="n">
        <f aca="false">IF(9&lt;='Inputs &amp; Assumptions'!$E$144,'Inputs &amp; Assumptions'!$D$59*INDEX('Inputs &amp; Assumptions'!$C$26:$I$26,CEILING(('Inputs &amp; Assumptions'!$C$144+9)/4,1))*M174,0)</f>
        <v>341570.53255626</v>
      </c>
      <c r="N185" s="39" t="n">
        <f aca="false">IF(10&lt;='Inputs &amp; Assumptions'!$E$144,'Inputs &amp; Assumptions'!$D$59*INDEX('Inputs &amp; Assumptions'!$C$26:$I$26,CEILING(('Inputs &amp; Assumptions'!$C$144+10)/4,1))*N174,0)</f>
        <v>321405.69503943</v>
      </c>
      <c r="O185" s="39" t="n">
        <f aca="false">IF(11&lt;='Inputs &amp; Assumptions'!$E$144,'Inputs &amp; Assumptions'!$D$59*INDEX('Inputs &amp; Assumptions'!$C$26:$I$26,CEILING(('Inputs &amp; Assumptions'!$C$144+11)/4,1))*O174,0)</f>
        <v>302431.301759804</v>
      </c>
      <c r="P185" s="39" t="n">
        <f aca="false">IF(12&lt;='Inputs &amp; Assumptions'!$E$144,'Inputs &amp; Assumptions'!$D$59*INDEX('Inputs &amp; Assumptions'!$C$26:$I$26,CEILING(('Inputs &amp; Assumptions'!$C$144+12)/4,1))*P174,0)</f>
        <v>284577.074071163</v>
      </c>
      <c r="Q185" s="39" t="n">
        <f aca="false">IF(13&lt;='Inputs &amp; Assumptions'!$E$144,'Inputs &amp; Assumptions'!$D$59*INDEX('Inputs &amp; Assumptions'!$C$26:$I$26,CEILING(('Inputs &amp; Assumptions'!$C$144+13)/4,1))*Q174,0)</f>
        <v>208760.266771783</v>
      </c>
      <c r="R185" s="39" t="n">
        <f aca="false">IF(14&lt;='Inputs &amp; Assumptions'!$E$144,'Inputs &amp; Assumptions'!$D$59*INDEX('Inputs &amp; Assumptions'!$C$26:$I$26,CEILING(('Inputs &amp; Assumptions'!$C$144+14)/4,1))*R174,0)</f>
        <v>196851.201794415</v>
      </c>
      <c r="S185" s="39" t="n">
        <f aca="false">IF(15&lt;='Inputs &amp; Assumptions'!$E$144,'Inputs &amp; Assumptions'!$D$59*INDEX('Inputs &amp; Assumptions'!$C$26:$I$26,CEILING(('Inputs &amp; Assumptions'!$C$144+15)/4,1))*S174,0)</f>
        <v>185621.508571204</v>
      </c>
      <c r="T185" s="39" t="n">
        <f aca="false">IF(16&lt;='Inputs &amp; Assumptions'!$E$144,'Inputs &amp; Assumptions'!$D$59*INDEX('Inputs &amp; Assumptions'!$C$26:$I$26,CEILING(('Inputs &amp; Assumptions'!$C$144+16)/4,1))*T174,0)</f>
        <v>175032.431248419</v>
      </c>
      <c r="U185" s="39" t="n">
        <f aca="false">IF(17&lt;='Inputs &amp; Assumptions'!$E$144,'Inputs &amp; Assumptions'!$D$59*INDEX('Inputs &amp; Assumptions'!$C$26:$I$26,CEILING(('Inputs &amp; Assumptions'!$C$144+17)/4,1))*U174,0)</f>
        <v>133709.30621756</v>
      </c>
      <c r="V185" s="39" t="n">
        <f aca="false">IF(18&lt;='Inputs &amp; Assumptions'!$E$144,'Inputs &amp; Assumptions'!$D$59*INDEX('Inputs &amp; Assumptions'!$C$26:$I$26,CEILING(('Inputs &amp; Assumptions'!$C$144+18)/4,1))*V174,0)</f>
        <v>126260.269176305</v>
      </c>
      <c r="W185" s="39" t="n">
        <f aca="false">IF(19&lt;='Inputs &amp; Assumptions'!$E$144,'Inputs &amp; Assumptions'!$D$59*INDEX('Inputs &amp; Assumptions'!$C$26:$I$26,CEILING(('Inputs &amp; Assumptions'!$C$144+19)/4,1))*W174,0)</f>
        <v>119226.223091264</v>
      </c>
      <c r="X185" s="39" t="n">
        <f aca="false">IF(20&lt;='Inputs &amp; Assumptions'!$E$144,'Inputs &amp; Assumptions'!$D$59*INDEX('Inputs &amp; Assumptions'!$C$26:$I$26,CEILING(('Inputs &amp; Assumptions'!$C$144+20)/4,1))*X174,0)</f>
        <v>112584.048531995</v>
      </c>
      <c r="Y185" s="39" t="n">
        <f aca="false">IF(21&lt;='Inputs &amp; Assumptions'!$E$144,'Inputs &amp; Assumptions'!$D$59*INDEX('Inputs &amp; Assumptions'!$C$26:$I$26,CEILING(('Inputs &amp; Assumptions'!$C$144+21)/4,1))*Y174,0)</f>
        <v>83609.8907508941</v>
      </c>
      <c r="Z185" s="39" t="n">
        <f aca="false">IF(22&lt;='Inputs &amp; Assumptions'!$E$144,'Inputs &amp; Assumptions'!$D$59*INDEX('Inputs &amp; Assumptions'!$C$26:$I$26,CEILING(('Inputs &amp; Assumptions'!$C$144+22)/4,1))*Z174,0)</f>
        <v>79053.6942261171</v>
      </c>
      <c r="AA185" s="39" t="n">
        <f aca="false">IF(23&lt;='Inputs &amp; Assumptions'!$E$144,'Inputs &amp; Assumptions'!$D$59*INDEX('Inputs &amp; Assumptions'!$C$26:$I$26,CEILING(('Inputs &amp; Assumptions'!$C$144+23)/4,1))*AA174,0)</f>
        <v>74745.7808480581</v>
      </c>
      <c r="AB185" s="39" t="n">
        <f aca="false">IF(24&lt;='Inputs &amp; Assumptions'!$E$144,'Inputs &amp; Assumptions'!$D$59*INDEX('Inputs &amp; Assumptions'!$C$26:$I$26,CEILING(('Inputs &amp; Assumptions'!$C$144+24)/4,1))*AB174,0)</f>
        <v>70672.6207962609</v>
      </c>
      <c r="AC185" s="39" t="n">
        <f aca="false">IF(25&lt;='Inputs &amp; Assumptions'!$E$144,'Inputs &amp; Assumptions'!$D$59*INDEX('Inputs &amp; Assumptions'!$C$26:$I$26,CEILING(('Inputs &amp; Assumptions'!$C$144+25)/4,1))*AC174,0)</f>
        <v>0</v>
      </c>
      <c r="AD185" s="39" t="n">
        <f aca="false">IF(26&lt;='Inputs &amp; Assumptions'!$E$144,'Inputs &amp; Assumptions'!$D$59*INDEX('Inputs &amp; Assumptions'!$C$26:$I$26,CEILING(('Inputs &amp; Assumptions'!$C$144+26)/4,1))*AD174,0)</f>
        <v>0</v>
      </c>
      <c r="AE185" s="39" t="n">
        <f aca="false">IF(27&lt;='Inputs &amp; Assumptions'!$E$144,'Inputs &amp; Assumptions'!$D$59*INDEX('Inputs &amp; Assumptions'!$C$26:$I$26,CEILING(('Inputs &amp; Assumptions'!$C$144+27)/4,1))*AE174,0)</f>
        <v>0</v>
      </c>
      <c r="AF185" s="39" t="n">
        <f aca="false">IF(28&lt;='Inputs &amp; Assumptions'!$E$144,'Inputs &amp; Assumptions'!$D$59*INDEX('Inputs &amp; Assumptions'!$C$26:$I$26,CEILING(('Inputs &amp; Assumptions'!$C$144+28)/4,1))*AF174,0)</f>
        <v>0</v>
      </c>
      <c r="AG185" s="39" t="n">
        <f aca="false">IF(29&lt;='Inputs &amp; Assumptions'!$E$144,'Inputs &amp; Assumptions'!$D$59*INDEX('Inputs &amp; Assumptions'!$C$26:$I$26,CEILING(('Inputs &amp; Assumptions'!$C$144+29)/4,1))*AG174,0)</f>
        <v>0</v>
      </c>
      <c r="AH185" s="39" t="n">
        <f aca="false">IF(30&lt;='Inputs &amp; Assumptions'!$E$144,'Inputs &amp; Assumptions'!$D$59*INDEX('Inputs &amp; Assumptions'!$C$26:$I$26,CEILING(('Inputs &amp; Assumptions'!$C$144+30)/4,1))*AH174,0)</f>
        <v>0</v>
      </c>
      <c r="AI185" s="39" t="n">
        <f aca="false">IF(31&lt;='Inputs &amp; Assumptions'!$E$144,'Inputs &amp; Assumptions'!$D$59*INDEX('Inputs &amp; Assumptions'!$C$26:$I$26,CEILING(('Inputs &amp; Assumptions'!$C$144+31)/4,1))*AI174,0)</f>
        <v>0</v>
      </c>
      <c r="AJ185" s="39" t="n">
        <f aca="false">IF(32&lt;='Inputs &amp; Assumptions'!$E$144,'Inputs &amp; Assumptions'!$D$59*INDEX('Inputs &amp; Assumptions'!$C$26:$I$26,CEILING(('Inputs &amp; Assumptions'!$C$144+32)/4,1))*AJ174,0)</f>
        <v>0</v>
      </c>
      <c r="AK185" s="39" t="n">
        <f aca="false">IF(33&lt;='Inputs &amp; Assumptions'!$E$144,'Inputs &amp; Assumptions'!$D$59*INDEX('Inputs &amp; Assumptions'!$C$26:$I$26,CEILING(('Inputs &amp; Assumptions'!$C$144+33)/4,1))*AK174,0)</f>
        <v>0</v>
      </c>
      <c r="AL185" s="39" t="n">
        <f aca="false">IF(34&lt;='Inputs &amp; Assumptions'!$E$144,'Inputs &amp; Assumptions'!$D$59*INDEX('Inputs &amp; Assumptions'!$C$26:$I$26,CEILING(('Inputs &amp; Assumptions'!$C$144+34)/4,1))*AL174,0)</f>
        <v>0</v>
      </c>
      <c r="AM185" s="39" t="n">
        <f aca="false">IF(35&lt;='Inputs &amp; Assumptions'!$E$144,'Inputs &amp; Assumptions'!$D$59*INDEX('Inputs &amp; Assumptions'!$C$26:$I$26,CEILING(('Inputs &amp; Assumptions'!$C$144+35)/4,1))*AM174,0)</f>
        <v>0</v>
      </c>
      <c r="AN185" s="39" t="n">
        <f aca="false">IF(36&lt;='Inputs &amp; Assumptions'!$E$144,'Inputs &amp; Assumptions'!$D$59*INDEX('Inputs &amp; Assumptions'!$C$26:$I$26,CEILING(('Inputs &amp; Assumptions'!$C$144+36)/4,1))*AN174,0)</f>
        <v>0</v>
      </c>
    </row>
    <row r="186" customFormat="false" ht="15" hidden="false" customHeight="false" outlineLevel="0" collapsed="false">
      <c r="B186" s="37" t="n">
        <v>6</v>
      </c>
      <c r="C186" s="38" t="n">
        <f aca="false">'Inputs &amp; Assumptions'!$C$145</f>
        <v>5</v>
      </c>
      <c r="D186" s="38" t="n">
        <f aca="false">'Inputs &amp; Assumptions'!$D$145</f>
        <v>3</v>
      </c>
      <c r="E186" s="39" t="n">
        <f aca="false">IF(1&lt;='Inputs &amp; Assumptions'!$E$145,'Inputs &amp; Assumptions'!$D$59*INDEX('Inputs &amp; Assumptions'!$C$26:$I$26,CEILING(('Inputs &amp; Assumptions'!$C$145+1)/4,1))*E175,0)</f>
        <v>778425</v>
      </c>
      <c r="F186" s="39" t="n">
        <f aca="false">IF(2&lt;='Inputs &amp; Assumptions'!$E$145,'Inputs &amp; Assumptions'!$D$59*INDEX('Inputs &amp; Assumptions'!$C$26:$I$26,CEILING(('Inputs &amp; Assumptions'!$C$145+2)/4,1))*F175,0)</f>
        <v>729604.631578465</v>
      </c>
      <c r="G186" s="39" t="n">
        <f aca="false">IF(3&lt;='Inputs &amp; Assumptions'!$E$145,'Inputs &amp; Assumptions'!$D$59*INDEX('Inputs &amp; Assumptions'!$C$26:$I$26,CEILING(('Inputs &amp; Assumptions'!$C$145+3)/4,1))*G175,0)</f>
        <v>683846.123159902</v>
      </c>
      <c r="H186" s="39" t="n">
        <f aca="false">IF(4&lt;='Inputs &amp; Assumptions'!$E$145,'Inputs &amp; Assumptions'!$D$59*INDEX('Inputs &amp; Assumptions'!$C$26:$I$26,CEILING(('Inputs &amp; Assumptions'!$C$145+4)/4,1))*H175,0)</f>
        <v>569074.366623018</v>
      </c>
      <c r="I186" s="39" t="n">
        <f aca="false">IF(5&lt;='Inputs &amp; Assumptions'!$E$145,'Inputs &amp; Assumptions'!$D$59*INDEX('Inputs &amp; Assumptions'!$C$26:$I$26,CEILING(('Inputs &amp; Assumptions'!$C$145+5)/4,1))*I175,0)</f>
        <v>534194.733468484</v>
      </c>
      <c r="J186" s="39" t="n">
        <f aca="false">IF(6&lt;='Inputs &amp; Assumptions'!$E$145,'Inputs &amp; Assumptions'!$D$59*INDEX('Inputs &amp; Assumptions'!$C$26:$I$26,CEILING(('Inputs &amp; Assumptions'!$C$145+6)/4,1))*J175,0)</f>
        <v>501452.938319576</v>
      </c>
      <c r="K186" s="39" t="n">
        <f aca="false">IF(7&lt;='Inputs &amp; Assumptions'!$E$145,'Inputs &amp; Assumptions'!$D$59*INDEX('Inputs &amp; Assumptions'!$C$26:$I$26,CEILING(('Inputs &amp; Assumptions'!$C$145+7)/4,1))*K175,0)</f>
        <v>470717.94908321</v>
      </c>
      <c r="L186" s="39" t="n">
        <f aca="false">IF(8&lt;='Inputs &amp; Assumptions'!$E$145,'Inputs &amp; Assumptions'!$D$59*INDEX('Inputs &amp; Assumptions'!$C$26:$I$26,CEILING(('Inputs &amp; Assumptions'!$C$145+8)/4,1))*L175,0)</f>
        <v>353493.411894846</v>
      </c>
      <c r="M186" s="39" t="n">
        <f aca="false">IF(9&lt;='Inputs &amp; Assumptions'!$E$145,'Inputs &amp; Assumptions'!$D$59*INDEX('Inputs &amp; Assumptions'!$C$26:$I$26,CEILING(('Inputs &amp; Assumptions'!$C$145+9)/4,1))*M175,0)</f>
        <v>332624.699477579</v>
      </c>
      <c r="N186" s="39" t="n">
        <f aca="false">IF(10&lt;='Inputs &amp; Assumptions'!$E$145,'Inputs &amp; Assumptions'!$D$59*INDEX('Inputs &amp; Assumptions'!$C$26:$I$26,CEILING(('Inputs &amp; Assumptions'!$C$145+10)/4,1))*N175,0)</f>
        <v>312987.98500794</v>
      </c>
      <c r="O186" s="39" t="n">
        <f aca="false">IF(11&lt;='Inputs &amp; Assumptions'!$E$145,'Inputs &amp; Assumptions'!$D$59*INDEX('Inputs &amp; Assumptions'!$C$26:$I$26,CEILING(('Inputs &amp; Assumptions'!$C$145+11)/4,1))*O175,0)</f>
        <v>294510.536689515</v>
      </c>
      <c r="P186" s="39" t="n">
        <f aca="false">IF(12&lt;='Inputs &amp; Assumptions'!$E$145,'Inputs &amp; Assumptions'!$D$59*INDEX('Inputs &amp; Assumptions'!$C$26:$I$26,CEILING(('Inputs &amp; Assumptions'!$C$145+12)/4,1))*P175,0)</f>
        <v>216047.263846102</v>
      </c>
      <c r="Q186" s="39" t="n">
        <f aca="false">IF(13&lt;='Inputs &amp; Assumptions'!$E$145,'Inputs &amp; Assumptions'!$D$59*INDEX('Inputs &amp; Assumptions'!$C$26:$I$26,CEILING(('Inputs &amp; Assumptions'!$C$145+13)/4,1))*Q175,0)</f>
        <v>203722.500407575</v>
      </c>
      <c r="R186" s="39" t="n">
        <f aca="false">IF(14&lt;='Inputs &amp; Assumptions'!$E$145,'Inputs &amp; Assumptions'!$D$59*INDEX('Inputs &amp; Assumptions'!$C$26:$I$26,CEILING(('Inputs &amp; Assumptions'!$C$145+14)/4,1))*R175,0)</f>
        <v>192100.822910114</v>
      </c>
      <c r="S186" s="39" t="n">
        <f aca="false">IF(15&lt;='Inputs &amp; Assumptions'!$E$145,'Inputs &amp; Assumptions'!$D$59*INDEX('Inputs &amp; Assumptions'!$C$26:$I$26,CEILING(('Inputs &amp; Assumptions'!$C$145+15)/4,1))*S175,0)</f>
        <v>181142.122686074</v>
      </c>
      <c r="T186" s="39" t="n">
        <f aca="false">IF(16&lt;='Inputs &amp; Assumptions'!$E$145,'Inputs &amp; Assumptions'!$D$59*INDEX('Inputs &amp; Assumptions'!$C$26:$I$26,CEILING(('Inputs &amp; Assumptions'!$C$145+16)/4,1))*T175,0)</f>
        <v>138376.570435428</v>
      </c>
      <c r="U186" s="39" t="n">
        <f aca="false">IF(17&lt;='Inputs &amp; Assumptions'!$E$145,'Inputs &amp; Assumptions'!$D$59*INDEX('Inputs &amp; Assumptions'!$C$26:$I$26,CEILING(('Inputs &amp; Assumptions'!$C$145+17)/4,1))*U175,0)</f>
        <v>130667.516907485</v>
      </c>
      <c r="V186" s="39" t="n">
        <f aca="false">IF(18&lt;='Inputs &amp; Assumptions'!$E$145,'Inputs &amp; Assumptions'!$D$59*INDEX('Inputs &amp; Assumptions'!$C$26:$I$26,CEILING(('Inputs &amp; Assumptions'!$C$145+18)/4,1))*V175,0)</f>
        <v>123387.940032342</v>
      </c>
      <c r="W186" s="39" t="n">
        <f aca="false">IF(19&lt;='Inputs &amp; Assumptions'!$E$145,'Inputs &amp; Assumptions'!$D$59*INDEX('Inputs &amp; Assumptions'!$C$26:$I$26,CEILING(('Inputs &amp; Assumptions'!$C$145+19)/4,1))*W175,0)</f>
        <v>116513.913371478</v>
      </c>
      <c r="X186" s="39" t="n">
        <f aca="false">IF(20&lt;='Inputs &amp; Assumptions'!$E$145,'Inputs &amp; Assumptions'!$D$59*INDEX('Inputs &amp; Assumptions'!$C$26:$I$26,CEILING(('Inputs &amp; Assumptions'!$C$145+20)/4,1))*X175,0)</f>
        <v>86528.3820840745</v>
      </c>
      <c r="Y186" s="39" t="n">
        <f aca="false">IF(21&lt;='Inputs &amp; Assumptions'!$E$145,'Inputs &amp; Assumptions'!$D$59*INDEX('Inputs &amp; Assumptions'!$C$26:$I$26,CEILING(('Inputs &amp; Assumptions'!$C$145+21)/4,1))*Y175,0)</f>
        <v>81813.1467189114</v>
      </c>
      <c r="Z186" s="39" t="n">
        <f aca="false">IF(22&lt;='Inputs &amp; Assumptions'!$E$145,'Inputs &amp; Assumptions'!$D$59*INDEX('Inputs &amp; Assumptions'!$C$26:$I$26,CEILING(('Inputs &amp; Assumptions'!$C$145+22)/4,1))*Z175,0)</f>
        <v>77354.8610853089</v>
      </c>
      <c r="AA186" s="39" t="n">
        <f aca="false">IF(23&lt;='Inputs &amp; Assumptions'!$E$145,'Inputs &amp; Assumptions'!$D$59*INDEX('Inputs &amp; Assumptions'!$C$26:$I$26,CEILING(('Inputs &amp; Assumptions'!$C$145+23)/4,1))*AA175,0)</f>
        <v>73139.5230901719</v>
      </c>
      <c r="AB186" s="39" t="n">
        <f aca="false">IF(24&lt;='Inputs &amp; Assumptions'!$E$145,'Inputs &amp; Assumptions'!$D$59*INDEX('Inputs &amp; Assumptions'!$C$26:$I$26,CEILING(('Inputs &amp; Assumptions'!$C$145+24)/4,1))*AB175,0)</f>
        <v>0</v>
      </c>
      <c r="AC186" s="39" t="n">
        <f aca="false">IF(25&lt;='Inputs &amp; Assumptions'!$E$145,'Inputs &amp; Assumptions'!$D$59*INDEX('Inputs &amp; Assumptions'!$C$26:$I$26,CEILING(('Inputs &amp; Assumptions'!$C$145+25)/4,1))*AC175,0)</f>
        <v>0</v>
      </c>
      <c r="AD186" s="39" t="n">
        <f aca="false">IF(26&lt;='Inputs &amp; Assumptions'!$E$145,'Inputs &amp; Assumptions'!$D$59*INDEX('Inputs &amp; Assumptions'!$C$26:$I$26,CEILING(('Inputs &amp; Assumptions'!$C$145+26)/4,1))*AD175,0)</f>
        <v>0</v>
      </c>
      <c r="AE186" s="39" t="n">
        <f aca="false">IF(27&lt;='Inputs &amp; Assumptions'!$E$145,'Inputs &amp; Assumptions'!$D$59*INDEX('Inputs &amp; Assumptions'!$C$26:$I$26,CEILING(('Inputs &amp; Assumptions'!$C$145+27)/4,1))*AE175,0)</f>
        <v>0</v>
      </c>
      <c r="AF186" s="39" t="n">
        <f aca="false">IF(28&lt;='Inputs &amp; Assumptions'!$E$145,'Inputs &amp; Assumptions'!$D$59*INDEX('Inputs &amp; Assumptions'!$C$26:$I$26,CEILING(('Inputs &amp; Assumptions'!$C$145+28)/4,1))*AF175,0)</f>
        <v>0</v>
      </c>
      <c r="AG186" s="39" t="n">
        <f aca="false">IF(29&lt;='Inputs &amp; Assumptions'!$E$145,'Inputs &amp; Assumptions'!$D$59*INDEX('Inputs &amp; Assumptions'!$C$26:$I$26,CEILING(('Inputs &amp; Assumptions'!$C$145+29)/4,1))*AG175,0)</f>
        <v>0</v>
      </c>
      <c r="AH186" s="39" t="n">
        <f aca="false">IF(30&lt;='Inputs &amp; Assumptions'!$E$145,'Inputs &amp; Assumptions'!$D$59*INDEX('Inputs &amp; Assumptions'!$C$26:$I$26,CEILING(('Inputs &amp; Assumptions'!$C$145+30)/4,1))*AH175,0)</f>
        <v>0</v>
      </c>
      <c r="AI186" s="39" t="n">
        <f aca="false">IF(31&lt;='Inputs &amp; Assumptions'!$E$145,'Inputs &amp; Assumptions'!$D$59*INDEX('Inputs &amp; Assumptions'!$C$26:$I$26,CEILING(('Inputs &amp; Assumptions'!$C$145+31)/4,1))*AI175,0)</f>
        <v>0</v>
      </c>
      <c r="AJ186" s="39" t="n">
        <f aca="false">IF(32&lt;='Inputs &amp; Assumptions'!$E$145,'Inputs &amp; Assumptions'!$D$59*INDEX('Inputs &amp; Assumptions'!$C$26:$I$26,CEILING(('Inputs &amp; Assumptions'!$C$145+32)/4,1))*AJ175,0)</f>
        <v>0</v>
      </c>
      <c r="AK186" s="39" t="n">
        <f aca="false">IF(33&lt;='Inputs &amp; Assumptions'!$E$145,'Inputs &amp; Assumptions'!$D$59*INDEX('Inputs &amp; Assumptions'!$C$26:$I$26,CEILING(('Inputs &amp; Assumptions'!$C$145+33)/4,1))*AK175,0)</f>
        <v>0</v>
      </c>
      <c r="AL186" s="39" t="n">
        <f aca="false">IF(34&lt;='Inputs &amp; Assumptions'!$E$145,'Inputs &amp; Assumptions'!$D$59*INDEX('Inputs &amp; Assumptions'!$C$26:$I$26,CEILING(('Inputs &amp; Assumptions'!$C$145+34)/4,1))*AL175,0)</f>
        <v>0</v>
      </c>
      <c r="AM186" s="39" t="n">
        <f aca="false">IF(35&lt;='Inputs &amp; Assumptions'!$E$145,'Inputs &amp; Assumptions'!$D$59*INDEX('Inputs &amp; Assumptions'!$C$26:$I$26,CEILING(('Inputs &amp; Assumptions'!$C$145+35)/4,1))*AM175,0)</f>
        <v>0</v>
      </c>
      <c r="AN186" s="39" t="n">
        <f aca="false">IF(36&lt;='Inputs &amp; Assumptions'!$E$145,'Inputs &amp; Assumptions'!$D$59*INDEX('Inputs &amp; Assumptions'!$C$26:$I$26,CEILING(('Inputs &amp; Assumptions'!$C$145+36)/4,1))*AN175,0)</f>
        <v>0</v>
      </c>
    </row>
    <row r="187" customFormat="false" ht="15" hidden="false" customHeight="false" outlineLevel="0" collapsed="false">
      <c r="B187" s="37" t="n">
        <v>7</v>
      </c>
      <c r="C187" s="38" t="n">
        <f aca="false">'Inputs &amp; Assumptions'!$C$146</f>
        <v>6</v>
      </c>
      <c r="D187" s="38" t="n">
        <f aca="false">'Inputs &amp; Assumptions'!$D$146</f>
        <v>3</v>
      </c>
      <c r="E187" s="39" t="n">
        <f aca="false">IF(1&lt;='Inputs &amp; Assumptions'!$E$146,'Inputs &amp; Assumptions'!$D$59*INDEX('Inputs &amp; Assumptions'!$C$26:$I$26,CEILING(('Inputs &amp; Assumptions'!$C$146+1)/4,1))*E176,0)</f>
        <v>755072.25</v>
      </c>
      <c r="F187" s="39" t="n">
        <f aca="false">IF(2&lt;='Inputs &amp; Assumptions'!$E$146,'Inputs &amp; Assumptions'!$D$59*INDEX('Inputs &amp; Assumptions'!$C$26:$I$26,CEILING(('Inputs &amp; Assumptions'!$C$146+2)/4,1))*F176,0)</f>
        <v>707716.492631111</v>
      </c>
      <c r="G187" s="39" t="n">
        <f aca="false">IF(3&lt;='Inputs &amp; Assumptions'!$E$146,'Inputs &amp; Assumptions'!$D$59*INDEX('Inputs &amp; Assumptions'!$C$26:$I$26,CEILING(('Inputs &amp; Assumptions'!$C$146+3)/4,1))*G176,0)</f>
        <v>588938.507001729</v>
      </c>
      <c r="H187" s="39" t="n">
        <f aca="false">IF(4&lt;='Inputs &amp; Assumptions'!$E$146,'Inputs &amp; Assumptions'!$D$59*INDEX('Inputs &amp; Assumptions'!$C$26:$I$26,CEILING(('Inputs &amp; Assumptions'!$C$146+4)/4,1))*H176,0)</f>
        <v>552841.36350061</v>
      </c>
      <c r="I187" s="39" t="n">
        <f aca="false">IF(5&lt;='Inputs &amp; Assumptions'!$E$146,'Inputs &amp; Assumptions'!$D$59*INDEX('Inputs &amp; Assumptions'!$C$26:$I$26,CEILING(('Inputs &amp; Assumptions'!$C$146+5)/4,1))*I176,0)</f>
        <v>518956.681493262</v>
      </c>
      <c r="J187" s="39" t="n">
        <f aca="false">IF(6&lt;='Inputs &amp; Assumptions'!$E$146,'Inputs &amp; Assumptions'!$D$59*INDEX('Inputs &amp; Assumptions'!$C$26:$I$26,CEILING(('Inputs &amp; Assumptions'!$C$146+6)/4,1))*J176,0)</f>
        <v>487148.855073326</v>
      </c>
      <c r="K187" s="39" t="n">
        <f aca="false">IF(7&lt;='Inputs &amp; Assumptions'!$E$146,'Inputs &amp; Assumptions'!$D$59*INDEX('Inputs &amp; Assumptions'!$C$26:$I$26,CEILING(('Inputs &amp; Assumptions'!$C$146+7)/4,1))*K176,0)</f>
        <v>365832.471899424</v>
      </c>
      <c r="L187" s="39" t="n">
        <f aca="false">IF(8&lt;='Inputs &amp; Assumptions'!$E$146,'Inputs &amp; Assumptions'!$D$59*INDEX('Inputs &amp; Assumptions'!$C$26:$I$26,CEILING(('Inputs &amp; Assumptions'!$C$146+8)/4,1))*L176,0)</f>
        <v>344235.315086674</v>
      </c>
      <c r="M187" s="39" t="n">
        <f aca="false">IF(9&lt;='Inputs &amp; Assumptions'!$E$146,'Inputs &amp; Assumptions'!$D$59*INDEX('Inputs &amp; Assumptions'!$C$26:$I$26,CEILING(('Inputs &amp; Assumptions'!$C$146+9)/4,1))*M176,0)</f>
        <v>323913.160408023</v>
      </c>
      <c r="N187" s="39" t="n">
        <f aca="false">IF(10&lt;='Inputs &amp; Assumptions'!$E$146,'Inputs &amp; Assumptions'!$D$59*INDEX('Inputs &amp; Assumptions'!$C$26:$I$26,CEILING(('Inputs &amp; Assumptions'!$C$146+10)/4,1))*N176,0)</f>
        <v>304790.737287068</v>
      </c>
      <c r="O187" s="39" t="n">
        <f aca="false">IF(11&lt;='Inputs &amp; Assumptions'!$E$146,'Inputs &amp; Assumptions'!$D$59*INDEX('Inputs &amp; Assumptions'!$C$26:$I$26,CEILING(('Inputs &amp; Assumptions'!$C$146+11)/4,1))*O176,0)</f>
        <v>223588.621231328</v>
      </c>
      <c r="P187" s="39" t="n">
        <f aca="false">IF(12&lt;='Inputs &amp; Assumptions'!$E$146,'Inputs &amp; Assumptions'!$D$59*INDEX('Inputs &amp; Assumptions'!$C$26:$I$26,CEILING(('Inputs &amp; Assumptions'!$C$146+12)/4,1))*P176,0)</f>
        <v>210833.648938851</v>
      </c>
      <c r="Q187" s="39" t="n">
        <f aca="false">IF(13&lt;='Inputs &amp; Assumptions'!$E$146,'Inputs &amp; Assumptions'!$D$59*INDEX('Inputs &amp; Assumptions'!$C$26:$I$26,CEILING(('Inputs &amp; Assumptions'!$C$146+13)/4,1))*Q176,0)</f>
        <v>198806.304543027</v>
      </c>
      <c r="R187" s="39" t="n">
        <f aca="false">IF(14&lt;='Inputs &amp; Assumptions'!$E$146,'Inputs &amp; Assumptions'!$D$59*INDEX('Inputs &amp; Assumptions'!$C$26:$I$26,CEILING(('Inputs &amp; Assumptions'!$C$146+14)/4,1))*R176,0)</f>
        <v>187465.079340907</v>
      </c>
      <c r="S187" s="39" t="n">
        <f aca="false">IF(15&lt;='Inputs &amp; Assumptions'!$E$146,'Inputs &amp; Assumptions'!$D$59*INDEX('Inputs &amp; Assumptions'!$C$26:$I$26,CEILING(('Inputs &amp; Assumptions'!$C$146+15)/4,1))*S176,0)</f>
        <v>143206.750428538</v>
      </c>
      <c r="T187" s="39" t="n">
        <f aca="false">IF(16&lt;='Inputs &amp; Assumptions'!$E$146,'Inputs &amp; Assumptions'!$D$59*INDEX('Inputs &amp; Assumptions'!$C$26:$I$26,CEILING(('Inputs &amp; Assumptions'!$C$146+16)/4,1))*T176,0)</f>
        <v>135228.604264469</v>
      </c>
      <c r="U187" s="39" t="n">
        <f aca="false">IF(17&lt;='Inputs &amp; Assumptions'!$E$146,'Inputs &amp; Assumptions'!$D$59*INDEX('Inputs &amp; Assumptions'!$C$26:$I$26,CEILING(('Inputs &amp; Assumptions'!$C$146+17)/4,1))*U176,0)</f>
        <v>127694.926088289</v>
      </c>
      <c r="V187" s="39" t="n">
        <f aca="false">IF(18&lt;='Inputs &amp; Assumptions'!$E$146,'Inputs &amp; Assumptions'!$D$59*INDEX('Inputs &amp; Assumptions'!$C$26:$I$26,CEILING(('Inputs &amp; Assumptions'!$C$146+18)/4,1))*V176,0)</f>
        <v>120580.954283931</v>
      </c>
      <c r="W187" s="39" t="n">
        <f aca="false">IF(19&lt;='Inputs &amp; Assumptions'!$E$146,'Inputs &amp; Assumptions'!$D$59*INDEX('Inputs &amp; Assumptions'!$C$26:$I$26,CEILING(('Inputs &amp; Assumptions'!$C$146+19)/4,1))*W176,0)</f>
        <v>89548.7464323416</v>
      </c>
      <c r="X187" s="39" t="n">
        <f aca="false">IF(20&lt;='Inputs &amp; Assumptions'!$E$146,'Inputs &amp; Assumptions'!$D$59*INDEX('Inputs &amp; Assumptions'!$C$26:$I$26,CEILING(('Inputs &amp; Assumptions'!$C$146+20)/4,1))*X176,0)</f>
        <v>84668.9208084956</v>
      </c>
      <c r="Y187" s="39" t="n">
        <f aca="false">IF(21&lt;='Inputs &amp; Assumptions'!$E$146,'Inputs &amp; Assumptions'!$D$59*INDEX('Inputs &amp; Assumptions'!$C$26:$I$26,CEILING(('Inputs &amp; Assumptions'!$C$146+21)/4,1))*Y176,0)</f>
        <v>80055.0140173284</v>
      </c>
      <c r="Z187" s="39" t="n">
        <f aca="false">IF(22&lt;='Inputs &amp; Assumptions'!$E$146,'Inputs &amp; Assumptions'!$D$59*INDEX('Inputs &amp; Assumptions'!$C$26:$I$26,CEILING(('Inputs &amp; Assumptions'!$C$146+22)/4,1))*Z176,0)</f>
        <v>75692.5352079319</v>
      </c>
      <c r="AA187" s="39" t="n">
        <f aca="false">IF(23&lt;='Inputs &amp; Assumptions'!$E$146,'Inputs &amp; Assumptions'!$D$59*INDEX('Inputs &amp; Assumptions'!$C$26:$I$26,CEILING(('Inputs &amp; Assumptions'!$C$146+23)/4,1))*AA176,0)</f>
        <v>0</v>
      </c>
      <c r="AB187" s="39" t="n">
        <f aca="false">IF(24&lt;='Inputs &amp; Assumptions'!$E$146,'Inputs &amp; Assumptions'!$D$59*INDEX('Inputs &amp; Assumptions'!$C$26:$I$26,CEILING(('Inputs &amp; Assumptions'!$C$146+24)/4,1))*AB176,0)</f>
        <v>0</v>
      </c>
      <c r="AC187" s="39" t="n">
        <f aca="false">IF(25&lt;='Inputs &amp; Assumptions'!$E$146,'Inputs &amp; Assumptions'!$D$59*INDEX('Inputs &amp; Assumptions'!$C$26:$I$26,CEILING(('Inputs &amp; Assumptions'!$C$146+25)/4,1))*AC176,0)</f>
        <v>0</v>
      </c>
      <c r="AD187" s="39" t="n">
        <f aca="false">IF(26&lt;='Inputs &amp; Assumptions'!$E$146,'Inputs &amp; Assumptions'!$D$59*INDEX('Inputs &amp; Assumptions'!$C$26:$I$26,CEILING(('Inputs &amp; Assumptions'!$C$146+26)/4,1))*AD176,0)</f>
        <v>0</v>
      </c>
      <c r="AE187" s="39" t="n">
        <f aca="false">IF(27&lt;='Inputs &amp; Assumptions'!$E$146,'Inputs &amp; Assumptions'!$D$59*INDEX('Inputs &amp; Assumptions'!$C$26:$I$26,CEILING(('Inputs &amp; Assumptions'!$C$146+27)/4,1))*AE176,0)</f>
        <v>0</v>
      </c>
      <c r="AF187" s="39" t="n">
        <f aca="false">IF(28&lt;='Inputs &amp; Assumptions'!$E$146,'Inputs &amp; Assumptions'!$D$59*INDEX('Inputs &amp; Assumptions'!$C$26:$I$26,CEILING(('Inputs &amp; Assumptions'!$C$146+28)/4,1))*AF176,0)</f>
        <v>0</v>
      </c>
      <c r="AG187" s="39" t="n">
        <f aca="false">IF(29&lt;='Inputs &amp; Assumptions'!$E$146,'Inputs &amp; Assumptions'!$D$59*INDEX('Inputs &amp; Assumptions'!$C$26:$I$26,CEILING(('Inputs &amp; Assumptions'!$C$146+29)/4,1))*AG176,0)</f>
        <v>0</v>
      </c>
      <c r="AH187" s="39" t="n">
        <f aca="false">IF(30&lt;='Inputs &amp; Assumptions'!$E$146,'Inputs &amp; Assumptions'!$D$59*INDEX('Inputs &amp; Assumptions'!$C$26:$I$26,CEILING(('Inputs &amp; Assumptions'!$C$146+30)/4,1))*AH176,0)</f>
        <v>0</v>
      </c>
      <c r="AI187" s="39" t="n">
        <f aca="false">IF(31&lt;='Inputs &amp; Assumptions'!$E$146,'Inputs &amp; Assumptions'!$D$59*INDEX('Inputs &amp; Assumptions'!$C$26:$I$26,CEILING(('Inputs &amp; Assumptions'!$C$146+31)/4,1))*AI176,0)</f>
        <v>0</v>
      </c>
      <c r="AJ187" s="39" t="n">
        <f aca="false">IF(32&lt;='Inputs &amp; Assumptions'!$E$146,'Inputs &amp; Assumptions'!$D$59*INDEX('Inputs &amp; Assumptions'!$C$26:$I$26,CEILING(('Inputs &amp; Assumptions'!$C$146+32)/4,1))*AJ176,0)</f>
        <v>0</v>
      </c>
      <c r="AK187" s="39" t="n">
        <f aca="false">IF(33&lt;='Inputs &amp; Assumptions'!$E$146,'Inputs &amp; Assumptions'!$D$59*INDEX('Inputs &amp; Assumptions'!$C$26:$I$26,CEILING(('Inputs &amp; Assumptions'!$C$146+33)/4,1))*AK176,0)</f>
        <v>0</v>
      </c>
      <c r="AL187" s="39" t="n">
        <f aca="false">IF(34&lt;='Inputs &amp; Assumptions'!$E$146,'Inputs &amp; Assumptions'!$D$59*INDEX('Inputs &amp; Assumptions'!$C$26:$I$26,CEILING(('Inputs &amp; Assumptions'!$C$146+34)/4,1))*AL176,0)</f>
        <v>0</v>
      </c>
      <c r="AM187" s="39" t="n">
        <f aca="false">IF(35&lt;='Inputs &amp; Assumptions'!$E$146,'Inputs &amp; Assumptions'!$D$59*INDEX('Inputs &amp; Assumptions'!$C$26:$I$26,CEILING(('Inputs &amp; Assumptions'!$C$146+35)/4,1))*AM176,0)</f>
        <v>0</v>
      </c>
      <c r="AN187" s="39" t="n">
        <f aca="false">IF(36&lt;='Inputs &amp; Assumptions'!$E$146,'Inputs &amp; Assumptions'!$D$59*INDEX('Inputs &amp; Assumptions'!$C$26:$I$26,CEILING(('Inputs &amp; Assumptions'!$C$146+36)/4,1))*AN176,0)</f>
        <v>0</v>
      </c>
    </row>
    <row r="188" customFormat="false" ht="15" hidden="false" customHeight="false" outlineLevel="0" collapsed="false">
      <c r="B188" s="37" t="n">
        <v>8</v>
      </c>
      <c r="C188" s="38" t="n">
        <f aca="false">'Inputs &amp; Assumptions'!$C$147</f>
        <v>7</v>
      </c>
      <c r="D188" s="38" t="n">
        <f aca="false">'Inputs &amp; Assumptions'!$D$147</f>
        <v>3</v>
      </c>
      <c r="E188" s="39" t="n">
        <f aca="false">IF(1&lt;='Inputs &amp; Assumptions'!$E$147,'Inputs &amp; Assumptions'!$D$59*INDEX('Inputs &amp; Assumptions'!$C$26:$I$26,CEILING(('Inputs &amp; Assumptions'!$C$147+1)/4,1))*E177,0)</f>
        <v>732420.0825</v>
      </c>
      <c r="F188" s="39" t="n">
        <f aca="false">IF(2&lt;='Inputs &amp; Assumptions'!$E$147,'Inputs &amp; Assumptions'!$D$59*INDEX('Inputs &amp; Assumptions'!$C$26:$I$26,CEILING(('Inputs &amp; Assumptions'!$C$147+2)/4,1))*F177,0)</f>
        <v>609496.026130438</v>
      </c>
      <c r="G188" s="39" t="n">
        <f aca="false">IF(3&lt;='Inputs &amp; Assumptions'!$E$147,'Inputs &amp; Assumptions'!$D$59*INDEX('Inputs &amp; Assumptions'!$C$26:$I$26,CEILING(('Inputs &amp; Assumptions'!$C$147+3)/4,1))*G177,0)</f>
        <v>572138.873801243</v>
      </c>
      <c r="H188" s="39" t="n">
        <f aca="false">IF(4&lt;='Inputs &amp; Assumptions'!$E$147,'Inputs &amp; Assumptions'!$D$59*INDEX('Inputs &amp; Assumptions'!$C$26:$I$26,CEILING(('Inputs &amp; Assumptions'!$C$147+4)/4,1))*H177,0)</f>
        <v>537071.411265444</v>
      </c>
      <c r="I188" s="39" t="n">
        <f aca="false">IF(5&lt;='Inputs &amp; Assumptions'!$E$147,'Inputs &amp; Assumptions'!$D$59*INDEX('Inputs &amp; Assumptions'!$C$26:$I$26,CEILING(('Inputs &amp; Assumptions'!$C$147+5)/4,1))*I177,0)</f>
        <v>504153.29914964</v>
      </c>
      <c r="J188" s="39" t="n">
        <f aca="false">IF(6&lt;='Inputs &amp; Assumptions'!$E$147,'Inputs &amp; Assumptions'!$D$59*INDEX('Inputs &amp; Assumptions'!$C$26:$I$26,CEILING(('Inputs &amp; Assumptions'!$C$147+6)/4,1))*J177,0)</f>
        <v>378602.239794653</v>
      </c>
      <c r="K188" s="39" t="n">
        <f aca="false">IF(7&lt;='Inputs &amp; Assumptions'!$E$147,'Inputs &amp; Assumptions'!$D$59*INDEX('Inputs &amp; Assumptions'!$C$26:$I$26,CEILING(('Inputs &amp; Assumptions'!$C$147+7)/4,1))*K177,0)</f>
        <v>356251.211467262</v>
      </c>
      <c r="L188" s="39" t="n">
        <f aca="false">IF(8&lt;='Inputs &amp; Assumptions'!$E$147,'Inputs &amp; Assumptions'!$D$59*INDEX('Inputs &amp; Assumptions'!$C$26:$I$26,CEILING(('Inputs &amp; Assumptions'!$C$147+8)/4,1))*L177,0)</f>
        <v>335219.690566882</v>
      </c>
      <c r="M188" s="39" t="n">
        <f aca="false">IF(9&lt;='Inputs &amp; Assumptions'!$E$147,'Inputs &amp; Assumptions'!$D$59*INDEX('Inputs &amp; Assumptions'!$C$26:$I$26,CEILING(('Inputs &amp; Assumptions'!$C$147+9)/4,1))*M177,0)</f>
        <v>315429.77911833</v>
      </c>
      <c r="N188" s="39" t="n">
        <f aca="false">IF(10&lt;='Inputs &amp; Assumptions'!$E$147,'Inputs &amp; Assumptions'!$D$59*INDEX('Inputs &amp; Assumptions'!$C$26:$I$26,CEILING(('Inputs &amp; Assumptions'!$C$147+10)/4,1))*N177,0)</f>
        <v>231393.217642122</v>
      </c>
      <c r="O188" s="39" t="n">
        <f aca="false">IF(11&lt;='Inputs &amp; Assumptions'!$E$147,'Inputs &amp; Assumptions'!$D$59*INDEX('Inputs &amp; Assumptions'!$C$26:$I$26,CEILING(('Inputs &amp; Assumptions'!$C$147+11)/4,1))*O177,0)</f>
        <v>218193.019602355</v>
      </c>
      <c r="P188" s="39" t="n">
        <f aca="false">IF(12&lt;='Inputs &amp; Assumptions'!$E$147,'Inputs &amp; Assumptions'!$D$59*INDEX('Inputs &amp; Assumptions'!$C$26:$I$26,CEILING(('Inputs &amp; Assumptions'!$C$147+12)/4,1))*P177,0)</f>
        <v>205745.848077644</v>
      </c>
      <c r="Q188" s="39" t="n">
        <f aca="false">IF(13&lt;='Inputs &amp; Assumptions'!$E$147,'Inputs &amp; Assumptions'!$D$59*INDEX('Inputs &amp; Assumptions'!$C$26:$I$26,CEILING(('Inputs &amp; Assumptions'!$C$147+13)/4,1))*Q177,0)</f>
        <v>194008.745460033</v>
      </c>
      <c r="R188" s="39" t="n">
        <f aca="false">IF(14&lt;='Inputs &amp; Assumptions'!$E$147,'Inputs &amp; Assumptions'!$D$59*INDEX('Inputs &amp; Assumptions'!$C$26:$I$26,CEILING(('Inputs &amp; Assumptions'!$C$147+14)/4,1))*R177,0)</f>
        <v>148205.532943681</v>
      </c>
      <c r="S188" s="39" t="n">
        <f aca="false">IF(15&lt;='Inputs &amp; Assumptions'!$E$147,'Inputs &amp; Assumptions'!$D$59*INDEX('Inputs &amp; Assumptions'!$C$26:$I$26,CEILING(('Inputs &amp; Assumptions'!$C$147+15)/4,1))*S177,0)</f>
        <v>139948.90118149</v>
      </c>
      <c r="T188" s="39" t="n">
        <f aca="false">IF(16&lt;='Inputs &amp; Assumptions'!$E$147,'Inputs &amp; Assumptions'!$D$59*INDEX('Inputs &amp; Assumptions'!$C$26:$I$26,CEILING(('Inputs &amp; Assumptions'!$C$147+16)/4,1))*T177,0)</f>
        <v>132152.252030625</v>
      </c>
      <c r="U188" s="39" t="n">
        <f aca="false">IF(17&lt;='Inputs &amp; Assumptions'!$E$147,'Inputs &amp; Assumptions'!$D$59*INDEX('Inputs &amp; Assumptions'!$C$26:$I$26,CEILING(('Inputs &amp; Assumptions'!$C$147+17)/4,1))*U177,0)</f>
        <v>124789.959544718</v>
      </c>
      <c r="V188" s="39" t="n">
        <f aca="false">IF(18&lt;='Inputs &amp; Assumptions'!$E$147,'Inputs &amp; Assumptions'!$D$59*INDEX('Inputs &amp; Assumptions'!$C$26:$I$26,CEILING(('Inputs &amp; Assumptions'!$C$147+18)/4,1))*V177,0)</f>
        <v>92674.5397806262</v>
      </c>
      <c r="W188" s="39" t="n">
        <f aca="false">IF(19&lt;='Inputs &amp; Assumptions'!$E$147,'Inputs &amp; Assumptions'!$D$59*INDEX('Inputs &amp; Assumptions'!$C$26:$I$26,CEILING(('Inputs &amp; Assumptions'!$C$147+19)/4,1))*W177,0)</f>
        <v>87624.3787016956</v>
      </c>
      <c r="X188" s="39" t="n">
        <f aca="false">IF(20&lt;='Inputs &amp; Assumptions'!$E$147,'Inputs &amp; Assumptions'!$D$59*INDEX('Inputs &amp; Assumptions'!$C$26:$I$26,CEILING(('Inputs &amp; Assumptions'!$C$147+20)/4,1))*X177,0)</f>
        <v>82849.418632487</v>
      </c>
      <c r="Y188" s="39" t="n">
        <f aca="false">IF(21&lt;='Inputs &amp; Assumptions'!$E$147,'Inputs &amp; Assumptions'!$D$59*INDEX('Inputs &amp; Assumptions'!$C$26:$I$26,CEILING(('Inputs &amp; Assumptions'!$C$147+21)/4,1))*Y177,0)</f>
        <v>78334.6629036727</v>
      </c>
      <c r="Z188" s="39" t="n">
        <f aca="false">IF(22&lt;='Inputs &amp; Assumptions'!$E$147,'Inputs &amp; Assumptions'!$D$59*INDEX('Inputs &amp; Assumptions'!$C$26:$I$26,CEILING(('Inputs &amp; Assumptions'!$C$147+22)/4,1))*Z177,0)</f>
        <v>0</v>
      </c>
      <c r="AA188" s="39" t="n">
        <f aca="false">IF(23&lt;='Inputs &amp; Assumptions'!$E$147,'Inputs &amp; Assumptions'!$D$59*INDEX('Inputs &amp; Assumptions'!$C$26:$I$26,CEILING(('Inputs &amp; Assumptions'!$C$147+23)/4,1))*AA177,0)</f>
        <v>0</v>
      </c>
      <c r="AB188" s="39" t="n">
        <f aca="false">IF(24&lt;='Inputs &amp; Assumptions'!$E$147,'Inputs &amp; Assumptions'!$D$59*INDEX('Inputs &amp; Assumptions'!$C$26:$I$26,CEILING(('Inputs &amp; Assumptions'!$C$147+24)/4,1))*AB177,0)</f>
        <v>0</v>
      </c>
      <c r="AC188" s="39" t="n">
        <f aca="false">IF(25&lt;='Inputs &amp; Assumptions'!$E$147,'Inputs &amp; Assumptions'!$D$59*INDEX('Inputs &amp; Assumptions'!$C$26:$I$26,CEILING(('Inputs &amp; Assumptions'!$C$147+25)/4,1))*AC177,0)</f>
        <v>0</v>
      </c>
      <c r="AD188" s="39" t="n">
        <f aca="false">IF(26&lt;='Inputs &amp; Assumptions'!$E$147,'Inputs &amp; Assumptions'!$D$59*INDEX('Inputs &amp; Assumptions'!$C$26:$I$26,CEILING(('Inputs &amp; Assumptions'!$C$147+26)/4,1))*AD177,0)</f>
        <v>0</v>
      </c>
      <c r="AE188" s="39" t="n">
        <f aca="false">IF(27&lt;='Inputs &amp; Assumptions'!$E$147,'Inputs &amp; Assumptions'!$D$59*INDEX('Inputs &amp; Assumptions'!$C$26:$I$26,CEILING(('Inputs &amp; Assumptions'!$C$147+27)/4,1))*AE177,0)</f>
        <v>0</v>
      </c>
      <c r="AF188" s="39" t="n">
        <f aca="false">IF(28&lt;='Inputs &amp; Assumptions'!$E$147,'Inputs &amp; Assumptions'!$D$59*INDEX('Inputs &amp; Assumptions'!$C$26:$I$26,CEILING(('Inputs &amp; Assumptions'!$C$147+28)/4,1))*AF177,0)</f>
        <v>0</v>
      </c>
      <c r="AG188" s="39" t="n">
        <f aca="false">IF(29&lt;='Inputs &amp; Assumptions'!$E$147,'Inputs &amp; Assumptions'!$D$59*INDEX('Inputs &amp; Assumptions'!$C$26:$I$26,CEILING(('Inputs &amp; Assumptions'!$C$147+29)/4,1))*AG177,0)</f>
        <v>0</v>
      </c>
      <c r="AH188" s="39" t="n">
        <f aca="false">IF(30&lt;='Inputs &amp; Assumptions'!$E$147,'Inputs &amp; Assumptions'!$D$59*INDEX('Inputs &amp; Assumptions'!$C$26:$I$26,CEILING(('Inputs &amp; Assumptions'!$C$147+30)/4,1))*AH177,0)</f>
        <v>0</v>
      </c>
      <c r="AI188" s="39" t="n">
        <f aca="false">IF(31&lt;='Inputs &amp; Assumptions'!$E$147,'Inputs &amp; Assumptions'!$D$59*INDEX('Inputs &amp; Assumptions'!$C$26:$I$26,CEILING(('Inputs &amp; Assumptions'!$C$147+31)/4,1))*AI177,0)</f>
        <v>0</v>
      </c>
      <c r="AJ188" s="39" t="n">
        <f aca="false">IF(32&lt;='Inputs &amp; Assumptions'!$E$147,'Inputs &amp; Assumptions'!$D$59*INDEX('Inputs &amp; Assumptions'!$C$26:$I$26,CEILING(('Inputs &amp; Assumptions'!$C$147+32)/4,1))*AJ177,0)</f>
        <v>0</v>
      </c>
      <c r="AK188" s="39" t="n">
        <f aca="false">IF(33&lt;='Inputs &amp; Assumptions'!$E$147,'Inputs &amp; Assumptions'!$D$59*INDEX('Inputs &amp; Assumptions'!$C$26:$I$26,CEILING(('Inputs &amp; Assumptions'!$C$147+33)/4,1))*AK177,0)</f>
        <v>0</v>
      </c>
      <c r="AL188" s="39" t="n">
        <f aca="false">IF(34&lt;='Inputs &amp; Assumptions'!$E$147,'Inputs &amp; Assumptions'!$D$59*INDEX('Inputs &amp; Assumptions'!$C$26:$I$26,CEILING(('Inputs &amp; Assumptions'!$C$147+34)/4,1))*AL177,0)</f>
        <v>0</v>
      </c>
      <c r="AM188" s="39" t="n">
        <f aca="false">IF(35&lt;='Inputs &amp; Assumptions'!$E$147,'Inputs &amp; Assumptions'!$D$59*INDEX('Inputs &amp; Assumptions'!$C$26:$I$26,CEILING(('Inputs &amp; Assumptions'!$C$147+35)/4,1))*AM177,0)</f>
        <v>0</v>
      </c>
      <c r="AN188" s="39" t="n">
        <f aca="false">IF(36&lt;='Inputs &amp; Assumptions'!$E$147,'Inputs &amp; Assumptions'!$D$59*INDEX('Inputs &amp; Assumptions'!$C$26:$I$26,CEILING(('Inputs &amp; Assumptions'!$C$147+36)/4,1))*AN177,0)</f>
        <v>0</v>
      </c>
    </row>
    <row r="189" customFormat="false" ht="15" hidden="false" customHeight="false" outlineLevel="0" collapsed="false">
      <c r="B189" s="37" t="n">
        <v>9</v>
      </c>
      <c r="C189" s="38" t="n">
        <f aca="false">'Inputs &amp; Assumptions'!$C$148</f>
        <v>8</v>
      </c>
      <c r="D189" s="38" t="n">
        <f aca="false">'Inputs &amp; Assumptions'!$D$148</f>
        <v>3</v>
      </c>
      <c r="E189" s="39" t="n">
        <f aca="false">IF(1&lt;='Inputs &amp; Assumptions'!$E$148,'Inputs &amp; Assumptions'!$D$59*INDEX('Inputs &amp; Assumptions'!$C$26:$I$26,CEILING(('Inputs &amp; Assumptions'!$C$148+1)/4,1))*E178,0)</f>
        <v>630771.127125</v>
      </c>
      <c r="F189" s="39" t="n">
        <f aca="false">IF(2&lt;='Inputs &amp; Assumptions'!$E$148,'Inputs &amp; Assumptions'!$D$59*INDEX('Inputs &amp; Assumptions'!$C$26:$I$26,CEILING(('Inputs &amp; Assumptions'!$C$148+2)/4,1))*F178,0)</f>
        <v>592109.984031962</v>
      </c>
      <c r="G189" s="39" t="n">
        <f aca="false">IF(3&lt;='Inputs &amp; Assumptions'!$E$148,'Inputs &amp; Assumptions'!$D$59*INDEX('Inputs &amp; Assumptions'!$C$26:$I$26,CEILING(('Inputs &amp; Assumptions'!$C$148+3)/4,1))*G178,0)</f>
        <v>555818.454767117</v>
      </c>
      <c r="H189" s="39" t="n">
        <f aca="false">IF(4&lt;='Inputs &amp; Assumptions'!$E$148,'Inputs &amp; Assumptions'!$D$59*INDEX('Inputs &amp; Assumptions'!$C$26:$I$26,CEILING(('Inputs &amp; Assumptions'!$C$148+4)/4,1))*H178,0)</f>
        <v>521751.301263364</v>
      </c>
      <c r="I189" s="39" t="n">
        <f aca="false">IF(5&lt;='Inputs &amp; Assumptions'!$E$148,'Inputs &amp; Assumptions'!$D$59*INDEX('Inputs &amp; Assumptions'!$C$26:$I$26,CEILING(('Inputs &amp; Assumptions'!$C$148+5)/4,1))*I178,0)</f>
        <v>391817.749893279</v>
      </c>
      <c r="J189" s="39" t="n">
        <f aca="false">IF(6&lt;='Inputs &amp; Assumptions'!$E$148,'Inputs &amp; Assumptions'!$D$59*INDEX('Inputs &amp; Assumptions'!$C$26:$I$26,CEILING(('Inputs &amp; Assumptions'!$C$148+6)/4,1))*J178,0)</f>
        <v>368686.535371703</v>
      </c>
      <c r="K189" s="39" t="n">
        <f aca="false">IF(7&lt;='Inputs &amp; Assumptions'!$E$148,'Inputs &amp; Assumptions'!$D$59*INDEX('Inputs &amp; Assumptions'!$C$26:$I$26,CEILING(('Inputs &amp; Assumptions'!$C$148+7)/4,1))*K178,0)</f>
        <v>346920.887074191</v>
      </c>
      <c r="L189" s="39" t="n">
        <f aca="false">IF(8&lt;='Inputs &amp; Assumptions'!$E$148,'Inputs &amp; Assumptions'!$D$59*INDEX('Inputs &amp; Assumptions'!$C$26:$I$26,CEILING(('Inputs &amp; Assumptions'!$C$148+8)/4,1))*L178,0)</f>
        <v>326440.18791466</v>
      </c>
      <c r="M189" s="39" t="n">
        <f aca="false">IF(9&lt;='Inputs &amp; Assumptions'!$E$148,'Inputs &amp; Assumptions'!$D$59*INDEX('Inputs &amp; Assumptions'!$C$26:$I$26,CEILING(('Inputs &amp; Assumptions'!$C$148+9)/4,1))*M178,0)</f>
        <v>239470.241714039</v>
      </c>
      <c r="N189" s="39" t="n">
        <f aca="false">IF(10&lt;='Inputs &amp; Assumptions'!$E$148,'Inputs &amp; Assumptions'!$D$59*INDEX('Inputs &amp; Assumptions'!$C$26:$I$26,CEILING(('Inputs &amp; Assumptions'!$C$148+10)/4,1))*N178,0)</f>
        <v>225809.276853153</v>
      </c>
      <c r="O189" s="39" t="n">
        <f aca="false">IF(11&lt;='Inputs &amp; Assumptions'!$E$148,'Inputs &amp; Assumptions'!$D$59*INDEX('Inputs &amp; Assumptions'!$C$26:$I$26,CEILING(('Inputs &amp; Assumptions'!$C$148+11)/4,1))*O178,0)</f>
        <v>212927.623691268</v>
      </c>
      <c r="P189" s="39" t="n">
        <f aca="false">IF(12&lt;='Inputs &amp; Assumptions'!$E$148,'Inputs &amp; Assumptions'!$D$59*INDEX('Inputs &amp; Assumptions'!$C$26:$I$26,CEILING(('Inputs &amp; Assumptions'!$C$148+12)/4,1))*P178,0)</f>
        <v>200780.825139855</v>
      </c>
      <c r="Q189" s="39" t="n">
        <f aca="false">IF(13&lt;='Inputs &amp; Assumptions'!$E$148,'Inputs &amp; Assumptions'!$D$59*INDEX('Inputs &amp; Assumptions'!$C$26:$I$26,CEILING(('Inputs &amp; Assumptions'!$C$148+13)/4,1))*Q178,0)</f>
        <v>153378.80322954</v>
      </c>
      <c r="R189" s="39" t="n">
        <f aca="false">IF(14&lt;='Inputs &amp; Assumptions'!$E$148,'Inputs &amp; Assumptions'!$D$59*INDEX('Inputs &amp; Assumptions'!$C$26:$I$26,CEILING(('Inputs &amp; Assumptions'!$C$148+14)/4,1))*R178,0)</f>
        <v>144833.965035995</v>
      </c>
      <c r="S189" s="39" t="n">
        <f aca="false">IF(15&lt;='Inputs &amp; Assumptions'!$E$148,'Inputs &amp; Assumptions'!$D$59*INDEX('Inputs &amp; Assumptions'!$C$26:$I$26,CEILING(('Inputs &amp; Assumptions'!$C$148+15)/4,1))*S178,0)</f>
        <v>136765.16563149</v>
      </c>
      <c r="T189" s="39" t="n">
        <f aca="false">IF(16&lt;='Inputs &amp; Assumptions'!$E$148,'Inputs &amp; Assumptions'!$D$59*INDEX('Inputs &amp; Assumptions'!$C$26:$I$26,CEILING(('Inputs &amp; Assumptions'!$C$148+16)/4,1))*T178,0)</f>
        <v>129145.884568998</v>
      </c>
      <c r="U189" s="39" t="n">
        <f aca="false">IF(17&lt;='Inputs &amp; Assumptions'!$E$148,'Inputs &amp; Assumptions'!$D$59*INDEX('Inputs &amp; Assumptions'!$C$26:$I$26,CEILING(('Inputs &amp; Assumptions'!$C$148+17)/4,1))*U178,0)</f>
        <v>95909.4422392609</v>
      </c>
      <c r="V189" s="39" t="n">
        <f aca="false">IF(18&lt;='Inputs &amp; Assumptions'!$E$148,'Inputs &amp; Assumptions'!$D$59*INDEX('Inputs &amp; Assumptions'!$C$26:$I$26,CEILING(('Inputs &amp; Assumptions'!$C$148+18)/4,1))*V178,0)</f>
        <v>90682.9999667101</v>
      </c>
      <c r="W189" s="39" t="n">
        <f aca="false">IF(19&lt;='Inputs &amp; Assumptions'!$E$148,'Inputs &amp; Assumptions'!$D$59*INDEX('Inputs &amp; Assumptions'!$C$26:$I$26,CEILING(('Inputs &amp; Assumptions'!$C$148+19)/4,1))*W178,0)</f>
        <v>85741.3648850942</v>
      </c>
      <c r="X189" s="39" t="n">
        <f aca="false">IF(20&lt;='Inputs &amp; Assumptions'!$E$148,'Inputs &amp; Assumptions'!$D$59*INDEX('Inputs &amp; Assumptions'!$C$26:$I$26,CEILING(('Inputs &amp; Assumptions'!$C$148+20)/4,1))*X178,0)</f>
        <v>81069.0168505415</v>
      </c>
      <c r="Y189" s="39" t="n">
        <f aca="false">IF(21&lt;='Inputs &amp; Assumptions'!$E$148,'Inputs &amp; Assumptions'!$D$59*INDEX('Inputs &amp; Assumptions'!$C$26:$I$26,CEILING(('Inputs &amp; Assumptions'!$C$148+21)/4,1))*Y178,0)</f>
        <v>0</v>
      </c>
      <c r="Z189" s="39" t="n">
        <f aca="false">IF(22&lt;='Inputs &amp; Assumptions'!$E$148,'Inputs &amp; Assumptions'!$D$59*INDEX('Inputs &amp; Assumptions'!$C$26:$I$26,CEILING(('Inputs &amp; Assumptions'!$C$148+22)/4,1))*Z178,0)</f>
        <v>0</v>
      </c>
      <c r="AA189" s="39" t="n">
        <f aca="false">IF(23&lt;='Inputs &amp; Assumptions'!$E$148,'Inputs &amp; Assumptions'!$D$59*INDEX('Inputs &amp; Assumptions'!$C$26:$I$26,CEILING(('Inputs &amp; Assumptions'!$C$148+23)/4,1))*AA178,0)</f>
        <v>0</v>
      </c>
      <c r="AB189" s="39" t="n">
        <f aca="false">IF(24&lt;='Inputs &amp; Assumptions'!$E$148,'Inputs &amp; Assumptions'!$D$59*INDEX('Inputs &amp; Assumptions'!$C$26:$I$26,CEILING(('Inputs &amp; Assumptions'!$C$148+24)/4,1))*AB178,0)</f>
        <v>0</v>
      </c>
      <c r="AC189" s="39" t="n">
        <f aca="false">IF(25&lt;='Inputs &amp; Assumptions'!$E$148,'Inputs &amp; Assumptions'!$D$59*INDEX('Inputs &amp; Assumptions'!$C$26:$I$26,CEILING(('Inputs &amp; Assumptions'!$C$148+25)/4,1))*AC178,0)</f>
        <v>0</v>
      </c>
      <c r="AD189" s="39" t="n">
        <f aca="false">IF(26&lt;='Inputs &amp; Assumptions'!$E$148,'Inputs &amp; Assumptions'!$D$59*INDEX('Inputs &amp; Assumptions'!$C$26:$I$26,CEILING(('Inputs &amp; Assumptions'!$C$148+26)/4,1))*AD178,0)</f>
        <v>0</v>
      </c>
      <c r="AE189" s="39" t="n">
        <f aca="false">IF(27&lt;='Inputs &amp; Assumptions'!$E$148,'Inputs &amp; Assumptions'!$D$59*INDEX('Inputs &amp; Assumptions'!$C$26:$I$26,CEILING(('Inputs &amp; Assumptions'!$C$148+27)/4,1))*AE178,0)</f>
        <v>0</v>
      </c>
      <c r="AF189" s="39" t="n">
        <f aca="false">IF(28&lt;='Inputs &amp; Assumptions'!$E$148,'Inputs &amp; Assumptions'!$D$59*INDEX('Inputs &amp; Assumptions'!$C$26:$I$26,CEILING(('Inputs &amp; Assumptions'!$C$148+28)/4,1))*AF178,0)</f>
        <v>0</v>
      </c>
      <c r="AG189" s="39" t="n">
        <f aca="false">IF(29&lt;='Inputs &amp; Assumptions'!$E$148,'Inputs &amp; Assumptions'!$D$59*INDEX('Inputs &amp; Assumptions'!$C$26:$I$26,CEILING(('Inputs &amp; Assumptions'!$C$148+29)/4,1))*AG178,0)</f>
        <v>0</v>
      </c>
      <c r="AH189" s="39" t="n">
        <f aca="false">IF(30&lt;='Inputs &amp; Assumptions'!$E$148,'Inputs &amp; Assumptions'!$D$59*INDEX('Inputs &amp; Assumptions'!$C$26:$I$26,CEILING(('Inputs &amp; Assumptions'!$C$148+30)/4,1))*AH178,0)</f>
        <v>0</v>
      </c>
      <c r="AI189" s="39" t="n">
        <f aca="false">IF(31&lt;='Inputs &amp; Assumptions'!$E$148,'Inputs &amp; Assumptions'!$D$59*INDEX('Inputs &amp; Assumptions'!$C$26:$I$26,CEILING(('Inputs &amp; Assumptions'!$C$148+31)/4,1))*AI178,0)</f>
        <v>0</v>
      </c>
      <c r="AJ189" s="39" t="n">
        <f aca="false">IF(32&lt;='Inputs &amp; Assumptions'!$E$148,'Inputs &amp; Assumptions'!$D$59*INDEX('Inputs &amp; Assumptions'!$C$26:$I$26,CEILING(('Inputs &amp; Assumptions'!$C$148+32)/4,1))*AJ178,0)</f>
        <v>0</v>
      </c>
      <c r="AK189" s="39" t="n">
        <f aca="false">IF(33&lt;='Inputs &amp; Assumptions'!$E$148,'Inputs &amp; Assumptions'!$D$59*INDEX('Inputs &amp; Assumptions'!$C$26:$I$26,CEILING(('Inputs &amp; Assumptions'!$C$148+33)/4,1))*AK178,0)</f>
        <v>0</v>
      </c>
      <c r="AL189" s="39" t="n">
        <f aca="false">IF(34&lt;='Inputs &amp; Assumptions'!$E$148,'Inputs &amp; Assumptions'!$D$59*INDEX('Inputs &amp; Assumptions'!$C$26:$I$26,CEILING(('Inputs &amp; Assumptions'!$C$148+34)/4,1))*AL178,0)</f>
        <v>0</v>
      </c>
      <c r="AM189" s="39" t="n">
        <f aca="false">IF(35&lt;='Inputs &amp; Assumptions'!$E$148,'Inputs &amp; Assumptions'!$D$59*INDEX('Inputs &amp; Assumptions'!$C$26:$I$26,CEILING(('Inputs &amp; Assumptions'!$C$148+35)/4,1))*AM178,0)</f>
        <v>0</v>
      </c>
      <c r="AN189" s="39" t="n">
        <f aca="false">IF(36&lt;='Inputs &amp; Assumptions'!$E$148,'Inputs &amp; Assumptions'!$D$59*INDEX('Inputs &amp; Assumptions'!$C$26:$I$26,CEILING(('Inputs &amp; Assumptions'!$C$148+36)/4,1))*AN178,0)</f>
        <v>0</v>
      </c>
    </row>
    <row r="190" customFormat="false" ht="15" hidden="false" customHeight="false" outlineLevel="0" collapsed="false">
      <c r="B190" s="37" t="n">
        <v>10</v>
      </c>
      <c r="C190" s="38" t="n">
        <f aca="false">'Inputs &amp; Assumptions'!$C$149</f>
        <v>9</v>
      </c>
      <c r="D190" s="38" t="n">
        <f aca="false">'Inputs &amp; Assumptions'!$D$149</f>
        <v>3</v>
      </c>
      <c r="E190" s="39" t="n">
        <f aca="false">IF(1&lt;='Inputs &amp; Assumptions'!$E$149,'Inputs &amp; Assumptions'!$D$59*INDEX('Inputs &amp; Assumptions'!$C$26:$I$26,CEILING(('Inputs &amp; Assumptions'!$C$149+1)/4,1))*E179,0)</f>
        <v>611847.99331125</v>
      </c>
      <c r="F190" s="39" t="n">
        <f aca="false">IF(2&lt;='Inputs &amp; Assumptions'!$E$149,'Inputs &amp; Assumptions'!$D$59*INDEX('Inputs &amp; Assumptions'!$C$26:$I$26,CEILING(('Inputs &amp; Assumptions'!$C$149+2)/4,1))*F179,0)</f>
        <v>574346.684511003</v>
      </c>
      <c r="G190" s="39" t="n">
        <f aca="false">IF(3&lt;='Inputs &amp; Assumptions'!$E$149,'Inputs &amp; Assumptions'!$D$59*INDEX('Inputs &amp; Assumptions'!$C$26:$I$26,CEILING(('Inputs &amp; Assumptions'!$C$149+3)/4,1))*G179,0)</f>
        <v>539143.901124104</v>
      </c>
      <c r="H190" s="39" t="n">
        <f aca="false">IF(4&lt;='Inputs &amp; Assumptions'!$E$149,'Inputs &amp; Assumptions'!$D$59*INDEX('Inputs &amp; Assumptions'!$C$26:$I$26,CEILING(('Inputs &amp; Assumptions'!$C$149+4)/4,1))*H179,0)</f>
        <v>404879.00978037</v>
      </c>
      <c r="I190" s="39" t="n">
        <f aca="false">IF(5&lt;='Inputs &amp; Assumptions'!$E$149,'Inputs &amp; Assumptions'!$D$59*INDEX('Inputs &amp; Assumptions'!$C$26:$I$26,CEILING(('Inputs &amp; Assumptions'!$C$149+5)/4,1))*I179,0)</f>
        <v>380976.715325706</v>
      </c>
      <c r="J190" s="39" t="n">
        <f aca="false">IF(6&lt;='Inputs &amp; Assumptions'!$E$149,'Inputs &amp; Assumptions'!$D$59*INDEX('Inputs &amp; Assumptions'!$C$26:$I$26,CEILING(('Inputs &amp; Assumptions'!$C$149+6)/4,1))*J179,0)</f>
        <v>358485.508298142</v>
      </c>
      <c r="K190" s="39" t="n">
        <f aca="false">IF(7&lt;='Inputs &amp; Assumptions'!$E$149,'Inputs &amp; Assumptions'!$D$59*INDEX('Inputs &amp; Assumptions'!$C$26:$I$26,CEILING(('Inputs &amp; Assumptions'!$C$149+7)/4,1))*K179,0)</f>
        <v>337322.084237902</v>
      </c>
      <c r="L190" s="39" t="n">
        <f aca="false">IF(8&lt;='Inputs &amp; Assumptions'!$E$149,'Inputs &amp; Assumptions'!$D$59*INDEX('Inputs &amp; Assumptions'!$C$26:$I$26,CEILING(('Inputs &amp; Assumptions'!$C$149+8)/4,1))*L179,0)</f>
        <v>247452.991508053</v>
      </c>
      <c r="M190" s="39" t="n">
        <f aca="false">IF(9&lt;='Inputs &amp; Assumptions'!$E$149,'Inputs &amp; Assumptions'!$D$59*INDEX('Inputs &amp; Assumptions'!$C$26:$I$26,CEILING(('Inputs &amp; Assumptions'!$C$149+9)/4,1))*M179,0)</f>
        <v>233336.637853767</v>
      </c>
      <c r="N190" s="39" t="n">
        <f aca="false">IF(10&lt;='Inputs &amp; Assumptions'!$E$149,'Inputs &amp; Assumptions'!$D$59*INDEX('Inputs &amp; Assumptions'!$C$26:$I$26,CEILING(('Inputs &amp; Assumptions'!$C$149+10)/4,1))*N179,0)</f>
        <v>220025.57428419</v>
      </c>
      <c r="O190" s="39" t="n">
        <f aca="false">IF(11&lt;='Inputs &amp; Assumptions'!$E$149,'Inputs &amp; Assumptions'!$D$59*INDEX('Inputs &amp; Assumptions'!$C$26:$I$26,CEILING(('Inputs &amp; Assumptions'!$C$149+11)/4,1))*O179,0)</f>
        <v>207473.861732023</v>
      </c>
      <c r="P190" s="39" t="n">
        <f aca="false">IF(12&lt;='Inputs &amp; Assumptions'!$E$149,'Inputs &amp; Assumptions'!$D$59*INDEX('Inputs &amp; Assumptions'!$C$26:$I$26,CEILING(('Inputs &amp; Assumptions'!$C$149+12)/4,1))*P179,0)</f>
        <v>158491.691583112</v>
      </c>
      <c r="Q190" s="39" t="n">
        <f aca="false">IF(13&lt;='Inputs &amp; Assumptions'!$E$149,'Inputs &amp; Assumptions'!$D$59*INDEX('Inputs &amp; Assumptions'!$C$26:$I$26,CEILING(('Inputs &amp; Assumptions'!$C$149+13)/4,1))*Q179,0)</f>
        <v>149662.010877022</v>
      </c>
      <c r="R190" s="39" t="n">
        <f aca="false">IF(14&lt;='Inputs &amp; Assumptions'!$E$149,'Inputs &amp; Assumptions'!$D$59*INDEX('Inputs &amp; Assumptions'!$C$26:$I$26,CEILING(('Inputs &amp; Assumptions'!$C$149+14)/4,1))*R179,0)</f>
        <v>141324.237731467</v>
      </c>
      <c r="S190" s="39" t="n">
        <f aca="false">IF(15&lt;='Inputs &amp; Assumptions'!$E$149,'Inputs &amp; Assumptions'!$D$59*INDEX('Inputs &amp; Assumptions'!$C$26:$I$26,CEILING(('Inputs &amp; Assumptions'!$C$149+15)/4,1))*S179,0)</f>
        <v>133450.967639287</v>
      </c>
      <c r="T190" s="39" t="n">
        <f aca="false">IF(16&lt;='Inputs &amp; Assumptions'!$E$149,'Inputs &amp; Assumptions'!$D$59*INDEX('Inputs &amp; Assumptions'!$C$26:$I$26,CEILING(('Inputs &amp; Assumptions'!$C$149+16)/4,1))*T179,0)</f>
        <v>99106.587215603</v>
      </c>
      <c r="U190" s="39" t="n">
        <f aca="false">IF(17&lt;='Inputs &amp; Assumptions'!$E$149,'Inputs &amp; Assumptions'!$D$59*INDEX('Inputs &amp; Assumptions'!$C$26:$I$26,CEILING(('Inputs &amp; Assumptions'!$C$149+17)/4,1))*U179,0)</f>
        <v>93705.9212872192</v>
      </c>
      <c r="V190" s="39" t="n">
        <f aca="false">IF(18&lt;='Inputs &amp; Assumptions'!$E$149,'Inputs &amp; Assumptions'!$D$59*INDEX('Inputs &amp; Assumptions'!$C$26:$I$26,CEILING(('Inputs &amp; Assumptions'!$C$149+18)/4,1))*V179,0)</f>
        <v>88599.5566085248</v>
      </c>
      <c r="W190" s="39" t="n">
        <f aca="false">IF(19&lt;='Inputs &amp; Assumptions'!$E$149,'Inputs &amp; Assumptions'!$D$59*INDEX('Inputs &amp; Assumptions'!$C$26:$I$26,CEILING(('Inputs &amp; Assumptions'!$C$149+19)/4,1))*W179,0)</f>
        <v>83771.4556710501</v>
      </c>
      <c r="X190" s="39" t="n">
        <f aca="false">IF(20&lt;='Inputs &amp; Assumptions'!$E$149,'Inputs &amp; Assumptions'!$D$59*INDEX('Inputs &amp; Assumptions'!$C$26:$I$26,CEILING(('Inputs &amp; Assumptions'!$C$149+20)/4,1))*X179,0)</f>
        <v>0</v>
      </c>
      <c r="Y190" s="39" t="n">
        <f aca="false">IF(21&lt;='Inputs &amp; Assumptions'!$E$149,'Inputs &amp; Assumptions'!$D$59*INDEX('Inputs &amp; Assumptions'!$C$26:$I$26,CEILING(('Inputs &amp; Assumptions'!$C$149+21)/4,1))*Y179,0)</f>
        <v>0</v>
      </c>
      <c r="Z190" s="39" t="n">
        <f aca="false">IF(22&lt;='Inputs &amp; Assumptions'!$E$149,'Inputs &amp; Assumptions'!$D$59*INDEX('Inputs &amp; Assumptions'!$C$26:$I$26,CEILING(('Inputs &amp; Assumptions'!$C$149+22)/4,1))*Z179,0)</f>
        <v>0</v>
      </c>
      <c r="AA190" s="39" t="n">
        <f aca="false">IF(23&lt;='Inputs &amp; Assumptions'!$E$149,'Inputs &amp; Assumptions'!$D$59*INDEX('Inputs &amp; Assumptions'!$C$26:$I$26,CEILING(('Inputs &amp; Assumptions'!$C$149+23)/4,1))*AA179,0)</f>
        <v>0</v>
      </c>
      <c r="AB190" s="39" t="n">
        <f aca="false">IF(24&lt;='Inputs &amp; Assumptions'!$E$149,'Inputs &amp; Assumptions'!$D$59*INDEX('Inputs &amp; Assumptions'!$C$26:$I$26,CEILING(('Inputs &amp; Assumptions'!$C$149+24)/4,1))*AB179,0)</f>
        <v>0</v>
      </c>
      <c r="AC190" s="39" t="n">
        <f aca="false">IF(25&lt;='Inputs &amp; Assumptions'!$E$149,'Inputs &amp; Assumptions'!$D$59*INDEX('Inputs &amp; Assumptions'!$C$26:$I$26,CEILING(('Inputs &amp; Assumptions'!$C$149+25)/4,1))*AC179,0)</f>
        <v>0</v>
      </c>
      <c r="AD190" s="39" t="n">
        <f aca="false">IF(26&lt;='Inputs &amp; Assumptions'!$E$149,'Inputs &amp; Assumptions'!$D$59*INDEX('Inputs &amp; Assumptions'!$C$26:$I$26,CEILING(('Inputs &amp; Assumptions'!$C$149+26)/4,1))*AD179,0)</f>
        <v>0</v>
      </c>
      <c r="AE190" s="39" t="n">
        <f aca="false">IF(27&lt;='Inputs &amp; Assumptions'!$E$149,'Inputs &amp; Assumptions'!$D$59*INDEX('Inputs &amp; Assumptions'!$C$26:$I$26,CEILING(('Inputs &amp; Assumptions'!$C$149+27)/4,1))*AE179,0)</f>
        <v>0</v>
      </c>
      <c r="AF190" s="39" t="n">
        <f aca="false">IF(28&lt;='Inputs &amp; Assumptions'!$E$149,'Inputs &amp; Assumptions'!$D$59*INDEX('Inputs &amp; Assumptions'!$C$26:$I$26,CEILING(('Inputs &amp; Assumptions'!$C$149+28)/4,1))*AF179,0)</f>
        <v>0</v>
      </c>
      <c r="AG190" s="39" t="n">
        <f aca="false">IF(29&lt;='Inputs &amp; Assumptions'!$E$149,'Inputs &amp; Assumptions'!$D$59*INDEX('Inputs &amp; Assumptions'!$C$26:$I$26,CEILING(('Inputs &amp; Assumptions'!$C$149+29)/4,1))*AG179,0)</f>
        <v>0</v>
      </c>
      <c r="AH190" s="39" t="n">
        <f aca="false">IF(30&lt;='Inputs &amp; Assumptions'!$E$149,'Inputs &amp; Assumptions'!$D$59*INDEX('Inputs &amp; Assumptions'!$C$26:$I$26,CEILING(('Inputs &amp; Assumptions'!$C$149+30)/4,1))*AH179,0)</f>
        <v>0</v>
      </c>
      <c r="AI190" s="39" t="n">
        <f aca="false">IF(31&lt;='Inputs &amp; Assumptions'!$E$149,'Inputs &amp; Assumptions'!$D$59*INDEX('Inputs &amp; Assumptions'!$C$26:$I$26,CEILING(('Inputs &amp; Assumptions'!$C$149+31)/4,1))*AI179,0)</f>
        <v>0</v>
      </c>
      <c r="AJ190" s="39" t="n">
        <f aca="false">IF(32&lt;='Inputs &amp; Assumptions'!$E$149,'Inputs &amp; Assumptions'!$D$59*INDEX('Inputs &amp; Assumptions'!$C$26:$I$26,CEILING(('Inputs &amp; Assumptions'!$C$149+32)/4,1))*AJ179,0)</f>
        <v>0</v>
      </c>
      <c r="AK190" s="39" t="n">
        <f aca="false">IF(33&lt;='Inputs &amp; Assumptions'!$E$149,'Inputs &amp; Assumptions'!$D$59*INDEX('Inputs &amp; Assumptions'!$C$26:$I$26,CEILING(('Inputs &amp; Assumptions'!$C$149+33)/4,1))*AK179,0)</f>
        <v>0</v>
      </c>
      <c r="AL190" s="39" t="n">
        <f aca="false">IF(34&lt;='Inputs &amp; Assumptions'!$E$149,'Inputs &amp; Assumptions'!$D$59*INDEX('Inputs &amp; Assumptions'!$C$26:$I$26,CEILING(('Inputs &amp; Assumptions'!$C$149+34)/4,1))*AL179,0)</f>
        <v>0</v>
      </c>
      <c r="AM190" s="39" t="n">
        <f aca="false">IF(35&lt;='Inputs &amp; Assumptions'!$E$149,'Inputs &amp; Assumptions'!$D$59*INDEX('Inputs &amp; Assumptions'!$C$26:$I$26,CEILING(('Inputs &amp; Assumptions'!$C$149+35)/4,1))*AM179,0)</f>
        <v>0</v>
      </c>
      <c r="AN190" s="39" t="n">
        <f aca="false">IF(36&lt;='Inputs &amp; Assumptions'!$E$149,'Inputs &amp; Assumptions'!$D$59*INDEX('Inputs &amp; Assumptions'!$C$26:$I$26,CEILING(('Inputs &amp; Assumptions'!$C$149+36)/4,1))*AN179,0)</f>
        <v>0</v>
      </c>
    </row>
    <row r="191" customFormat="false" ht="15" hidden="false" customHeight="false" outlineLevel="0" collapsed="false">
      <c r="B191" s="37" t="n">
        <v>11</v>
      </c>
      <c r="C191" s="38" t="n">
        <f aca="false">'Inputs &amp; Assumptions'!$C$150</f>
        <v>10</v>
      </c>
      <c r="D191" s="38" t="n">
        <f aca="false">'Inputs &amp; Assumptions'!$D$150</f>
        <v>2</v>
      </c>
      <c r="E191" s="39" t="n">
        <f aca="false">IF(1&lt;='Inputs &amp; Assumptions'!$E$150,'Inputs &amp; Assumptions'!$D$59*INDEX('Inputs &amp; Assumptions'!$C$26:$I$26,CEILING(('Inputs &amp; Assumptions'!$C$150+1)/4,1))*E180,0)</f>
        <v>395661.702341275</v>
      </c>
      <c r="F191" s="39" t="n">
        <f aca="false">IF(2&lt;='Inputs &amp; Assumptions'!$E$150,'Inputs &amp; Assumptions'!$D$59*INDEX('Inputs &amp; Assumptions'!$C$26:$I$26,CEILING(('Inputs &amp; Assumptions'!$C$150+2)/4,1))*F180,0)</f>
        <v>371410.855983782</v>
      </c>
      <c r="G191" s="39" t="n">
        <f aca="false">IF(3&lt;='Inputs &amp; Assumptions'!$E$150,'Inputs &amp; Assumptions'!$D$59*INDEX('Inputs &amp; Assumptions'!$C$26:$I$26,CEILING(('Inputs &amp; Assumptions'!$C$150+3)/4,1))*G180,0)</f>
        <v>278917.11151487</v>
      </c>
      <c r="H191" s="39" t="n">
        <f aca="false">IF(4&lt;='Inputs &amp; Assumptions'!$E$150,'Inputs &amp; Assumptions'!$D$59*INDEX('Inputs &amp; Assumptions'!$C$26:$I$26,CEILING(('Inputs &amp; Assumptions'!$C$150+4)/4,1))*H180,0)</f>
        <v>262451.059270054</v>
      </c>
      <c r="I191" s="39" t="n">
        <f aca="false">IF(5&lt;='Inputs &amp; Assumptions'!$E$150,'Inputs &amp; Assumptions'!$D$59*INDEX('Inputs &amp; Assumptions'!$C$26:$I$26,CEILING(('Inputs &amp; Assumptions'!$C$150+5)/4,1))*I180,0)</f>
        <v>246957.091079374</v>
      </c>
      <c r="J191" s="39" t="n">
        <f aca="false">IF(6&lt;='Inputs &amp; Assumptions'!$E$150,'Inputs &amp; Assumptions'!$D$59*INDEX('Inputs &amp; Assumptions'!$C$26:$I$26,CEILING(('Inputs &amp; Assumptions'!$C$150+6)/4,1))*J180,0)</f>
        <v>232377.81933138</v>
      </c>
      <c r="K191" s="39" t="n">
        <f aca="false">IF(7&lt;='Inputs &amp; Assumptions'!$E$150,'Inputs &amp; Assumptions'!$D$59*INDEX('Inputs &amp; Assumptions'!$C$26:$I$26,CEILING(('Inputs &amp; Assumptions'!$C$150+7)/4,1))*K180,0)</f>
        <v>170467.897717344</v>
      </c>
      <c r="L191" s="39" t="n">
        <f aca="false">IF(8&lt;='Inputs &amp; Assumptions'!$E$150,'Inputs &amp; Assumptions'!$D$59*INDEX('Inputs &amp; Assumptions'!$C$26:$I$26,CEILING(('Inputs &amp; Assumptions'!$C$150+8)/4,1))*L180,0)</f>
        <v>160743.282483495</v>
      </c>
      <c r="M191" s="39" t="n">
        <f aca="false">IF(9&lt;='Inputs &amp; Assumptions'!$E$150,'Inputs &amp; Assumptions'!$D$59*INDEX('Inputs &amp; Assumptions'!$C$26:$I$26,CEILING(('Inputs &amp; Assumptions'!$C$150+9)/4,1))*M180,0)</f>
        <v>151573.42355692</v>
      </c>
      <c r="N191" s="39" t="n">
        <f aca="false">IF(10&lt;='Inputs &amp; Assumptions'!$E$150,'Inputs &amp; Assumptions'!$D$59*INDEX('Inputs &amp; Assumptions'!$C$26:$I$26,CEILING(('Inputs &amp; Assumptions'!$C$150+10)/4,1))*N180,0)</f>
        <v>142926.673972361</v>
      </c>
      <c r="O191" s="39" t="n">
        <f aca="false">IF(11&lt;='Inputs &amp; Assumptions'!$E$150,'Inputs &amp; Assumptions'!$D$59*INDEX('Inputs &amp; Assumptions'!$C$26:$I$26,CEILING(('Inputs &amp; Assumptions'!$C$150+11)/4,1))*O180,0)</f>
        <v>109183.345512149</v>
      </c>
      <c r="P191" s="39" t="n">
        <f aca="false">IF(12&lt;='Inputs &amp; Assumptions'!$E$150,'Inputs &amp; Assumptions'!$D$59*INDEX('Inputs &amp; Assumptions'!$C$26:$I$26,CEILING(('Inputs &amp; Assumptions'!$C$150+12)/4,1))*P180,0)</f>
        <v>103100.666542259</v>
      </c>
      <c r="Q191" s="39" t="n">
        <f aca="false">IF(13&lt;='Inputs &amp; Assumptions'!$E$150,'Inputs &amp; Assumptions'!$D$59*INDEX('Inputs &amp; Assumptions'!$C$26:$I$26,CEILING(('Inputs &amp; Assumptions'!$C$150+13)/4,1))*Q180,0)</f>
        <v>97356.8577844621</v>
      </c>
      <c r="R191" s="39" t="n">
        <f aca="false">IF(14&lt;='Inputs &amp; Assumptions'!$E$150,'Inputs &amp; Assumptions'!$D$59*INDEX('Inputs &amp; Assumptions'!$C$26:$I$26,CEILING(('Inputs &amp; Assumptions'!$C$150+14)/4,1))*R180,0)</f>
        <v>91933.0405471139</v>
      </c>
      <c r="S191" s="39" t="n">
        <f aca="false">IF(15&lt;='Inputs &amp; Assumptions'!$E$150,'Inputs &amp; Assumptions'!$D$59*INDEX('Inputs &amp; Assumptions'!$C$26:$I$26,CEILING(('Inputs &amp; Assumptions'!$C$150+15)/4,1))*S180,0)</f>
        <v>68273.539429143</v>
      </c>
      <c r="T191" s="39" t="n">
        <f aca="false">IF(16&lt;='Inputs &amp; Assumptions'!$E$150,'Inputs &amp; Assumptions'!$D$59*INDEX('Inputs &amp; Assumptions'!$C$26:$I$26,CEILING(('Inputs &amp; Assumptions'!$C$150+16)/4,1))*T180,0)</f>
        <v>64553.0745381162</v>
      </c>
      <c r="U191" s="39" t="n">
        <f aca="false">IF(17&lt;='Inputs &amp; Assumptions'!$E$150,'Inputs &amp; Assumptions'!$D$59*INDEX('Inputs &amp; Assumptions'!$C$26:$I$26,CEILING(('Inputs &amp; Assumptions'!$C$150+17)/4,1))*U180,0)</f>
        <v>61035.3508425964</v>
      </c>
      <c r="V191" s="39" t="n">
        <f aca="false">IF(18&lt;='Inputs &amp; Assumptions'!$E$150,'Inputs &amp; Assumptions'!$D$59*INDEX('Inputs &amp; Assumptions'!$C$26:$I$26,CEILING(('Inputs &amp; Assumptions'!$C$150+18)/4,1))*V180,0)</f>
        <v>57709.3202629593</v>
      </c>
      <c r="W191" s="39" t="n">
        <f aca="false">IF(19&lt;='Inputs &amp; Assumptions'!$E$150,'Inputs &amp; Assumptions'!$D$59*INDEX('Inputs &amp; Assumptions'!$C$26:$I$26,CEILING(('Inputs &amp; Assumptions'!$C$150+19)/4,1))*W180,0)</f>
        <v>0</v>
      </c>
      <c r="X191" s="39" t="n">
        <f aca="false">IF(20&lt;='Inputs &amp; Assumptions'!$E$150,'Inputs &amp; Assumptions'!$D$59*INDEX('Inputs &amp; Assumptions'!$C$26:$I$26,CEILING(('Inputs &amp; Assumptions'!$C$150+20)/4,1))*X180,0)</f>
        <v>0</v>
      </c>
      <c r="Y191" s="39" t="n">
        <f aca="false">IF(21&lt;='Inputs &amp; Assumptions'!$E$150,'Inputs &amp; Assumptions'!$D$59*INDEX('Inputs &amp; Assumptions'!$C$26:$I$26,CEILING(('Inputs &amp; Assumptions'!$C$150+21)/4,1))*Y180,0)</f>
        <v>0</v>
      </c>
      <c r="Z191" s="39" t="n">
        <f aca="false">IF(22&lt;='Inputs &amp; Assumptions'!$E$150,'Inputs &amp; Assumptions'!$D$59*INDEX('Inputs &amp; Assumptions'!$C$26:$I$26,CEILING(('Inputs &amp; Assumptions'!$C$150+22)/4,1))*Z180,0)</f>
        <v>0</v>
      </c>
      <c r="AA191" s="39" t="n">
        <f aca="false">IF(23&lt;='Inputs &amp; Assumptions'!$E$150,'Inputs &amp; Assumptions'!$D$59*INDEX('Inputs &amp; Assumptions'!$C$26:$I$26,CEILING(('Inputs &amp; Assumptions'!$C$150+23)/4,1))*AA180,0)</f>
        <v>0</v>
      </c>
      <c r="AB191" s="39" t="n">
        <f aca="false">IF(24&lt;='Inputs &amp; Assumptions'!$E$150,'Inputs &amp; Assumptions'!$D$59*INDEX('Inputs &amp; Assumptions'!$C$26:$I$26,CEILING(('Inputs &amp; Assumptions'!$C$150+24)/4,1))*AB180,0)</f>
        <v>0</v>
      </c>
      <c r="AC191" s="39" t="n">
        <f aca="false">IF(25&lt;='Inputs &amp; Assumptions'!$E$150,'Inputs &amp; Assumptions'!$D$59*INDEX('Inputs &amp; Assumptions'!$C$26:$I$26,CEILING(('Inputs &amp; Assumptions'!$C$150+25)/4,1))*AC180,0)</f>
        <v>0</v>
      </c>
      <c r="AD191" s="39" t="n">
        <f aca="false">IF(26&lt;='Inputs &amp; Assumptions'!$E$150,'Inputs &amp; Assumptions'!$D$59*INDEX('Inputs &amp; Assumptions'!$C$26:$I$26,CEILING(('Inputs &amp; Assumptions'!$C$150+26)/4,1))*AD180,0)</f>
        <v>0</v>
      </c>
      <c r="AE191" s="39" t="n">
        <f aca="false">IF(27&lt;='Inputs &amp; Assumptions'!$E$150,'Inputs &amp; Assumptions'!$D$59*INDEX('Inputs &amp; Assumptions'!$C$26:$I$26,CEILING(('Inputs &amp; Assumptions'!$C$150+27)/4,1))*AE180,0)</f>
        <v>0</v>
      </c>
      <c r="AF191" s="39" t="n">
        <f aca="false">IF(28&lt;='Inputs &amp; Assumptions'!$E$150,'Inputs &amp; Assumptions'!$D$59*INDEX('Inputs &amp; Assumptions'!$C$26:$I$26,CEILING(('Inputs &amp; Assumptions'!$C$150+28)/4,1))*AF180,0)</f>
        <v>0</v>
      </c>
      <c r="AG191" s="39" t="n">
        <f aca="false">IF(29&lt;='Inputs &amp; Assumptions'!$E$150,'Inputs &amp; Assumptions'!$D$59*INDEX('Inputs &amp; Assumptions'!$C$26:$I$26,CEILING(('Inputs &amp; Assumptions'!$C$150+29)/4,1))*AG180,0)</f>
        <v>0</v>
      </c>
      <c r="AH191" s="39" t="n">
        <f aca="false">IF(30&lt;='Inputs &amp; Assumptions'!$E$150,'Inputs &amp; Assumptions'!$D$59*INDEX('Inputs &amp; Assumptions'!$C$26:$I$26,CEILING(('Inputs &amp; Assumptions'!$C$150+30)/4,1))*AH180,0)</f>
        <v>0</v>
      </c>
      <c r="AI191" s="39" t="n">
        <f aca="false">IF(31&lt;='Inputs &amp; Assumptions'!$E$150,'Inputs &amp; Assumptions'!$D$59*INDEX('Inputs &amp; Assumptions'!$C$26:$I$26,CEILING(('Inputs &amp; Assumptions'!$C$150+31)/4,1))*AI180,0)</f>
        <v>0</v>
      </c>
      <c r="AJ191" s="39" t="n">
        <f aca="false">IF(32&lt;='Inputs &amp; Assumptions'!$E$150,'Inputs &amp; Assumptions'!$D$59*INDEX('Inputs &amp; Assumptions'!$C$26:$I$26,CEILING(('Inputs &amp; Assumptions'!$C$150+32)/4,1))*AJ180,0)</f>
        <v>0</v>
      </c>
      <c r="AK191" s="39" t="n">
        <f aca="false">IF(33&lt;='Inputs &amp; Assumptions'!$E$150,'Inputs &amp; Assumptions'!$D$59*INDEX('Inputs &amp; Assumptions'!$C$26:$I$26,CEILING(('Inputs &amp; Assumptions'!$C$150+33)/4,1))*AK180,0)</f>
        <v>0</v>
      </c>
      <c r="AL191" s="39" t="n">
        <f aca="false">IF(34&lt;='Inputs &amp; Assumptions'!$E$150,'Inputs &amp; Assumptions'!$D$59*INDEX('Inputs &amp; Assumptions'!$C$26:$I$26,CEILING(('Inputs &amp; Assumptions'!$C$150+34)/4,1))*AL180,0)</f>
        <v>0</v>
      </c>
      <c r="AM191" s="39" t="n">
        <f aca="false">IF(35&lt;='Inputs &amp; Assumptions'!$E$150,'Inputs &amp; Assumptions'!$D$59*INDEX('Inputs &amp; Assumptions'!$C$26:$I$26,CEILING(('Inputs &amp; Assumptions'!$C$150+35)/4,1))*AM180,0)</f>
        <v>0</v>
      </c>
      <c r="AN191" s="39" t="n">
        <f aca="false">IF(36&lt;='Inputs &amp; Assumptions'!$E$150,'Inputs &amp; Assumptions'!$D$59*INDEX('Inputs &amp; Assumptions'!$C$26:$I$26,CEILING(('Inputs &amp; Assumptions'!$C$150+36)/4,1))*AN180,0)</f>
        <v>0</v>
      </c>
    </row>
    <row r="192" customFormat="false" ht="15" hidden="false" customHeight="false" outlineLevel="0" collapsed="false">
      <c r="A192" s="14" t="s">
        <v>83</v>
      </c>
      <c r="B192" s="37" t="n">
        <v>1</v>
      </c>
      <c r="C192" s="38" t="n">
        <f aca="false">'Inputs &amp; Assumptions'!$C$140</f>
        <v>0</v>
      </c>
      <c r="D192" s="38" t="n">
        <f aca="false">'Inputs &amp; Assumptions'!$D$140</f>
        <v>1</v>
      </c>
      <c r="E192" s="39" t="n">
        <f aca="false">IF(1&gt;'Inputs &amp; Assumptions'!$E$140,0,IF(1='Inputs &amp; Assumptions'!$E$140,E170-E181,IF(('Inputs &amp; Assumptions'!$C$140+1)&gt;'Inputs &amp; Assumptions'!$C$11,'Inputs &amp; Assumptions'!$C$12*(E170-E181),0)))</f>
        <v>0</v>
      </c>
      <c r="F192" s="39" t="n">
        <f aca="false">IF(2&gt;'Inputs &amp; Assumptions'!$E$140,0,IF(2='Inputs &amp; Assumptions'!$E$140,F170-F181,IF(('Inputs &amp; Assumptions'!$C$140+2)&gt;'Inputs &amp; Assumptions'!$C$11,'Inputs &amp; Assumptions'!$C$12*(F170-F181),0)))</f>
        <v>0</v>
      </c>
      <c r="G192" s="39" t="n">
        <f aca="false">IF(3&gt;'Inputs &amp; Assumptions'!$E$140,0,IF(3='Inputs &amp; Assumptions'!$E$140,G170-G181,IF(('Inputs &amp; Assumptions'!$C$140+3)&gt;'Inputs &amp; Assumptions'!$C$11,'Inputs &amp; Assumptions'!$C$12*(G170-G181),0)))</f>
        <v>0</v>
      </c>
      <c r="H192" s="39" t="n">
        <f aca="false">IF(4&gt;'Inputs &amp; Assumptions'!$E$140,0,IF(4='Inputs &amp; Assumptions'!$E$140,H170-H181,IF(('Inputs &amp; Assumptions'!$C$140+4)&gt;'Inputs &amp; Assumptions'!$C$11,'Inputs &amp; Assumptions'!$C$12*(H170-H181),0)))</f>
        <v>0</v>
      </c>
      <c r="I192" s="39" t="n">
        <f aca="false">IF(5&gt;'Inputs &amp; Assumptions'!$E$140,0,IF(5='Inputs &amp; Assumptions'!$E$140,I170-I181,IF(('Inputs &amp; Assumptions'!$C$140+5)&gt;'Inputs &amp; Assumptions'!$C$11,'Inputs &amp; Assumptions'!$C$12*(I170-I181),0)))</f>
        <v>523289.040021766</v>
      </c>
      <c r="J192" s="39" t="n">
        <f aca="false">IF(6&gt;'Inputs &amp; Assumptions'!$E$140,0,IF(6='Inputs &amp; Assumptions'!$E$140,J170-J181,IF(('Inputs &amp; Assumptions'!$C$140+6)&gt;'Inputs &amp; Assumptions'!$C$11,'Inputs &amp; Assumptions'!$C$12*(J170-J181),0)))</f>
        <v>490469.996793691</v>
      </c>
      <c r="K192" s="39" t="n">
        <f aca="false">IF(7&gt;'Inputs &amp; Assumptions'!$E$140,0,IF(7='Inputs &amp; Assumptions'!$E$140,K170-K181,IF(('Inputs &amp; Assumptions'!$C$140+7)&gt;'Inputs &amp; Assumptions'!$C$11,'Inputs &amp; Assumptions'!$C$12*(K170-K181),0)))</f>
        <v>459709.260764944</v>
      </c>
      <c r="L192" s="39" t="n">
        <f aca="false">IF(8&gt;'Inputs &amp; Assumptions'!$E$140,0,IF(8='Inputs &amp; Assumptions'!$E$140,L170-L181,IF(('Inputs &amp; Assumptions'!$C$140+8)&gt;'Inputs &amp; Assumptions'!$C$11,'Inputs &amp; Assumptions'!$C$12*(L170-L181),0)))</f>
        <v>430877.741379857</v>
      </c>
      <c r="M192" s="39" t="n">
        <f aca="false">IF(9&gt;'Inputs &amp; Assumptions'!$E$140,0,IF(9='Inputs &amp; Assumptions'!$E$140,M170-M181,IF(('Inputs &amp; Assumptions'!$C$140+9)&gt;'Inputs &amp; Assumptions'!$C$11,'Inputs &amp; Assumptions'!$C$12*(M170-M181),0)))</f>
        <v>404468.438070401</v>
      </c>
      <c r="N192" s="39" t="n">
        <f aca="false">IF(10&gt;'Inputs &amp; Assumptions'!$E$140,0,IF(10='Inputs &amp; Assumptions'!$E$140,N170-N181,IF(('Inputs &amp; Assumptions'!$C$140+10)&gt;'Inputs &amp; Assumptions'!$C$11,'Inputs &amp; Assumptions'!$C$12*(N170-N181),0)))</f>
        <v>379677.810395145</v>
      </c>
      <c r="O192" s="39" t="n">
        <f aca="false">IF(11&gt;'Inputs &amp; Assumptions'!$E$140,0,IF(11='Inputs &amp; Assumptions'!$E$140,O170-O181,IF(('Inputs &amp; Assumptions'!$C$140+11)&gt;'Inputs &amp; Assumptions'!$C$11,'Inputs &amp; Assumptions'!$C$12*(O170-O181),0)))</f>
        <v>356406.646694545</v>
      </c>
      <c r="P192" s="39" t="n">
        <f aca="false">IF(12&gt;'Inputs &amp; Assumptions'!$E$140,0,IF(12='Inputs &amp; Assumptions'!$E$140,P170-P181,IF(('Inputs &amp; Assumptions'!$C$140+12)&gt;'Inputs &amp; Assumptions'!$C$11,'Inputs &amp; Assumptions'!$C$12*(P170-P181),0)))</f>
        <v>334561.816177378</v>
      </c>
      <c r="Q192" s="39" t="n">
        <f aca="false">IF(13&gt;'Inputs &amp; Assumptions'!$E$140,0,IF(13='Inputs &amp; Assumptions'!$E$140,Q170-Q181,IF(('Inputs &amp; Assumptions'!$C$140+13)&gt;'Inputs &amp; Assumptions'!$C$11,'Inputs &amp; Assumptions'!$C$12*(Q170-Q181),0)))</f>
        <v>314810.742769308</v>
      </c>
      <c r="R192" s="39" t="n">
        <f aca="false">IF(14&gt;'Inputs &amp; Assumptions'!$E$140,0,IF(14='Inputs &amp; Assumptions'!$E$140,R170-R181,IF(('Inputs &amp; Assumptions'!$C$140+14)&gt;'Inputs &amp; Assumptions'!$C$11,'Inputs &amp; Assumptions'!$C$12*(R170-R181),0)))</f>
        <v>296225.686766417</v>
      </c>
      <c r="S192" s="39" t="n">
        <f aca="false">IF(15&gt;'Inputs &amp; Assumptions'!$E$140,0,IF(15='Inputs &amp; Assumptions'!$E$140,S170-S181,IF(('Inputs &amp; Assumptions'!$C$140+15)&gt;'Inputs &amp; Assumptions'!$C$11,'Inputs &amp; Assumptions'!$C$12*(S170-S181),0)))</f>
        <v>278737.811576328</v>
      </c>
      <c r="T192" s="39" t="n">
        <f aca="false">IF(16&gt;'Inputs &amp; Assumptions'!$E$140,0,IF(16='Inputs &amp; Assumptions'!$E$140,T170-T181,IF(('Inputs &amp; Assumptions'!$C$140+16)&gt;'Inputs &amp; Assumptions'!$C$11,'Inputs &amp; Assumptions'!$C$12*(T170-T181),0)))</f>
        <v>262282.34441946</v>
      </c>
      <c r="U192" s="39" t="n">
        <f aca="false">IF(17&gt;'Inputs &amp; Assumptions'!$E$140,0,IF(17='Inputs &amp; Assumptions'!$E$140,U170-U181,IF(('Inputs &amp; Assumptions'!$C$140+17)&gt;'Inputs &amp; Assumptions'!$C$11,'Inputs &amp; Assumptions'!$C$12*(U170-U181),0)))</f>
        <v>247320.026491775</v>
      </c>
      <c r="V192" s="39" t="n">
        <f aca="false">IF(18&gt;'Inputs &amp; Assumptions'!$E$140,0,IF(18='Inputs &amp; Assumptions'!$E$140,V170-V181,IF(('Inputs &amp; Assumptions'!$C$140+18)&gt;'Inputs &amp; Assumptions'!$C$11,'Inputs &amp; Assumptions'!$C$12*(V170-V181),0)))</f>
        <v>233211.258040569</v>
      </c>
      <c r="W192" s="39" t="n">
        <f aca="false">IF(19&gt;'Inputs &amp; Assumptions'!$E$140,0,IF(19='Inputs &amp; Assumptions'!$E$140,W170-W181,IF(('Inputs &amp; Assumptions'!$C$140+19)&gt;'Inputs &amp; Assumptions'!$C$11,'Inputs &amp; Assumptions'!$C$12*(W170-W181),0)))</f>
        <v>219907.34696397</v>
      </c>
      <c r="X192" s="39" t="n">
        <f aca="false">IF(20&gt;'Inputs &amp; Assumptions'!$E$140,0,IF(20='Inputs &amp; Assumptions'!$E$140,X170-X181,IF(('Inputs &amp; Assumptions'!$C$140+20)&gt;'Inputs &amp; Assumptions'!$C$11,'Inputs &amp; Assumptions'!$C$12*(X170-X181),0)))</f>
        <v>207362.378879322</v>
      </c>
      <c r="Y192" s="39" t="n">
        <f aca="false">IF(21&gt;'Inputs &amp; Assumptions'!$E$140,0,IF(21='Inputs &amp; Assumptions'!$E$140,Y170-Y181,IF(('Inputs &amp; Assumptions'!$C$140+21)&gt;'Inputs &amp; Assumptions'!$C$11,'Inputs &amp; Assumptions'!$C$12*(Y170-Y181),0)))</f>
        <v>195810.078707175</v>
      </c>
      <c r="Z192" s="39" t="n">
        <f aca="false">IF(22&gt;'Inputs &amp; Assumptions'!$E$140,0,IF(22='Inputs &amp; Assumptions'!$E$140,Z170-Z181,IF(('Inputs &amp; Assumptions'!$C$140+22)&gt;'Inputs &amp; Assumptions'!$C$11,'Inputs &amp; Assumptions'!$C$12*(Z170-Z181),0)))</f>
        <v>184901.365091029</v>
      </c>
      <c r="AA192" s="39" t="n">
        <f aca="false">IF(23&gt;'Inputs &amp; Assumptions'!$E$140,0,IF(23='Inputs &amp; Assumptions'!$E$140,AA170-AA181,IF(('Inputs &amp; Assumptions'!$C$140+23)&gt;'Inputs &amp; Assumptions'!$C$11,'Inputs &amp; Assumptions'!$C$12*(AA170-AA181),0)))</f>
        <v>174600.38338299</v>
      </c>
      <c r="AB192" s="39" t="n">
        <f aca="false">IF(24&gt;'Inputs &amp; Assumptions'!$E$140,0,IF(24='Inputs &amp; Assumptions'!$E$140,AB170-AB181,IF(('Inputs &amp; Assumptions'!$C$140+24)&gt;'Inputs &amp; Assumptions'!$C$11,'Inputs &amp; Assumptions'!$C$12*(AB170-AB181),0)))</f>
        <v>164873.276422155</v>
      </c>
      <c r="AC192" s="39" t="n">
        <f aca="false">IF(25&gt;'Inputs &amp; Assumptions'!$E$140,0,IF(25='Inputs &amp; Assumptions'!$E$140,AC170-AC181,IF(('Inputs &amp; Assumptions'!$C$140+25)&gt;'Inputs &amp; Assumptions'!$C$11,'Inputs &amp; Assumptions'!$C$12*(AC170-AC181),0)))</f>
        <v>155888.752673627</v>
      </c>
      <c r="AD192" s="39" t="n">
        <f aca="false">IF(26&gt;'Inputs &amp; Assumptions'!$E$140,0,IF(26='Inputs &amp; Assumptions'!$E$140,AD170-AD181,IF(('Inputs &amp; Assumptions'!$C$140+26)&gt;'Inputs &amp; Assumptions'!$C$11,'Inputs &amp; Assumptions'!$C$12*(AD170-AD181),0)))</f>
        <v>147393.827171337</v>
      </c>
      <c r="AE192" s="39" t="n">
        <f aca="false">IF(27&gt;'Inputs &amp; Assumptions'!$E$140,0,IF(27='Inputs &amp; Assumptions'!$E$140,AE170-AE181,IF(('Inputs &amp; Assumptions'!$C$140+27)&gt;'Inputs &amp; Assumptions'!$C$11,'Inputs &amp; Assumptions'!$C$12*(AE170-AE181),0)))</f>
        <v>139361.819987732</v>
      </c>
      <c r="AF192" s="39" t="n">
        <f aca="false">IF(28&gt;'Inputs &amp; Assumptions'!$E$140,0,IF(28='Inputs &amp; Assumptions'!$E$140,AF170-AF181,IF(('Inputs &amp; Assumptions'!$C$140+28)&gt;'Inputs &amp; Assumptions'!$C$11,'Inputs &amp; Assumptions'!$C$12*(AF170-AF181),0)))</f>
        <v>4392250.16927299</v>
      </c>
      <c r="AG192" s="39" t="n">
        <f aca="false">IF(29&gt;'Inputs &amp; Assumptions'!$E$140,0,IF(29='Inputs &amp; Assumptions'!$E$140,AG170-AG181,IF(('Inputs &amp; Assumptions'!$C$140+29)&gt;'Inputs &amp; Assumptions'!$C$11,'Inputs &amp; Assumptions'!$C$12*(AG170-AG181),0)))</f>
        <v>0</v>
      </c>
      <c r="AH192" s="39" t="n">
        <f aca="false">IF(30&gt;'Inputs &amp; Assumptions'!$E$140,0,IF(30='Inputs &amp; Assumptions'!$E$140,AH170-AH181,IF(('Inputs &amp; Assumptions'!$C$140+30)&gt;'Inputs &amp; Assumptions'!$C$11,'Inputs &amp; Assumptions'!$C$12*(AH170-AH181),0)))</f>
        <v>0</v>
      </c>
      <c r="AI192" s="39" t="n">
        <f aca="false">IF(31&gt;'Inputs &amp; Assumptions'!$E$140,0,IF(31='Inputs &amp; Assumptions'!$E$140,AI170-AI181,IF(('Inputs &amp; Assumptions'!$C$140+31)&gt;'Inputs &amp; Assumptions'!$C$11,'Inputs &amp; Assumptions'!$C$12*(AI170-AI181),0)))</f>
        <v>0</v>
      </c>
      <c r="AJ192" s="39" t="n">
        <f aca="false">IF(32&gt;'Inputs &amp; Assumptions'!$E$140,0,IF(32='Inputs &amp; Assumptions'!$E$140,AJ170-AJ181,IF(('Inputs &amp; Assumptions'!$C$140+32)&gt;'Inputs &amp; Assumptions'!$C$11,'Inputs &amp; Assumptions'!$C$12*(AJ170-AJ181),0)))</f>
        <v>0</v>
      </c>
      <c r="AK192" s="39" t="n">
        <f aca="false">IF(33&gt;'Inputs &amp; Assumptions'!$E$140,0,IF(33='Inputs &amp; Assumptions'!$E$140,AK170-AK181,IF(('Inputs &amp; Assumptions'!$C$140+33)&gt;'Inputs &amp; Assumptions'!$C$11,'Inputs &amp; Assumptions'!$C$12*(AK170-AK181),0)))</f>
        <v>0</v>
      </c>
      <c r="AL192" s="39" t="n">
        <f aca="false">IF(34&gt;'Inputs &amp; Assumptions'!$E$140,0,IF(34='Inputs &amp; Assumptions'!$E$140,AL170-AL181,IF(('Inputs &amp; Assumptions'!$C$140+34)&gt;'Inputs &amp; Assumptions'!$C$11,'Inputs &amp; Assumptions'!$C$12*(AL170-AL181),0)))</f>
        <v>0</v>
      </c>
      <c r="AM192" s="39" t="n">
        <f aca="false">IF(35&gt;'Inputs &amp; Assumptions'!$E$140,0,IF(35='Inputs &amp; Assumptions'!$E$140,AM170-AM181,IF(('Inputs &amp; Assumptions'!$C$140+35)&gt;'Inputs &amp; Assumptions'!$C$11,'Inputs &amp; Assumptions'!$C$12*(AM170-AM181),0)))</f>
        <v>0</v>
      </c>
      <c r="AN192" s="39" t="n">
        <f aca="false">IF(36&gt;'Inputs &amp; Assumptions'!$E$140,0,IF(36='Inputs &amp; Assumptions'!$E$140,AN170-AN181,IF(('Inputs &amp; Assumptions'!$C$140+36)&gt;'Inputs &amp; Assumptions'!$C$11,'Inputs &amp; Assumptions'!$C$12*(AN170-AN181),0)))</f>
        <v>0</v>
      </c>
    </row>
    <row r="193" customFormat="false" ht="15" hidden="false" customHeight="false" outlineLevel="0" collapsed="false">
      <c r="B193" s="37" t="n">
        <v>2</v>
      </c>
      <c r="C193" s="38" t="n">
        <f aca="false">'Inputs &amp; Assumptions'!$C$141</f>
        <v>1</v>
      </c>
      <c r="D193" s="38" t="n">
        <f aca="false">'Inputs &amp; Assumptions'!$D$141</f>
        <v>3</v>
      </c>
      <c r="E193" s="39" t="n">
        <f aca="false">IF(1&gt;'Inputs &amp; Assumptions'!$E$141,0,IF(1='Inputs &amp; Assumptions'!$E$141,E171-E182,IF(('Inputs &amp; Assumptions'!$C$141+1)&gt;'Inputs &amp; Assumptions'!$C$11,'Inputs &amp; Assumptions'!$C$12*(E171-E182),0)))</f>
        <v>0</v>
      </c>
      <c r="F193" s="39" t="n">
        <f aca="false">IF(2&gt;'Inputs &amp; Assumptions'!$E$141,0,IF(2='Inputs &amp; Assumptions'!$E$141,F171-F182,IF(('Inputs &amp; Assumptions'!$C$141+2)&gt;'Inputs &amp; Assumptions'!$C$11,'Inputs &amp; Assumptions'!$C$12*(F171-F182),0)))</f>
        <v>0</v>
      </c>
      <c r="G193" s="39" t="n">
        <f aca="false">IF(3&gt;'Inputs &amp; Assumptions'!$E$141,0,IF(3='Inputs &amp; Assumptions'!$E$141,G171-G182,IF(('Inputs &amp; Assumptions'!$C$141+3)&gt;'Inputs &amp; Assumptions'!$C$11,'Inputs &amp; Assumptions'!$C$12*(G171-G182),0)))</f>
        <v>0</v>
      </c>
      <c r="H193" s="39" t="n">
        <f aca="false">IF(4&gt;'Inputs &amp; Assumptions'!$E$141,0,IF(4='Inputs &amp; Assumptions'!$E$141,H171-H182,IF(('Inputs &amp; Assumptions'!$C$141+4)&gt;'Inputs &amp; Assumptions'!$C$11,'Inputs &amp; Assumptions'!$C$12*(H171-H182),0)))</f>
        <v>1619024.14424537</v>
      </c>
      <c r="I193" s="39" t="n">
        <f aca="false">IF(5&gt;'Inputs &amp; Assumptions'!$E$141,0,IF(5='Inputs &amp; Assumptions'!$E$141,I171-I182,IF(('Inputs &amp; Assumptions'!$C$141+5)&gt;'Inputs &amp; Assumptions'!$C$11,'Inputs &amp; Assumptions'!$C$12*(I171-I182),0)))</f>
        <v>1517484.04056753</v>
      </c>
      <c r="J193" s="39" t="n">
        <f aca="false">IF(6&gt;'Inputs &amp; Assumptions'!$E$141,0,IF(6='Inputs &amp; Assumptions'!$E$141,J171-J182,IF(('Inputs &amp; Assumptions'!$C$141+6)&gt;'Inputs &amp; Assumptions'!$C$11,'Inputs &amp; Assumptions'!$C$12*(J171-J182),0)))</f>
        <v>1422312.21292285</v>
      </c>
      <c r="K193" s="39" t="n">
        <f aca="false">IF(7&gt;'Inputs &amp; Assumptions'!$E$141,0,IF(7='Inputs &amp; Assumptions'!$E$141,K171-K182,IF(('Inputs &amp; Assumptions'!$C$141+7)&gt;'Inputs &amp; Assumptions'!$C$11,'Inputs &amp; Assumptions'!$C$12*(K171-K182),0)))</f>
        <v>1333109.26306212</v>
      </c>
      <c r="L193" s="39" t="n">
        <f aca="false">IF(8&gt;'Inputs &amp; Assumptions'!$E$141,0,IF(8='Inputs &amp; Assumptions'!$E$141,L171-L182,IF(('Inputs &amp; Assumptions'!$C$141+8)&gt;'Inputs &amp; Assumptions'!$C$11,'Inputs &amp; Assumptions'!$C$12*(L171-L182),0)))</f>
        <v>1251400.50094295</v>
      </c>
      <c r="M193" s="39" t="n">
        <f aca="false">IF(9&gt;'Inputs &amp; Assumptions'!$E$141,0,IF(9='Inputs &amp; Assumptions'!$E$141,M171-M182,IF(('Inputs &amp; Assumptions'!$C$141+9)&gt;'Inputs &amp; Assumptions'!$C$11,'Inputs &amp; Assumptions'!$C$12*(M171-M182),0)))</f>
        <v>1174699.82180094</v>
      </c>
      <c r="N193" s="39" t="n">
        <f aca="false">IF(10&gt;'Inputs &amp; Assumptions'!$E$141,0,IF(10='Inputs &amp; Assumptions'!$E$141,N171-N182,IF(('Inputs &amp; Assumptions'!$C$141+10)&gt;'Inputs &amp; Assumptions'!$C$11,'Inputs &amp; Assumptions'!$C$12*(N171-N182),0)))</f>
        <v>1102700.27085604</v>
      </c>
      <c r="O193" s="39" t="n">
        <f aca="false">IF(11&gt;'Inputs &amp; Assumptions'!$E$141,0,IF(11='Inputs &amp; Assumptions'!$E$141,O171-O182,IF(('Inputs &amp; Assumptions'!$C$141+11)&gt;'Inputs &amp; Assumptions'!$C$11,'Inputs &amp; Assumptions'!$C$12*(O171-O182),0)))</f>
        <v>1035113.7071612</v>
      </c>
      <c r="P193" s="39" t="n">
        <f aca="false">IF(12&gt;'Inputs &amp; Assumptions'!$E$141,0,IF(12='Inputs &amp; Assumptions'!$E$141,P171-P182,IF(('Inputs &amp; Assumptions'!$C$141+12)&gt;'Inputs &amp; Assumptions'!$C$11,'Inputs &amp; Assumptions'!$C$12*(P171-P182),0)))</f>
        <v>974005.099342666</v>
      </c>
      <c r="Q193" s="39" t="n">
        <f aca="false">IF(13&gt;'Inputs &amp; Assumptions'!$E$141,0,IF(13='Inputs &amp; Assumptions'!$E$141,Q171-Q182,IF(('Inputs &amp; Assumptions'!$C$141+13)&gt;'Inputs &amp; Assumptions'!$C$11,'Inputs &amp; Assumptions'!$C$12*(Q171-Q182),0)))</f>
        <v>916504.077747445</v>
      </c>
      <c r="R193" s="39" t="n">
        <f aca="false">IF(14&gt;'Inputs &amp; Assumptions'!$E$141,0,IF(14='Inputs &amp; Assumptions'!$E$141,R171-R182,IF(('Inputs &amp; Assumptions'!$C$141+14)&gt;'Inputs &amp; Assumptions'!$C$11,'Inputs &amp; Assumptions'!$C$12*(R171-R182),0)))</f>
        <v>862397.666187352</v>
      </c>
      <c r="S193" s="39" t="n">
        <f aca="false">IF(15&gt;'Inputs &amp; Assumptions'!$E$141,0,IF(15='Inputs &amp; Assumptions'!$E$141,S171-S182,IF(('Inputs &amp; Assumptions'!$C$141+15)&gt;'Inputs &amp; Assumptions'!$C$11,'Inputs &amp; Assumptions'!$C$12*(S171-S182),0)))</f>
        <v>811485.461661346</v>
      </c>
      <c r="T193" s="39" t="n">
        <f aca="false">IF(16&gt;'Inputs &amp; Assumptions'!$E$141,0,IF(16='Inputs &amp; Assumptions'!$E$141,T171-T182,IF(('Inputs &amp; Assumptions'!$C$141+16)&gt;'Inputs &amp; Assumptions'!$C$11,'Inputs &amp; Assumptions'!$C$12*(T171-T182),0)))</f>
        <v>765192.969126455</v>
      </c>
      <c r="U193" s="39" t="n">
        <f aca="false">IF(17&gt;'Inputs &amp; Assumptions'!$E$141,0,IF(17='Inputs &amp; Assumptions'!$E$141,U171-U182,IF(('Inputs &amp; Assumptions'!$C$141+17)&gt;'Inputs &amp; Assumptions'!$C$11,'Inputs &amp; Assumptions'!$C$12*(U171-U182),0)))</f>
        <v>721541.306238352</v>
      </c>
      <c r="V193" s="39" t="n">
        <f aca="false">IF(18&gt;'Inputs &amp; Assumptions'!$E$141,0,IF(18='Inputs &amp; Assumptions'!$E$141,V171-V182,IF(('Inputs &amp; Assumptions'!$C$141+18)&gt;'Inputs &amp; Assumptions'!$C$11,'Inputs &amp; Assumptions'!$C$12*(V171-V182),0)))</f>
        <v>680379.822624991</v>
      </c>
      <c r="W193" s="39" t="n">
        <f aca="false">IF(19&gt;'Inputs &amp; Assumptions'!$E$141,0,IF(19='Inputs &amp; Assumptions'!$E$141,W171-W182,IF(('Inputs &amp; Assumptions'!$C$141+19)&gt;'Inputs &amp; Assumptions'!$C$11,'Inputs &amp; Assumptions'!$C$12*(W171-W182),0)))</f>
        <v>641566.462006952</v>
      </c>
      <c r="X193" s="39" t="n">
        <f aca="false">IF(20&gt;'Inputs &amp; Assumptions'!$E$141,0,IF(20='Inputs &amp; Assumptions'!$E$141,X171-X182,IF(('Inputs &amp; Assumptions'!$C$141+20)&gt;'Inputs &amp; Assumptions'!$C$11,'Inputs &amp; Assumptions'!$C$12*(X171-X182),0)))</f>
        <v>605824.354930719</v>
      </c>
      <c r="Y193" s="39" t="n">
        <f aca="false">IF(21&gt;'Inputs &amp; Assumptions'!$E$141,0,IF(21='Inputs &amp; Assumptions'!$E$141,Y171-Y182,IF(('Inputs &amp; Assumptions'!$C$141+21)&gt;'Inputs &amp; Assumptions'!$C$11,'Inputs &amp; Assumptions'!$C$12*(Y171-Y182),0)))</f>
        <v>572073.465123314</v>
      </c>
      <c r="Z193" s="39" t="n">
        <f aca="false">IF(22&gt;'Inputs &amp; Assumptions'!$E$141,0,IF(22='Inputs &amp; Assumptions'!$E$141,Z171-Z182,IF(('Inputs &amp; Assumptions'!$C$141+22)&gt;'Inputs &amp; Assumptions'!$C$11,'Inputs &amp; Assumptions'!$C$12*(Z171-Z182),0)))</f>
        <v>540202.860506691</v>
      </c>
      <c r="AA193" s="39" t="n">
        <f aca="false">IF(23&gt;'Inputs &amp; Assumptions'!$E$141,0,IF(23='Inputs &amp; Assumptions'!$E$141,AA171-AA182,IF(('Inputs &amp; Assumptions'!$C$141+23)&gt;'Inputs &amp; Assumptions'!$C$11,'Inputs &amp; Assumptions'!$C$12*(AA171-AA182),0)))</f>
        <v>510107.789104863</v>
      </c>
      <c r="AB193" s="39" t="n">
        <f aca="false">IF(24&gt;'Inputs &amp; Assumptions'!$E$141,0,IF(24='Inputs &amp; Assumptions'!$E$141,AB171-AB182,IF(('Inputs &amp; Assumptions'!$C$141+24)&gt;'Inputs &amp; Assumptions'!$C$11,'Inputs &amp; Assumptions'!$C$12*(AB171-AB182),0)))</f>
        <v>482310.224545117</v>
      </c>
      <c r="AC193" s="39" t="n">
        <f aca="false">IF(25&gt;'Inputs &amp; Assumptions'!$E$141,0,IF(25='Inputs &amp; Assumptions'!$E$141,AC171-AC182,IF(('Inputs &amp; Assumptions'!$C$141+25)&gt;'Inputs &amp; Assumptions'!$C$11,'Inputs &amp; Assumptions'!$C$12*(AC171-AC182),0)))</f>
        <v>456027.446883272</v>
      </c>
      <c r="AD193" s="39" t="n">
        <f aca="false">IF(26&gt;'Inputs &amp; Assumptions'!$E$141,0,IF(26='Inputs &amp; Assumptions'!$E$141,AD171-AD182,IF(('Inputs &amp; Assumptions'!$C$141+26)&gt;'Inputs &amp; Assumptions'!$C$11,'Inputs &amp; Assumptions'!$C$12*(AD171-AD182),0)))</f>
        <v>431176.91006242</v>
      </c>
      <c r="AE193" s="39" t="n">
        <f aca="false">IF(27&gt;'Inputs &amp; Assumptions'!$E$141,0,IF(27='Inputs &amp; Assumptions'!$E$141,AE171-AE182,IF(('Inputs &amp; Assumptions'!$C$141+27)&gt;'Inputs &amp; Assumptions'!$C$11,'Inputs &amp; Assumptions'!$C$12*(AE171-AE182),0)))</f>
        <v>13589352.2083378</v>
      </c>
      <c r="AF193" s="39" t="n">
        <f aca="false">IF(28&gt;'Inputs &amp; Assumptions'!$E$141,0,IF(28='Inputs &amp; Assumptions'!$E$141,AF171-AF182,IF(('Inputs &amp; Assumptions'!$C$141+28)&gt;'Inputs &amp; Assumptions'!$C$11,'Inputs &amp; Assumptions'!$C$12*(AF171-AF182),0)))</f>
        <v>0</v>
      </c>
      <c r="AG193" s="39" t="n">
        <f aca="false">IF(29&gt;'Inputs &amp; Assumptions'!$E$141,0,IF(29='Inputs &amp; Assumptions'!$E$141,AG171-AG182,IF(('Inputs &amp; Assumptions'!$C$141+29)&gt;'Inputs &amp; Assumptions'!$C$11,'Inputs &amp; Assumptions'!$C$12*(AG171-AG182),0)))</f>
        <v>0</v>
      </c>
      <c r="AH193" s="39" t="n">
        <f aca="false">IF(30&gt;'Inputs &amp; Assumptions'!$E$141,0,IF(30='Inputs &amp; Assumptions'!$E$141,AH171-AH182,IF(('Inputs &amp; Assumptions'!$C$141+30)&gt;'Inputs &amp; Assumptions'!$C$11,'Inputs &amp; Assumptions'!$C$12*(AH171-AH182),0)))</f>
        <v>0</v>
      </c>
      <c r="AI193" s="39" t="n">
        <f aca="false">IF(31&gt;'Inputs &amp; Assumptions'!$E$141,0,IF(31='Inputs &amp; Assumptions'!$E$141,AI171-AI182,IF(('Inputs &amp; Assumptions'!$C$141+31)&gt;'Inputs &amp; Assumptions'!$C$11,'Inputs &amp; Assumptions'!$C$12*(AI171-AI182),0)))</f>
        <v>0</v>
      </c>
      <c r="AJ193" s="39" t="n">
        <f aca="false">IF(32&gt;'Inputs &amp; Assumptions'!$E$141,0,IF(32='Inputs &amp; Assumptions'!$E$141,AJ171-AJ182,IF(('Inputs &amp; Assumptions'!$C$141+32)&gt;'Inputs &amp; Assumptions'!$C$11,'Inputs &amp; Assumptions'!$C$12*(AJ171-AJ182),0)))</f>
        <v>0</v>
      </c>
      <c r="AK193" s="39" t="n">
        <f aca="false">IF(33&gt;'Inputs &amp; Assumptions'!$E$141,0,IF(33='Inputs &amp; Assumptions'!$E$141,AK171-AK182,IF(('Inputs &amp; Assumptions'!$C$141+33)&gt;'Inputs &amp; Assumptions'!$C$11,'Inputs &amp; Assumptions'!$C$12*(AK171-AK182),0)))</f>
        <v>0</v>
      </c>
      <c r="AL193" s="39" t="n">
        <f aca="false">IF(34&gt;'Inputs &amp; Assumptions'!$E$141,0,IF(34='Inputs &amp; Assumptions'!$E$141,AL171-AL182,IF(('Inputs &amp; Assumptions'!$C$141+34)&gt;'Inputs &amp; Assumptions'!$C$11,'Inputs &amp; Assumptions'!$C$12*(AL171-AL182),0)))</f>
        <v>0</v>
      </c>
      <c r="AM193" s="39" t="n">
        <f aca="false">IF(35&gt;'Inputs &amp; Assumptions'!$E$141,0,IF(35='Inputs &amp; Assumptions'!$E$141,AM171-AM182,IF(('Inputs &amp; Assumptions'!$C$141+35)&gt;'Inputs &amp; Assumptions'!$C$11,'Inputs &amp; Assumptions'!$C$12*(AM171-AM182),0)))</f>
        <v>0</v>
      </c>
      <c r="AN193" s="39" t="n">
        <f aca="false">IF(36&gt;'Inputs &amp; Assumptions'!$E$141,0,IF(36='Inputs &amp; Assumptions'!$E$141,AN171-AN182,IF(('Inputs &amp; Assumptions'!$C$141+36)&gt;'Inputs &amp; Assumptions'!$C$11,'Inputs &amp; Assumptions'!$C$12*(AN171-AN182),0)))</f>
        <v>0</v>
      </c>
    </row>
    <row r="194" customFormat="false" ht="15" hidden="false" customHeight="false" outlineLevel="0" collapsed="false">
      <c r="B194" s="37" t="n">
        <v>3</v>
      </c>
      <c r="C194" s="38" t="n">
        <f aca="false">'Inputs &amp; Assumptions'!$C$142</f>
        <v>2</v>
      </c>
      <c r="D194" s="38" t="n">
        <f aca="false">'Inputs &amp; Assumptions'!$D$142</f>
        <v>3</v>
      </c>
      <c r="E194" s="39" t="n">
        <f aca="false">IF(1&gt;'Inputs &amp; Assumptions'!$E$142,0,IF(1='Inputs &amp; Assumptions'!$E$142,E172-E183,IF(('Inputs &amp; Assumptions'!$C$142+1)&gt;'Inputs &amp; Assumptions'!$C$11,'Inputs &amp; Assumptions'!$C$12*(E172-E183),0)))</f>
        <v>0</v>
      </c>
      <c r="F194" s="39" t="n">
        <f aca="false">IF(2&gt;'Inputs &amp; Assumptions'!$E$142,0,IF(2='Inputs &amp; Assumptions'!$E$142,F172-F183,IF(('Inputs &amp; Assumptions'!$C$142+2)&gt;'Inputs &amp; Assumptions'!$C$11,'Inputs &amp; Assumptions'!$C$12*(F172-F183),0)))</f>
        <v>0</v>
      </c>
      <c r="G194" s="39" t="n">
        <f aca="false">IF(3&gt;'Inputs &amp; Assumptions'!$E$142,0,IF(3='Inputs &amp; Assumptions'!$E$142,G172-G183,IF(('Inputs &amp; Assumptions'!$C$142+3)&gt;'Inputs &amp; Assumptions'!$C$11,'Inputs &amp; Assumptions'!$C$12*(G172-G183),0)))</f>
        <v>1669720.41527974</v>
      </c>
      <c r="H194" s="39" t="n">
        <f aca="false">IF(4&gt;'Inputs &amp; Assumptions'!$E$142,0,IF(4='Inputs &amp; Assumptions'!$E$142,H172-H183,IF(('Inputs &amp; Assumptions'!$C$142+4)&gt;'Inputs &amp; Assumptions'!$C$11,'Inputs &amp; Assumptions'!$C$12*(H172-H183),0)))</f>
        <v>1565000.8008854</v>
      </c>
      <c r="I194" s="39" t="n">
        <f aca="false">IF(5&gt;'Inputs &amp; Assumptions'!$E$142,0,IF(5='Inputs &amp; Assumptions'!$E$142,I172-I183,IF(('Inputs &amp; Assumptions'!$C$142+5)&gt;'Inputs &amp; Assumptions'!$C$11,'Inputs &amp; Assumptions'!$C$12*(I172-I183),0)))</f>
        <v>1466848.87143912</v>
      </c>
      <c r="J194" s="39" t="n">
        <f aca="false">IF(6&gt;'Inputs &amp; Assumptions'!$E$142,0,IF(6='Inputs &amp; Assumptions'!$E$142,J172-J183,IF(('Inputs &amp; Assumptions'!$C$142+6)&gt;'Inputs &amp; Assumptions'!$C$11,'Inputs &amp; Assumptions'!$C$12*(J172-J183),0)))</f>
        <v>1374852.72239153</v>
      </c>
      <c r="K194" s="39" t="n">
        <f aca="false">IF(7&gt;'Inputs &amp; Assumptions'!$E$142,0,IF(7='Inputs &amp; Assumptions'!$E$142,K172-K183,IF(('Inputs &amp; Assumptions'!$C$142+7)&gt;'Inputs &amp; Assumptions'!$C$11,'Inputs &amp; Assumptions'!$C$12*(K172-K183),0)))</f>
        <v>1290585.42551239</v>
      </c>
      <c r="L194" s="39" t="n">
        <f aca="false">IF(8&gt;'Inputs &amp; Assumptions'!$E$142,0,IF(8='Inputs &amp; Assumptions'!$E$142,L172-L183,IF(('Inputs &amp; Assumptions'!$C$142+8)&gt;'Inputs &amp; Assumptions'!$C$11,'Inputs &amp; Assumptions'!$C$12*(L172-L183),0)))</f>
        <v>1211483.02899506</v>
      </c>
      <c r="M194" s="39" t="n">
        <f aca="false">IF(9&gt;'Inputs &amp; Assumptions'!$E$142,0,IF(9='Inputs &amp; Assumptions'!$E$142,M172-M183,IF(('Inputs &amp; Assumptions'!$C$142+9)&gt;'Inputs &amp; Assumptions'!$C$11,'Inputs &amp; Assumptions'!$C$12*(M172-M183),0)))</f>
        <v>1137228.96642843</v>
      </c>
      <c r="N194" s="39" t="n">
        <f aca="false">IF(10&gt;'Inputs &amp; Assumptions'!$E$142,0,IF(10='Inputs &amp; Assumptions'!$E$142,N172-N183,IF(('Inputs &amp; Assumptions'!$C$142+10)&gt;'Inputs &amp; Assumptions'!$C$11,'Inputs &amp; Assumptions'!$C$12*(N172-N183),0)))</f>
        <v>1067526.07434928</v>
      </c>
      <c r="O194" s="39" t="n">
        <f aca="false">IF(11&gt;'Inputs &amp; Assumptions'!$E$142,0,IF(11='Inputs &amp; Assumptions'!$E$142,O172-O183,IF(('Inputs &amp; Assumptions'!$C$142+11)&gt;'Inputs &amp; Assumptions'!$C$11,'Inputs &amp; Assumptions'!$C$12*(O172-O183),0)))</f>
        <v>1004503.98145054</v>
      </c>
      <c r="P194" s="39" t="n">
        <f aca="false">IF(12&gt;'Inputs &amp; Assumptions'!$E$142,0,IF(12='Inputs &amp; Assumptions'!$E$142,P172-P183,IF(('Inputs &amp; Assumptions'!$C$142+12)&gt;'Inputs &amp; Assumptions'!$C$11,'Inputs &amp; Assumptions'!$C$12*(P172-P183),0)))</f>
        <v>945202.438605586</v>
      </c>
      <c r="Q194" s="39" t="n">
        <f aca="false">IF(13&gt;'Inputs &amp; Assumptions'!$E$142,0,IF(13='Inputs &amp; Assumptions'!$E$142,Q172-Q183,IF(('Inputs &amp; Assumptions'!$C$142+13)&gt;'Inputs &amp; Assumptions'!$C$11,'Inputs &amp; Assumptions'!$C$12*(Q172-Q183),0)))</f>
        <v>889401.800733367</v>
      </c>
      <c r="R194" s="39" t="n">
        <f aca="false">IF(14&gt;'Inputs &amp; Assumptions'!$E$142,0,IF(14='Inputs &amp; Assumptions'!$E$142,R172-R183,IF(('Inputs &amp; Assumptions'!$C$142+14)&gt;'Inputs &amp; Assumptions'!$C$11,'Inputs &amp; Assumptions'!$C$12*(R172-R183),0)))</f>
        <v>836895.389642387</v>
      </c>
      <c r="S194" s="39" t="n">
        <f aca="false">IF(15&gt;'Inputs &amp; Assumptions'!$E$142,0,IF(15='Inputs &amp; Assumptions'!$E$142,S172-S183,IF(('Inputs &amp; Assumptions'!$C$142+15)&gt;'Inputs &amp; Assumptions'!$C$11,'Inputs &amp; Assumptions'!$C$12*(S172-S183),0)))</f>
        <v>789153.346922128</v>
      </c>
      <c r="T194" s="39" t="n">
        <f aca="false">IF(16&gt;'Inputs &amp; Assumptions'!$E$142,0,IF(16='Inputs &amp; Assumptions'!$E$142,T172-T183,IF(('Inputs &amp; Assumptions'!$C$142+16)&gt;'Inputs &amp; Assumptions'!$C$11,'Inputs &amp; Assumptions'!$C$12*(T172-T183),0)))</f>
        <v>744134.825768976</v>
      </c>
      <c r="U194" s="39" t="n">
        <f aca="false">IF(17&gt;'Inputs &amp; Assumptions'!$E$142,0,IF(17='Inputs &amp; Assumptions'!$E$142,U172-U183,IF(('Inputs &amp; Assumptions'!$C$142+17)&gt;'Inputs &amp; Assumptions'!$C$11,'Inputs &amp; Assumptions'!$C$12*(U172-U183),0)))</f>
        <v>701684.45851737</v>
      </c>
      <c r="V194" s="39" t="n">
        <f aca="false">IF(18&gt;'Inputs &amp; Assumptions'!$E$142,0,IF(18='Inputs &amp; Assumptions'!$E$142,V172-V183,IF(('Inputs &amp; Assumptions'!$C$142+18)&gt;'Inputs &amp; Assumptions'!$C$11,'Inputs &amp; Assumptions'!$C$12*(V172-V183),0)))</f>
        <v>661655.740699971</v>
      </c>
      <c r="W194" s="39" t="n">
        <f aca="false">IF(19&gt;'Inputs &amp; Assumptions'!$E$142,0,IF(19='Inputs &amp; Assumptions'!$E$142,W172-W183,IF(('Inputs &amp; Assumptions'!$C$142+19)&gt;'Inputs &amp; Assumptions'!$C$11,'Inputs &amp; Assumptions'!$C$12*(W172-W183),0)))</f>
        <v>624794.446146444</v>
      </c>
      <c r="X194" s="39" t="n">
        <f aca="false">IF(20&gt;'Inputs &amp; Assumptions'!$E$142,0,IF(20='Inputs &amp; Assumptions'!$E$142,X172-X183,IF(('Inputs &amp; Assumptions'!$C$142+20)&gt;'Inputs &amp; Assumptions'!$C$11,'Inputs &amp; Assumptions'!$C$12*(X172-X183),0)))</f>
        <v>589986.719562756</v>
      </c>
      <c r="Y194" s="39" t="n">
        <f aca="false">IF(21&gt;'Inputs &amp; Assumptions'!$E$142,0,IF(21='Inputs &amp; Assumptions'!$E$142,Y172-Y183,IF(('Inputs &amp; Assumptions'!$C$142+21)&gt;'Inputs &amp; Assumptions'!$C$11,'Inputs &amp; Assumptions'!$C$12*(Y172-Y183),0)))</f>
        <v>557118.155270599</v>
      </c>
      <c r="Z194" s="39" t="n">
        <f aca="false">IF(22&gt;'Inputs &amp; Assumptions'!$E$142,0,IF(22='Inputs &amp; Assumptions'!$E$142,Z172-Z183,IF(('Inputs &amp; Assumptions'!$C$142+22)&gt;'Inputs &amp; Assumptions'!$C$11,'Inputs &amp; Assumptions'!$C$12*(Z172-Z183),0)))</f>
        <v>526080.72121037</v>
      </c>
      <c r="AA194" s="39" t="n">
        <f aca="false">IF(23&gt;'Inputs &amp; Assumptions'!$E$142,0,IF(23='Inputs &amp; Assumptions'!$E$142,AA172-AA183,IF(('Inputs &amp; Assumptions'!$C$142+23)&gt;'Inputs &amp; Assumptions'!$C$11,'Inputs &amp; Assumptions'!$C$12*(AA172-AA183),0)))</f>
        <v>497412.735494753</v>
      </c>
      <c r="AB194" s="39" t="n">
        <f aca="false">IF(24&gt;'Inputs &amp; Assumptions'!$E$142,0,IF(24='Inputs &amp; Assumptions'!$E$142,AB172-AB183,IF(('Inputs &amp; Assumptions'!$C$142+24)&gt;'Inputs &amp; Assumptions'!$C$11,'Inputs &amp; Assumptions'!$C$12*(AB172-AB183),0)))</f>
        <v>470306.968982113</v>
      </c>
      <c r="AC194" s="39" t="n">
        <f aca="false">IF(25&gt;'Inputs &amp; Assumptions'!$E$142,0,IF(25='Inputs &amp; Assumptions'!$E$142,AC172-AC183,IF(('Inputs &amp; Assumptions'!$C$142+25)&gt;'Inputs &amp; Assumptions'!$C$11,'Inputs &amp; Assumptions'!$C$12*(AC172-AC183),0)))</f>
        <v>444678.290862691</v>
      </c>
      <c r="AD194" s="39" t="n">
        <f aca="false">IF(26&gt;'Inputs &amp; Assumptions'!$E$142,0,IF(26='Inputs &amp; Assumptions'!$E$142,AD172-AD183,IF(('Inputs &amp; Assumptions'!$C$142+26)&gt;'Inputs &amp; Assumptions'!$C$11,'Inputs &amp; Assumptions'!$C$12*(AD172-AD183),0)))</f>
        <v>14014873.6467823</v>
      </c>
      <c r="AE194" s="39" t="n">
        <f aca="false">IF(27&gt;'Inputs &amp; Assumptions'!$E$142,0,IF(27='Inputs &amp; Assumptions'!$E$142,AE172-AE183,IF(('Inputs &amp; Assumptions'!$C$142+27)&gt;'Inputs &amp; Assumptions'!$C$11,'Inputs &amp; Assumptions'!$C$12*(AE172-AE183),0)))</f>
        <v>0</v>
      </c>
      <c r="AF194" s="39" t="n">
        <f aca="false">IF(28&gt;'Inputs &amp; Assumptions'!$E$142,0,IF(28='Inputs &amp; Assumptions'!$E$142,AF172-AF183,IF(('Inputs &amp; Assumptions'!$C$142+28)&gt;'Inputs &amp; Assumptions'!$C$11,'Inputs &amp; Assumptions'!$C$12*(AF172-AF183),0)))</f>
        <v>0</v>
      </c>
      <c r="AG194" s="39" t="n">
        <f aca="false">IF(29&gt;'Inputs &amp; Assumptions'!$E$142,0,IF(29='Inputs &amp; Assumptions'!$E$142,AG172-AG183,IF(('Inputs &amp; Assumptions'!$C$142+29)&gt;'Inputs &amp; Assumptions'!$C$11,'Inputs &amp; Assumptions'!$C$12*(AG172-AG183),0)))</f>
        <v>0</v>
      </c>
      <c r="AH194" s="39" t="n">
        <f aca="false">IF(30&gt;'Inputs &amp; Assumptions'!$E$142,0,IF(30='Inputs &amp; Assumptions'!$E$142,AH172-AH183,IF(('Inputs &amp; Assumptions'!$C$142+30)&gt;'Inputs &amp; Assumptions'!$C$11,'Inputs &amp; Assumptions'!$C$12*(AH172-AH183),0)))</f>
        <v>0</v>
      </c>
      <c r="AI194" s="39" t="n">
        <f aca="false">IF(31&gt;'Inputs &amp; Assumptions'!$E$142,0,IF(31='Inputs &amp; Assumptions'!$E$142,AI172-AI183,IF(('Inputs &amp; Assumptions'!$C$142+31)&gt;'Inputs &amp; Assumptions'!$C$11,'Inputs &amp; Assumptions'!$C$12*(AI172-AI183),0)))</f>
        <v>0</v>
      </c>
      <c r="AJ194" s="39" t="n">
        <f aca="false">IF(32&gt;'Inputs &amp; Assumptions'!$E$142,0,IF(32='Inputs &amp; Assumptions'!$E$142,AJ172-AJ183,IF(('Inputs &amp; Assumptions'!$C$142+32)&gt;'Inputs &amp; Assumptions'!$C$11,'Inputs &amp; Assumptions'!$C$12*(AJ172-AJ183),0)))</f>
        <v>0</v>
      </c>
      <c r="AK194" s="39" t="n">
        <f aca="false">IF(33&gt;'Inputs &amp; Assumptions'!$E$142,0,IF(33='Inputs &amp; Assumptions'!$E$142,AK172-AK183,IF(('Inputs &amp; Assumptions'!$C$142+33)&gt;'Inputs &amp; Assumptions'!$C$11,'Inputs &amp; Assumptions'!$C$12*(AK172-AK183),0)))</f>
        <v>0</v>
      </c>
      <c r="AL194" s="39" t="n">
        <f aca="false">IF(34&gt;'Inputs &amp; Assumptions'!$E$142,0,IF(34='Inputs &amp; Assumptions'!$E$142,AL172-AL183,IF(('Inputs &amp; Assumptions'!$C$142+34)&gt;'Inputs &amp; Assumptions'!$C$11,'Inputs &amp; Assumptions'!$C$12*(AL172-AL183),0)))</f>
        <v>0</v>
      </c>
      <c r="AM194" s="39" t="n">
        <f aca="false">IF(35&gt;'Inputs &amp; Assumptions'!$E$142,0,IF(35='Inputs &amp; Assumptions'!$E$142,AM172-AM183,IF(('Inputs &amp; Assumptions'!$C$142+35)&gt;'Inputs &amp; Assumptions'!$C$11,'Inputs &amp; Assumptions'!$C$12*(AM172-AM183),0)))</f>
        <v>0</v>
      </c>
      <c r="AN194" s="39" t="n">
        <f aca="false">IF(36&gt;'Inputs &amp; Assumptions'!$E$142,0,IF(36='Inputs &amp; Assumptions'!$E$142,AN172-AN183,IF(('Inputs &amp; Assumptions'!$C$142+36)&gt;'Inputs &amp; Assumptions'!$C$11,'Inputs &amp; Assumptions'!$C$12*(AN172-AN183),0)))</f>
        <v>0</v>
      </c>
    </row>
    <row r="195" customFormat="false" ht="15" hidden="false" customHeight="false" outlineLevel="0" collapsed="false">
      <c r="B195" s="37" t="n">
        <v>4</v>
      </c>
      <c r="C195" s="38" t="n">
        <f aca="false">'Inputs &amp; Assumptions'!$C$143</f>
        <v>3</v>
      </c>
      <c r="D195" s="38" t="n">
        <f aca="false">'Inputs &amp; Assumptions'!$D$143</f>
        <v>3</v>
      </c>
      <c r="E195" s="39" t="n">
        <f aca="false">IF(1&gt;'Inputs &amp; Assumptions'!$E$143,0,IF(1='Inputs &amp; Assumptions'!$E$143,E173-E184,IF(('Inputs &amp; Assumptions'!$C$143+1)&gt;'Inputs &amp; Assumptions'!$C$11,'Inputs &amp; Assumptions'!$C$12*(E173-E184),0)))</f>
        <v>0</v>
      </c>
      <c r="F195" s="39" t="n">
        <f aca="false">IF(2&gt;'Inputs &amp; Assumptions'!$E$143,0,IF(2='Inputs &amp; Assumptions'!$E$143,F173-F184,IF(('Inputs &amp; Assumptions'!$C$143+2)&gt;'Inputs &amp; Assumptions'!$C$11,'Inputs &amp; Assumptions'!$C$12*(F173-F184),0)))</f>
        <v>1722004.13138461</v>
      </c>
      <c r="G195" s="39" t="n">
        <f aca="false">IF(3&gt;'Inputs &amp; Assumptions'!$E$143,0,IF(3='Inputs &amp; Assumptions'!$E$143,G173-G184,IF(('Inputs &amp; Assumptions'!$C$143+3)&gt;'Inputs &amp; Assumptions'!$C$11,'Inputs &amp; Assumptions'!$C$12*(G173-G184),0)))</f>
        <v>1614005.4467103</v>
      </c>
      <c r="H195" s="39" t="n">
        <f aca="false">IF(4&gt;'Inputs &amp; Assumptions'!$E$143,0,IF(4='Inputs &amp; Assumptions'!$E$143,H173-H184,IF(('Inputs &amp; Assumptions'!$C$143+4)&gt;'Inputs &amp; Assumptions'!$C$11,'Inputs &amp; Assumptions'!$C$12*(H173-H184),0)))</f>
        <v>1512780.09996172</v>
      </c>
      <c r="I195" s="39" t="n">
        <f aca="false">IF(5&gt;'Inputs &amp; Assumptions'!$E$143,0,IF(5='Inputs &amp; Assumptions'!$E$143,I173-I184,IF(('Inputs &amp; Assumptions'!$C$143+5)&gt;'Inputs &amp; Assumptions'!$C$11,'Inputs &amp; Assumptions'!$C$12*(I173-I184),0)))</f>
        <v>1417903.28868138</v>
      </c>
      <c r="J195" s="39" t="n">
        <f aca="false">IF(6&gt;'Inputs &amp; Assumptions'!$E$143,0,IF(6='Inputs &amp; Assumptions'!$E$143,J173-J184,IF(('Inputs &amp; Assumptions'!$C$143+6)&gt;'Inputs &amp; Assumptions'!$C$11,'Inputs &amp; Assumptions'!$C$12*(J173-J184),0)))</f>
        <v>1330997.34200996</v>
      </c>
      <c r="K195" s="39" t="n">
        <f aca="false">IF(7&gt;'Inputs &amp; Assumptions'!$E$143,0,IF(7='Inputs &amp; Assumptions'!$E$143,K173-K184,IF(('Inputs &amp; Assumptions'!$C$143+7)&gt;'Inputs &amp; Assumptions'!$C$11,'Inputs &amp; Assumptions'!$C$12*(K173-K184),0)))</f>
        <v>1249418.02348528</v>
      </c>
      <c r="L195" s="39" t="n">
        <f aca="false">IF(8&gt;'Inputs &amp; Assumptions'!$E$143,0,IF(8='Inputs &amp; Assumptions'!$E$143,L173-L184,IF(('Inputs &amp; Assumptions'!$C$143+8)&gt;'Inputs &amp; Assumptions'!$C$11,'Inputs &amp; Assumptions'!$C$12*(L173-L184),0)))</f>
        <v>1172838.85409757</v>
      </c>
      <c r="M195" s="39" t="n">
        <f aca="false">IF(9&gt;'Inputs &amp; Assumptions'!$E$143,0,IF(9='Inputs &amp; Assumptions'!$E$143,M173-M184,IF(('Inputs &amp; Assumptions'!$C$143+9)&gt;'Inputs &amp; Assumptions'!$C$11,'Inputs &amp; Assumptions'!$C$12*(M173-M184),0)))</f>
        <v>1100953.36534666</v>
      </c>
      <c r="N195" s="39" t="n">
        <f aca="false">IF(10&gt;'Inputs &amp; Assumptions'!$E$143,0,IF(10='Inputs &amp; Assumptions'!$E$143,N173-N184,IF(('Inputs &amp; Assumptions'!$C$143+10)&gt;'Inputs &amp; Assumptions'!$C$11,'Inputs &amp; Assumptions'!$C$12*(N173-N184),0)))</f>
        <v>1035957.87068359</v>
      </c>
      <c r="O195" s="39" t="n">
        <f aca="false">IF(11&gt;'Inputs &amp; Assumptions'!$E$143,0,IF(11='Inputs &amp; Assumptions'!$E$143,O173-O184,IF(('Inputs &amp; Assumptions'!$C$143+11)&gt;'Inputs &amp; Assumptions'!$C$11,'Inputs &amp; Assumptions'!$C$12*(O173-O184),0)))</f>
        <v>974799.427125012</v>
      </c>
      <c r="P195" s="39" t="n">
        <f aca="false">IF(12&gt;'Inputs &amp; Assumptions'!$E$143,0,IF(12='Inputs &amp; Assumptions'!$E$143,P173-P184,IF(('Inputs &amp; Assumptions'!$C$143+12)&gt;'Inputs &amp; Assumptions'!$C$11,'Inputs &amp; Assumptions'!$C$12*(P173-P184),0)))</f>
        <v>917251.511874925</v>
      </c>
      <c r="Q195" s="39" t="n">
        <f aca="false">IF(13&gt;'Inputs &amp; Assumptions'!$E$143,0,IF(13='Inputs &amp; Assumptions'!$E$143,Q173-Q184,IF(('Inputs &amp; Assumptions'!$C$143+13)&gt;'Inputs &amp; Assumptions'!$C$11,'Inputs &amp; Assumptions'!$C$12*(Q173-Q184),0)))</f>
        <v>863100.975057239</v>
      </c>
      <c r="R195" s="39" t="n">
        <f aca="false">IF(14&gt;'Inputs &amp; Assumptions'!$E$143,0,IF(14='Inputs &amp; Assumptions'!$E$143,R173-R184,IF(('Inputs &amp; Assumptions'!$C$143+14)&gt;'Inputs &amp; Assumptions'!$C$11,'Inputs &amp; Assumptions'!$C$12*(R173-R184),0)))</f>
        <v>813863.992594369</v>
      </c>
      <c r="S195" s="39" t="n">
        <f aca="false">IF(15&gt;'Inputs &amp; Assumptions'!$E$143,0,IF(15='Inputs &amp; Assumptions'!$E$143,S173-S184,IF(('Inputs &amp; Assumptions'!$C$143+15)&gt;'Inputs &amp; Assumptions'!$C$11,'Inputs &amp; Assumptions'!$C$12*(S173-S184),0)))</f>
        <v>767435.812939174</v>
      </c>
      <c r="T195" s="39" t="n">
        <f aca="false">IF(16&gt;'Inputs &amp; Assumptions'!$E$143,0,IF(16='Inputs &amp; Assumptions'!$E$143,T173-T184,IF(('Inputs &amp; Assumptions'!$C$143+16)&gt;'Inputs &amp; Assumptions'!$C$11,'Inputs &amp; Assumptions'!$C$12*(T173-T184),0)))</f>
        <v>723656.203420648</v>
      </c>
      <c r="U195" s="39" t="n">
        <f aca="false">IF(17&gt;'Inputs &amp; Assumptions'!$E$143,0,IF(17='Inputs &amp; Assumptions'!$E$143,U173-U184,IF(('Inputs &amp; Assumptions'!$C$143+17)&gt;'Inputs &amp; Assumptions'!$C$11,'Inputs &amp; Assumptions'!$C$12*(U173-U184),0)))</f>
        <v>682374.072098056</v>
      </c>
      <c r="V195" s="39" t="n">
        <f aca="false">IF(18&gt;'Inputs &amp; Assumptions'!$E$143,0,IF(18='Inputs &amp; Assumptions'!$E$143,V173-V184,IF(('Inputs &amp; Assumptions'!$C$143+18)&gt;'Inputs &amp; Assumptions'!$C$11,'Inputs &amp; Assumptions'!$C$12*(V173-V184),0)))</f>
        <v>644358.54511013</v>
      </c>
      <c r="W195" s="39" t="n">
        <f aca="false">IF(19&gt;'Inputs &amp; Assumptions'!$E$143,0,IF(19='Inputs &amp; Assumptions'!$E$143,W173-W184,IF(('Inputs &amp; Assumptions'!$C$143+19)&gt;'Inputs &amp; Assumptions'!$C$11,'Inputs &amp; Assumptions'!$C$12*(W173-W184),0)))</f>
        <v>608460.889171621</v>
      </c>
      <c r="X195" s="39" t="n">
        <f aca="false">IF(20&gt;'Inputs &amp; Assumptions'!$E$143,0,IF(20='Inputs &amp; Assumptions'!$E$143,X173-X184,IF(('Inputs &amp; Assumptions'!$C$143+20)&gt;'Inputs &amp; Assumptions'!$C$11,'Inputs &amp; Assumptions'!$C$12*(X173-X184),0)))</f>
        <v>574563.116235609</v>
      </c>
      <c r="Y195" s="39" t="n">
        <f aca="false">IF(21&gt;'Inputs &amp; Assumptions'!$E$143,0,IF(21='Inputs &amp; Assumptions'!$E$143,Y173-Y184,IF(('Inputs &amp; Assumptions'!$C$143+21)&gt;'Inputs &amp; Assumptions'!$C$11,'Inputs &amp; Assumptions'!$C$12*(Y173-Y184),0)))</f>
        <v>542553.811450091</v>
      </c>
      <c r="Z195" s="39" t="n">
        <f aca="false">IF(22&gt;'Inputs &amp; Assumptions'!$E$143,0,IF(22='Inputs &amp; Assumptions'!$E$143,Z173-Z184,IF(('Inputs &amp; Assumptions'!$C$143+22)&gt;'Inputs &amp; Assumptions'!$C$11,'Inputs &amp; Assumptions'!$C$12*(Z173-Z184),0)))</f>
        <v>512988.149205675</v>
      </c>
      <c r="AA195" s="39" t="n">
        <f aca="false">IF(23&gt;'Inputs &amp; Assumptions'!$E$143,0,IF(23='Inputs &amp; Assumptions'!$E$143,AA173-AA184,IF(('Inputs &amp; Assumptions'!$C$143+23)&gt;'Inputs &amp; Assumptions'!$C$11,'Inputs &amp; Assumptions'!$C$12*(AA173-AA184),0)))</f>
        <v>485033.623710284</v>
      </c>
      <c r="AB195" s="39" t="n">
        <f aca="false">IF(24&gt;'Inputs &amp; Assumptions'!$E$143,0,IF(24='Inputs &amp; Assumptions'!$E$143,AB173-AB184,IF(('Inputs &amp; Assumptions'!$C$143+24)&gt;'Inputs &amp; Assumptions'!$C$11,'Inputs &amp; Assumptions'!$C$12*(AB173-AB184),0)))</f>
        <v>458602.438465311</v>
      </c>
      <c r="AC195" s="39" t="n">
        <f aca="false">IF(25&gt;'Inputs &amp; Assumptions'!$E$143,0,IF(25='Inputs &amp; Assumptions'!$E$143,AC173-AC184,IF(('Inputs &amp; Assumptions'!$C$143+25)&gt;'Inputs &amp; Assumptions'!$C$11,'Inputs &amp; Assumptions'!$C$12*(AC173-AC184),0)))</f>
        <v>14453719.3770545</v>
      </c>
      <c r="AD195" s="39" t="n">
        <f aca="false">IF(26&gt;'Inputs &amp; Assumptions'!$E$143,0,IF(26='Inputs &amp; Assumptions'!$E$143,AD173-AD184,IF(('Inputs &amp; Assumptions'!$C$143+26)&gt;'Inputs &amp; Assumptions'!$C$11,'Inputs &amp; Assumptions'!$C$12*(AD173-AD184),0)))</f>
        <v>0</v>
      </c>
      <c r="AE195" s="39" t="n">
        <f aca="false">IF(27&gt;'Inputs &amp; Assumptions'!$E$143,0,IF(27='Inputs &amp; Assumptions'!$E$143,AE173-AE184,IF(('Inputs &amp; Assumptions'!$C$143+27)&gt;'Inputs &amp; Assumptions'!$C$11,'Inputs &amp; Assumptions'!$C$12*(AE173-AE184),0)))</f>
        <v>0</v>
      </c>
      <c r="AF195" s="39" t="n">
        <f aca="false">IF(28&gt;'Inputs &amp; Assumptions'!$E$143,0,IF(28='Inputs &amp; Assumptions'!$E$143,AF173-AF184,IF(('Inputs &amp; Assumptions'!$C$143+28)&gt;'Inputs &amp; Assumptions'!$C$11,'Inputs &amp; Assumptions'!$C$12*(AF173-AF184),0)))</f>
        <v>0</v>
      </c>
      <c r="AG195" s="39" t="n">
        <f aca="false">IF(29&gt;'Inputs &amp; Assumptions'!$E$143,0,IF(29='Inputs &amp; Assumptions'!$E$143,AG173-AG184,IF(('Inputs &amp; Assumptions'!$C$143+29)&gt;'Inputs &amp; Assumptions'!$C$11,'Inputs &amp; Assumptions'!$C$12*(AG173-AG184),0)))</f>
        <v>0</v>
      </c>
      <c r="AH195" s="39" t="n">
        <f aca="false">IF(30&gt;'Inputs &amp; Assumptions'!$E$143,0,IF(30='Inputs &amp; Assumptions'!$E$143,AH173-AH184,IF(('Inputs &amp; Assumptions'!$C$143+30)&gt;'Inputs &amp; Assumptions'!$C$11,'Inputs &amp; Assumptions'!$C$12*(AH173-AH184),0)))</f>
        <v>0</v>
      </c>
      <c r="AI195" s="39" t="n">
        <f aca="false">IF(31&gt;'Inputs &amp; Assumptions'!$E$143,0,IF(31='Inputs &amp; Assumptions'!$E$143,AI173-AI184,IF(('Inputs &amp; Assumptions'!$C$143+31)&gt;'Inputs &amp; Assumptions'!$C$11,'Inputs &amp; Assumptions'!$C$12*(AI173-AI184),0)))</f>
        <v>0</v>
      </c>
      <c r="AJ195" s="39" t="n">
        <f aca="false">IF(32&gt;'Inputs &amp; Assumptions'!$E$143,0,IF(32='Inputs &amp; Assumptions'!$E$143,AJ173-AJ184,IF(('Inputs &amp; Assumptions'!$C$143+32)&gt;'Inputs &amp; Assumptions'!$C$11,'Inputs &amp; Assumptions'!$C$12*(AJ173-AJ184),0)))</f>
        <v>0</v>
      </c>
      <c r="AK195" s="39" t="n">
        <f aca="false">IF(33&gt;'Inputs &amp; Assumptions'!$E$143,0,IF(33='Inputs &amp; Assumptions'!$E$143,AK173-AK184,IF(('Inputs &amp; Assumptions'!$C$143+33)&gt;'Inputs &amp; Assumptions'!$C$11,'Inputs &amp; Assumptions'!$C$12*(AK173-AK184),0)))</f>
        <v>0</v>
      </c>
      <c r="AL195" s="39" t="n">
        <f aca="false">IF(34&gt;'Inputs &amp; Assumptions'!$E$143,0,IF(34='Inputs &amp; Assumptions'!$E$143,AL173-AL184,IF(('Inputs &amp; Assumptions'!$C$143+34)&gt;'Inputs &amp; Assumptions'!$C$11,'Inputs &amp; Assumptions'!$C$12*(AL173-AL184),0)))</f>
        <v>0</v>
      </c>
      <c r="AM195" s="39" t="n">
        <f aca="false">IF(35&gt;'Inputs &amp; Assumptions'!$E$143,0,IF(35='Inputs &amp; Assumptions'!$E$143,AM173-AM184,IF(('Inputs &amp; Assumptions'!$C$143+35)&gt;'Inputs &amp; Assumptions'!$C$11,'Inputs &amp; Assumptions'!$C$12*(AM173-AM184),0)))</f>
        <v>0</v>
      </c>
      <c r="AN195" s="39" t="n">
        <f aca="false">IF(36&gt;'Inputs &amp; Assumptions'!$E$143,0,IF(36='Inputs &amp; Assumptions'!$E$143,AN173-AN184,IF(('Inputs &amp; Assumptions'!$C$143+36)&gt;'Inputs &amp; Assumptions'!$C$11,'Inputs &amp; Assumptions'!$C$12*(AN173-AN184),0)))</f>
        <v>0</v>
      </c>
    </row>
    <row r="196" customFormat="false" ht="15" hidden="false" customHeight="false" outlineLevel="0" collapsed="false">
      <c r="B196" s="37" t="n">
        <v>5</v>
      </c>
      <c r="C196" s="38" t="n">
        <f aca="false">'Inputs &amp; Assumptions'!$C$144</f>
        <v>4</v>
      </c>
      <c r="D196" s="38" t="n">
        <f aca="false">'Inputs &amp; Assumptions'!$D$144</f>
        <v>3</v>
      </c>
      <c r="E196" s="39" t="n">
        <f aca="false">IF(1&gt;'Inputs &amp; Assumptions'!$E$144,0,IF(1='Inputs &amp; Assumptions'!$E$144,E174-E185,IF(('Inputs &amp; Assumptions'!$C$144+1)&gt;'Inputs &amp; Assumptions'!$C$11,'Inputs &amp; Assumptions'!$C$12*(E174-E185),0)))</f>
        <v>1775925</v>
      </c>
      <c r="F196" s="39" t="n">
        <f aca="false">IF(2&gt;'Inputs &amp; Assumptions'!$E$144,0,IF(2='Inputs &amp; Assumptions'!$E$144,F174-F185,IF(('Inputs &amp; Assumptions'!$C$144+2)&gt;'Inputs &amp; Assumptions'!$C$11,'Inputs &amp; Assumptions'!$C$12*(F174-F185),0)))</f>
        <v>1664544.5679879</v>
      </c>
      <c r="G196" s="39" t="n">
        <f aca="false">IF(3&gt;'Inputs &amp; Assumptions'!$E$144,0,IF(3='Inputs &amp; Assumptions'!$E$144,G174-G185,IF(('Inputs &amp; Assumptions'!$C$144+3)&gt;'Inputs &amp; Assumptions'!$C$11,'Inputs &amp; Assumptions'!$C$12*(G174-G185),0)))</f>
        <v>1560149.56646144</v>
      </c>
      <c r="H196" s="39" t="n">
        <f aca="false">IF(4&gt;'Inputs &amp; Assumptions'!$E$144,0,IF(4='Inputs &amp; Assumptions'!$E$144,H174-H185,IF(('Inputs &amp; Assumptions'!$C$144+4)&gt;'Inputs &amp; Assumptions'!$C$11,'Inputs &amp; Assumptions'!$C$12*(H174-H185),0)))</f>
        <v>1462301.89118464</v>
      </c>
      <c r="I196" s="39" t="n">
        <f aca="false">IF(5&gt;'Inputs &amp; Assumptions'!$E$144,0,IF(5='Inputs &amp; Assumptions'!$E$144,I174-I185,IF(('Inputs &amp; Assumptions'!$C$144+5)&gt;'Inputs &amp; Assumptions'!$C$11,'Inputs &amp; Assumptions'!$C$12*(I174-I185),0)))</f>
        <v>1372674.67105808</v>
      </c>
      <c r="J196" s="39" t="n">
        <f aca="false">IF(6&gt;'Inputs &amp; Assumptions'!$E$144,0,IF(6='Inputs &amp; Assumptions'!$E$144,J174-J185,IF(('Inputs &amp; Assumptions'!$C$144+6)&gt;'Inputs &amp; Assumptions'!$C$11,'Inputs &amp; Assumptions'!$C$12*(J174-J185),0)))</f>
        <v>1288540.87102216</v>
      </c>
      <c r="K196" s="39" t="n">
        <f aca="false">IF(7&gt;'Inputs &amp; Assumptions'!$E$144,0,IF(7='Inputs &amp; Assumptions'!$E$144,K174-K185,IF(('Inputs &amp; Assumptions'!$C$144+7)&gt;'Inputs &amp; Assumptions'!$C$11,'Inputs &amp; Assumptions'!$C$12*(K174-K185),0)))</f>
        <v>1209563.78907665</v>
      </c>
      <c r="L196" s="39" t="n">
        <f aca="false">IF(8&gt;'Inputs &amp; Assumptions'!$E$144,0,IF(8='Inputs &amp; Assumptions'!$E$144,L174-L185,IF(('Inputs &amp; Assumptions'!$C$144+8)&gt;'Inputs &amp; Assumptions'!$C$11,'Inputs &amp; Assumptions'!$C$12*(L174-L185),0)))</f>
        <v>1135427.36031715</v>
      </c>
      <c r="M196" s="39" t="n">
        <f aca="false">IF(9&gt;'Inputs &amp; Assumptions'!$E$144,0,IF(9='Inputs &amp; Assumptions'!$E$144,M174-M185,IF(('Inputs &amp; Assumptions'!$C$144+9)&gt;'Inputs &amp; Assumptions'!$C$11,'Inputs &amp; Assumptions'!$C$12*(M174-M185),0)))</f>
        <v>1068396.67104308</v>
      </c>
      <c r="N196" s="39" t="n">
        <f aca="false">IF(10&gt;'Inputs &amp; Assumptions'!$E$144,0,IF(10='Inputs &amp; Assumptions'!$E$144,N174-N185,IF(('Inputs &amp; Assumptions'!$C$144+10)&gt;'Inputs &amp; Assumptions'!$C$11,'Inputs &amp; Assumptions'!$C$12*(N174-N185),0)))</f>
        <v>1005323.18190491</v>
      </c>
      <c r="O196" s="39" t="n">
        <f aca="false">IF(11&gt;'Inputs &amp; Assumptions'!$E$144,0,IF(11='Inputs &amp; Assumptions'!$E$144,O174-O185,IF(('Inputs &amp; Assumptions'!$C$144+11)&gt;'Inputs &amp; Assumptions'!$C$11,'Inputs &amp; Assumptions'!$C$12*(O174-O185),0)))</f>
        <v>945973.277030798</v>
      </c>
      <c r="P196" s="39" t="n">
        <f aca="false">IF(12&gt;'Inputs &amp; Assumptions'!$E$144,0,IF(12='Inputs &amp; Assumptions'!$E$144,P174-P185,IF(('Inputs &amp; Assumptions'!$C$144+12)&gt;'Inputs &amp; Assumptions'!$C$11,'Inputs &amp; Assumptions'!$C$12*(P174-P185),0)))</f>
        <v>890127.132213118</v>
      </c>
      <c r="Q196" s="39" t="n">
        <f aca="false">IF(13&gt;'Inputs &amp; Assumptions'!$E$144,0,IF(13='Inputs &amp; Assumptions'!$E$144,Q174-Q185,IF(('Inputs &amp; Assumptions'!$C$144+13)&gt;'Inputs &amp; Assumptions'!$C$11,'Inputs &amp; Assumptions'!$C$12*(Q174-Q185),0)))</f>
        <v>839348.399173688</v>
      </c>
      <c r="R196" s="39" t="n">
        <f aca="false">IF(14&gt;'Inputs &amp; Assumptions'!$E$144,0,IF(14='Inputs &amp; Assumptions'!$E$144,R174-R185,IF(('Inputs &amp; Assumptions'!$C$144+14)&gt;'Inputs &amp; Assumptions'!$C$11,'Inputs &amp; Assumptions'!$C$12*(R174-R185),0)))</f>
        <v>791466.420581771</v>
      </c>
      <c r="S196" s="39" t="n">
        <f aca="false">IF(15&gt;'Inputs &amp; Assumptions'!$E$144,0,IF(15='Inputs &amp; Assumptions'!$E$144,S174-S185,IF(('Inputs &amp; Assumptions'!$C$144+15)&gt;'Inputs &amp; Assumptions'!$C$11,'Inputs &amp; Assumptions'!$C$12*(S174-S185),0)))</f>
        <v>746315.946423691</v>
      </c>
      <c r="T196" s="39" t="n">
        <f aca="false">IF(16&gt;'Inputs &amp; Assumptions'!$E$144,0,IF(16='Inputs &amp; Assumptions'!$E$144,T174-T185,IF(('Inputs &amp; Assumptions'!$C$144+16)&gt;'Inputs &amp; Assumptions'!$C$11,'Inputs &amp; Assumptions'!$C$12*(T174-T185),0)))</f>
        <v>703741.153638424</v>
      </c>
      <c r="U196" s="39" t="n">
        <f aca="false">IF(17&gt;'Inputs &amp; Assumptions'!$E$144,0,IF(17='Inputs &amp; Assumptions'!$E$144,U174-U185,IF(('Inputs &amp; Assumptions'!$C$144+17)&gt;'Inputs &amp; Assumptions'!$C$11,'Inputs &amp; Assumptions'!$C$12*(U174-U185),0)))</f>
        <v>664535.251901273</v>
      </c>
      <c r="V196" s="39" t="n">
        <f aca="false">IF(18&gt;'Inputs &amp; Assumptions'!$E$144,0,IF(18='Inputs &amp; Assumptions'!$E$144,V174-V185,IF(('Inputs &amp; Assumptions'!$C$144+18)&gt;'Inputs &amp; Assumptions'!$C$11,'Inputs &amp; Assumptions'!$C$12*(V174-V185),0)))</f>
        <v>627513.537806234</v>
      </c>
      <c r="W196" s="39" t="n">
        <f aca="false">IF(19&gt;'Inputs &amp; Assumptions'!$E$144,0,IF(19='Inputs &amp; Assumptions'!$E$144,W174-W185,IF(('Inputs &amp; Assumptions'!$C$144+19)&gt;'Inputs &amp; Assumptions'!$C$11,'Inputs &amp; Assumptions'!$C$12*(W174-W185),0)))</f>
        <v>592554.328763582</v>
      </c>
      <c r="X196" s="39" t="n">
        <f aca="false">IF(20&gt;'Inputs &amp; Assumptions'!$E$144,0,IF(20='Inputs &amp; Assumptions'!$E$144,X174-X185,IF(('Inputs &amp; Assumptions'!$C$144+20)&gt;'Inputs &amp; Assumptions'!$C$11,'Inputs &amp; Assumptions'!$C$12*(X174-X185),0)))</f>
        <v>559542.721204015</v>
      </c>
      <c r="Y196" s="39" t="n">
        <f aca="false">IF(21&gt;'Inputs &amp; Assumptions'!$E$144,0,IF(21='Inputs &amp; Assumptions'!$E$144,Y174-Y185,IF(('Inputs &amp; Assumptions'!$C$144+21)&gt;'Inputs &amp; Assumptions'!$C$11,'Inputs &amp; Assumptions'!$C$12*(Y174-Y185),0)))</f>
        <v>529051.273614283</v>
      </c>
      <c r="Z196" s="39" t="n">
        <f aca="false">IF(22&gt;'Inputs &amp; Assumptions'!$E$144,0,IF(22='Inputs &amp; Assumptions'!$E$144,Z174-Z185,IF(('Inputs &amp; Assumptions'!$C$144+22)&gt;'Inputs &amp; Assumptions'!$C$11,'Inputs &amp; Assumptions'!$C$12*(Z174-Z185),0)))</f>
        <v>500221.412067735</v>
      </c>
      <c r="AA196" s="39" t="n">
        <f aca="false">IF(23&gt;'Inputs &amp; Assumptions'!$E$144,0,IF(23='Inputs &amp; Assumptions'!$E$144,AA174-AA185,IF(('Inputs &amp; Assumptions'!$C$144+23)&gt;'Inputs &amp; Assumptions'!$C$11,'Inputs &amp; Assumptions'!$C$12*(AA174-AA185),0)))</f>
        <v>472962.590906583</v>
      </c>
      <c r="AB196" s="39" t="n">
        <f aca="false">IF(24&gt;'Inputs &amp; Assumptions'!$E$144,0,IF(24='Inputs &amp; Assumptions'!$E$144,AB174-AB185,IF(('Inputs &amp; Assumptions'!$C$144+24)&gt;'Inputs &amp; Assumptions'!$C$11,'Inputs &amp; Assumptions'!$C$12*(AB174-AB185),0)))</f>
        <v>14906306.6207954</v>
      </c>
      <c r="AC196" s="39" t="n">
        <f aca="false">IF(25&gt;'Inputs &amp; Assumptions'!$E$144,0,IF(25='Inputs &amp; Assumptions'!$E$144,AC174-AC185,IF(('Inputs &amp; Assumptions'!$C$144+25)&gt;'Inputs &amp; Assumptions'!$C$11,'Inputs &amp; Assumptions'!$C$12*(AC174-AC185),0)))</f>
        <v>0</v>
      </c>
      <c r="AD196" s="39" t="n">
        <f aca="false">IF(26&gt;'Inputs &amp; Assumptions'!$E$144,0,IF(26='Inputs &amp; Assumptions'!$E$144,AD174-AD185,IF(('Inputs &amp; Assumptions'!$C$144+26)&gt;'Inputs &amp; Assumptions'!$C$11,'Inputs &amp; Assumptions'!$C$12*(AD174-AD185),0)))</f>
        <v>0</v>
      </c>
      <c r="AE196" s="39" t="n">
        <f aca="false">IF(27&gt;'Inputs &amp; Assumptions'!$E$144,0,IF(27='Inputs &amp; Assumptions'!$E$144,AE174-AE185,IF(('Inputs &amp; Assumptions'!$C$144+27)&gt;'Inputs &amp; Assumptions'!$C$11,'Inputs &amp; Assumptions'!$C$12*(AE174-AE185),0)))</f>
        <v>0</v>
      </c>
      <c r="AF196" s="39" t="n">
        <f aca="false">IF(28&gt;'Inputs &amp; Assumptions'!$E$144,0,IF(28='Inputs &amp; Assumptions'!$E$144,AF174-AF185,IF(('Inputs &amp; Assumptions'!$C$144+28)&gt;'Inputs &amp; Assumptions'!$C$11,'Inputs &amp; Assumptions'!$C$12*(AF174-AF185),0)))</f>
        <v>0</v>
      </c>
      <c r="AG196" s="39" t="n">
        <f aca="false">IF(29&gt;'Inputs &amp; Assumptions'!$E$144,0,IF(29='Inputs &amp; Assumptions'!$E$144,AG174-AG185,IF(('Inputs &amp; Assumptions'!$C$144+29)&gt;'Inputs &amp; Assumptions'!$C$11,'Inputs &amp; Assumptions'!$C$12*(AG174-AG185),0)))</f>
        <v>0</v>
      </c>
      <c r="AH196" s="39" t="n">
        <f aca="false">IF(30&gt;'Inputs &amp; Assumptions'!$E$144,0,IF(30='Inputs &amp; Assumptions'!$E$144,AH174-AH185,IF(('Inputs &amp; Assumptions'!$C$144+30)&gt;'Inputs &amp; Assumptions'!$C$11,'Inputs &amp; Assumptions'!$C$12*(AH174-AH185),0)))</f>
        <v>0</v>
      </c>
      <c r="AI196" s="39" t="n">
        <f aca="false">IF(31&gt;'Inputs &amp; Assumptions'!$E$144,0,IF(31='Inputs &amp; Assumptions'!$E$144,AI174-AI185,IF(('Inputs &amp; Assumptions'!$C$144+31)&gt;'Inputs &amp; Assumptions'!$C$11,'Inputs &amp; Assumptions'!$C$12*(AI174-AI185),0)))</f>
        <v>0</v>
      </c>
      <c r="AJ196" s="39" t="n">
        <f aca="false">IF(32&gt;'Inputs &amp; Assumptions'!$E$144,0,IF(32='Inputs &amp; Assumptions'!$E$144,AJ174-AJ185,IF(('Inputs &amp; Assumptions'!$C$144+32)&gt;'Inputs &amp; Assumptions'!$C$11,'Inputs &amp; Assumptions'!$C$12*(AJ174-AJ185),0)))</f>
        <v>0</v>
      </c>
      <c r="AK196" s="39" t="n">
        <f aca="false">IF(33&gt;'Inputs &amp; Assumptions'!$E$144,0,IF(33='Inputs &amp; Assumptions'!$E$144,AK174-AK185,IF(('Inputs &amp; Assumptions'!$C$144+33)&gt;'Inputs &amp; Assumptions'!$C$11,'Inputs &amp; Assumptions'!$C$12*(AK174-AK185),0)))</f>
        <v>0</v>
      </c>
      <c r="AL196" s="39" t="n">
        <f aca="false">IF(34&gt;'Inputs &amp; Assumptions'!$E$144,0,IF(34='Inputs &amp; Assumptions'!$E$144,AL174-AL185,IF(('Inputs &amp; Assumptions'!$C$144+34)&gt;'Inputs &amp; Assumptions'!$C$11,'Inputs &amp; Assumptions'!$C$12*(AL174-AL185),0)))</f>
        <v>0</v>
      </c>
      <c r="AM196" s="39" t="n">
        <f aca="false">IF(35&gt;'Inputs &amp; Assumptions'!$E$144,0,IF(35='Inputs &amp; Assumptions'!$E$144,AM174-AM185,IF(('Inputs &amp; Assumptions'!$C$144+35)&gt;'Inputs &amp; Assumptions'!$C$11,'Inputs &amp; Assumptions'!$C$12*(AM174-AM185),0)))</f>
        <v>0</v>
      </c>
      <c r="AN196" s="39" t="n">
        <f aca="false">IF(36&gt;'Inputs &amp; Assumptions'!$E$144,0,IF(36='Inputs &amp; Assumptions'!$E$144,AN174-AN185,IF(('Inputs &amp; Assumptions'!$C$144+36)&gt;'Inputs &amp; Assumptions'!$C$11,'Inputs &amp; Assumptions'!$C$12*(AN174-AN185),0)))</f>
        <v>0</v>
      </c>
    </row>
    <row r="197" customFormat="false" ht="15" hidden="false" customHeight="false" outlineLevel="0" collapsed="false">
      <c r="B197" s="37" t="n">
        <v>6</v>
      </c>
      <c r="C197" s="38" t="n">
        <f aca="false">'Inputs &amp; Assumptions'!$C$145</f>
        <v>5</v>
      </c>
      <c r="D197" s="38" t="n">
        <f aca="false">'Inputs &amp; Assumptions'!$D$145</f>
        <v>3</v>
      </c>
      <c r="E197" s="39" t="n">
        <f aca="false">IF(1&gt;'Inputs &amp; Assumptions'!$E$145,0,IF(1='Inputs &amp; Assumptions'!$E$145,E175-E186,IF(('Inputs &amp; Assumptions'!$C$145+1)&gt;'Inputs &amp; Assumptions'!$C$11,'Inputs &amp; Assumptions'!$C$12*(E175-E186),0)))</f>
        <v>1722647.25</v>
      </c>
      <c r="F197" s="39" t="n">
        <f aca="false">IF(2&gt;'Inputs &amp; Assumptions'!$E$145,0,IF(2='Inputs &amp; Assumptions'!$E$145,F175-F186,IF(('Inputs &amp; Assumptions'!$C$145+2)&gt;'Inputs &amp; Assumptions'!$C$11,'Inputs &amp; Assumptions'!$C$12*(F175-F186),0)))</f>
        <v>1614608.23094827</v>
      </c>
      <c r="G197" s="39" t="n">
        <f aca="false">IF(3&gt;'Inputs &amp; Assumptions'!$E$145,0,IF(3='Inputs &amp; Assumptions'!$E$145,G175-G186,IF(('Inputs &amp; Assumptions'!$C$145+3)&gt;'Inputs &amp; Assumptions'!$C$11,'Inputs &amp; Assumptions'!$C$12*(G175-G186),0)))</f>
        <v>1513345.0794676</v>
      </c>
      <c r="H197" s="39" t="n">
        <f aca="false">IF(4&gt;'Inputs &amp; Assumptions'!$E$145,0,IF(4='Inputs &amp; Assumptions'!$E$145,H175-H186,IF(('Inputs &amp; Assumptions'!$C$145+4)&gt;'Inputs &amp; Assumptions'!$C$11,'Inputs &amp; Assumptions'!$C$12*(H175-H186),0)))</f>
        <v>1420589.32678578</v>
      </c>
      <c r="I197" s="39" t="n">
        <f aca="false">IF(5&gt;'Inputs &amp; Assumptions'!$E$145,0,IF(5='Inputs &amp; Assumptions'!$E$145,I175-I186,IF(('Inputs &amp; Assumptions'!$C$145+5)&gt;'Inputs &amp; Assumptions'!$C$11,'Inputs &amp; Assumptions'!$C$12*(I175-I186),0)))</f>
        <v>1333518.74781106</v>
      </c>
      <c r="J197" s="39" t="n">
        <f aca="false">IF(6&gt;'Inputs &amp; Assumptions'!$E$145,0,IF(6='Inputs &amp; Assumptions'!$E$145,J175-J186,IF(('Inputs &amp; Assumptions'!$C$145+6)&gt;'Inputs &amp; Assumptions'!$C$11,'Inputs &amp; Assumptions'!$C$12*(J175-J186),0)))</f>
        <v>1251784.88760513</v>
      </c>
      <c r="K197" s="39" t="n">
        <f aca="false">IF(7&gt;'Inputs &amp; Assumptions'!$E$145,0,IF(7='Inputs &amp; Assumptions'!$E$145,K175-K186,IF(('Inputs &amp; Assumptions'!$C$145+7)&gt;'Inputs &amp; Assumptions'!$C$11,'Inputs &amp; Assumptions'!$C$12*(K175-K186),0)))</f>
        <v>1175060.64868509</v>
      </c>
      <c r="L197" s="39" t="n">
        <f aca="false">IF(8&gt;'Inputs &amp; Assumptions'!$E$145,0,IF(8='Inputs &amp; Assumptions'!$E$145,L175-L186,IF(('Inputs &amp; Assumptions'!$C$145+8)&gt;'Inputs &amp; Assumptions'!$C$11,'Inputs &amp; Assumptions'!$C$12*(L175-L186),0)))</f>
        <v>1105690.18257425</v>
      </c>
      <c r="M197" s="39" t="n">
        <f aca="false">IF(9&gt;'Inputs &amp; Assumptions'!$E$145,0,IF(9='Inputs &amp; Assumptions'!$E$145,M175-M186,IF(('Inputs &amp; Assumptions'!$C$145+9)&gt;'Inputs &amp; Assumptions'!$C$11,'Inputs &amp; Assumptions'!$C$12*(M175-M186),0)))</f>
        <v>1040415.04683961</v>
      </c>
      <c r="N197" s="39" t="n">
        <f aca="false">IF(10&gt;'Inputs &amp; Assumptions'!$E$145,0,IF(10='Inputs &amp; Assumptions'!$E$145,N175-N186,IF(('Inputs &amp; Assumptions'!$C$145+10)&gt;'Inputs &amp; Assumptions'!$C$11,'Inputs &amp; Assumptions'!$C$12*(N175-N186),0)))</f>
        <v>978993.471001152</v>
      </c>
      <c r="O197" s="39" t="n">
        <f aca="false">IF(11&gt;'Inputs &amp; Assumptions'!$E$145,0,IF(11='Inputs &amp; Assumptions'!$E$145,O175-O186,IF(('Inputs &amp; Assumptions'!$C$145+11)&gt;'Inputs &amp; Assumptions'!$C$11,'Inputs &amp; Assumptions'!$C$12*(O175-O186),0)))</f>
        <v>921197.95765568</v>
      </c>
      <c r="P197" s="39" t="n">
        <f aca="false">IF(12&gt;'Inputs &amp; Assumptions'!$E$145,0,IF(12='Inputs &amp; Assumptions'!$E$145,P175-P186,IF(('Inputs &amp; Assumptions'!$C$145+12)&gt;'Inputs &amp; Assumptions'!$C$11,'Inputs &amp; Assumptions'!$C$12*(P175-P186),0)))</f>
        <v>868646.739435914</v>
      </c>
      <c r="Q197" s="39" t="n">
        <f aca="false">IF(13&gt;'Inputs &amp; Assumptions'!$E$145,0,IF(13='Inputs &amp; Assumptions'!$E$145,Q175-Q186,IF(('Inputs &amp; Assumptions'!$C$145+13)&gt;'Inputs &amp; Assumptions'!$C$11,'Inputs &amp; Assumptions'!$C$12*(Q175-Q186),0)))</f>
        <v>819093.38992985</v>
      </c>
      <c r="R197" s="39" t="n">
        <f aca="false">IF(14&gt;'Inputs &amp; Assumptions'!$E$145,0,IF(14='Inputs &amp; Assumptions'!$E$145,R175-R186,IF(('Inputs &amp; Assumptions'!$C$145+14)&gt;'Inputs &amp; Assumptions'!$C$11,'Inputs &amp; Assumptions'!$C$12*(R175-R186),0)))</f>
        <v>772366.890897967</v>
      </c>
      <c r="S197" s="39" t="n">
        <f aca="false">IF(15&gt;'Inputs &amp; Assumptions'!$E$145,0,IF(15='Inputs &amp; Assumptions'!$E$145,S175-S186,IF(('Inputs &amp; Assumptions'!$C$145+15)&gt;'Inputs &amp; Assumptions'!$C$11,'Inputs &amp; Assumptions'!$C$12*(S175-S186),0)))</f>
        <v>728305.980111112</v>
      </c>
      <c r="T197" s="39" t="n">
        <f aca="false">IF(16&gt;'Inputs &amp; Assumptions'!$E$145,0,IF(16='Inputs &amp; Assumptions'!$E$145,T175-T186,IF(('Inputs &amp; Assumptions'!$C$145+16)&gt;'Inputs &amp; Assumptions'!$C$11,'Inputs &amp; Assumptions'!$C$12*(T175-T186),0)))</f>
        <v>687731.555064077</v>
      </c>
      <c r="U197" s="39" t="n">
        <f aca="false">IF(17&gt;'Inputs &amp; Assumptions'!$E$145,0,IF(17='Inputs &amp; Assumptions'!$E$145,U175-U186,IF(('Inputs &amp; Assumptions'!$C$145+17)&gt;'Inputs &amp; Assumptions'!$C$11,'Inputs &amp; Assumptions'!$C$12*(U175-U186),0)))</f>
        <v>649417.559030198</v>
      </c>
      <c r="V197" s="39" t="n">
        <f aca="false">IF(18&gt;'Inputs &amp; Assumptions'!$E$145,0,IF(18='Inputs &amp; Assumptions'!$E$145,V175-V186,IF(('Inputs &amp; Assumptions'!$C$145+18)&gt;'Inputs &amp; Assumptions'!$C$11,'Inputs &amp; Assumptions'!$C$12*(V175-V186),0)))</f>
        <v>613238.06196074</v>
      </c>
      <c r="W197" s="39" t="n">
        <f aca="false">IF(19&gt;'Inputs &amp; Assumptions'!$E$145,0,IF(19='Inputs &amp; Assumptions'!$E$145,W175-W186,IF(('Inputs &amp; Assumptions'!$C$145+19)&gt;'Inputs &amp; Assumptions'!$C$11,'Inputs &amp; Assumptions'!$C$12*(W175-W186),0)))</f>
        <v>579074.149456247</v>
      </c>
      <c r="X197" s="39" t="n">
        <f aca="false">IF(20&gt;'Inputs &amp; Assumptions'!$E$145,0,IF(20='Inputs &amp; Assumptions'!$E$145,X175-X186,IF(('Inputs &amp; Assumptions'!$C$145+20)&gt;'Inputs &amp; Assumptions'!$C$11,'Inputs &amp; Assumptions'!$C$12*(X175-X186),0)))</f>
        <v>547518.365760733</v>
      </c>
      <c r="Y197" s="39" t="n">
        <f aca="false">IF(21&gt;'Inputs &amp; Assumptions'!$E$145,0,IF(21='Inputs &amp; Assumptions'!$E$145,Y175-Y186,IF(('Inputs &amp; Assumptions'!$C$145+21)&gt;'Inputs &amp; Assumptions'!$C$11,'Inputs &amp; Assumptions'!$C$12*(Y175-Y186),0)))</f>
        <v>517682.167519988</v>
      </c>
      <c r="Z197" s="39" t="n">
        <f aca="false">IF(22&gt;'Inputs &amp; Assumptions'!$E$145,0,IF(22='Inputs &amp; Assumptions'!$E$145,Z175-Z186,IF(('Inputs &amp; Assumptions'!$C$145+22)&gt;'Inputs &amp; Assumptions'!$C$11,'Inputs &amp; Assumptions'!$C$12*(Z175-Z186),0)))</f>
        <v>489471.848484636</v>
      </c>
      <c r="AA197" s="39" t="n">
        <f aca="false">IF(23&gt;'Inputs &amp; Assumptions'!$E$145,0,IF(23='Inputs &amp; Assumptions'!$E$145,AA175-AA186,IF(('Inputs &amp; Assumptions'!$C$145+23)&gt;'Inputs &amp; Assumptions'!$C$11,'Inputs &amp; Assumptions'!$C$12*(AA175-AA186),0)))</f>
        <v>15426626.9595953</v>
      </c>
      <c r="AB197" s="39" t="n">
        <f aca="false">IF(24&gt;'Inputs &amp; Assumptions'!$E$145,0,IF(24='Inputs &amp; Assumptions'!$E$145,AB175-AB186,IF(('Inputs &amp; Assumptions'!$C$145+24)&gt;'Inputs &amp; Assumptions'!$C$11,'Inputs &amp; Assumptions'!$C$12*(AB175-AB186),0)))</f>
        <v>0</v>
      </c>
      <c r="AC197" s="39" t="n">
        <f aca="false">IF(25&gt;'Inputs &amp; Assumptions'!$E$145,0,IF(25='Inputs &amp; Assumptions'!$E$145,AC175-AC186,IF(('Inputs &amp; Assumptions'!$C$145+25)&gt;'Inputs &amp; Assumptions'!$C$11,'Inputs &amp; Assumptions'!$C$12*(AC175-AC186),0)))</f>
        <v>0</v>
      </c>
      <c r="AD197" s="39" t="n">
        <f aca="false">IF(26&gt;'Inputs &amp; Assumptions'!$E$145,0,IF(26='Inputs &amp; Assumptions'!$E$145,AD175-AD186,IF(('Inputs &amp; Assumptions'!$C$145+26)&gt;'Inputs &amp; Assumptions'!$C$11,'Inputs &amp; Assumptions'!$C$12*(AD175-AD186),0)))</f>
        <v>0</v>
      </c>
      <c r="AE197" s="39" t="n">
        <f aca="false">IF(27&gt;'Inputs &amp; Assumptions'!$E$145,0,IF(27='Inputs &amp; Assumptions'!$E$145,AE175-AE186,IF(('Inputs &amp; Assumptions'!$C$145+27)&gt;'Inputs &amp; Assumptions'!$C$11,'Inputs &amp; Assumptions'!$C$12*(AE175-AE186),0)))</f>
        <v>0</v>
      </c>
      <c r="AF197" s="39" t="n">
        <f aca="false">IF(28&gt;'Inputs &amp; Assumptions'!$E$145,0,IF(28='Inputs &amp; Assumptions'!$E$145,AF175-AF186,IF(('Inputs &amp; Assumptions'!$C$145+28)&gt;'Inputs &amp; Assumptions'!$C$11,'Inputs &amp; Assumptions'!$C$12*(AF175-AF186),0)))</f>
        <v>0</v>
      </c>
      <c r="AG197" s="39" t="n">
        <f aca="false">IF(29&gt;'Inputs &amp; Assumptions'!$E$145,0,IF(29='Inputs &amp; Assumptions'!$E$145,AG175-AG186,IF(('Inputs &amp; Assumptions'!$C$145+29)&gt;'Inputs &amp; Assumptions'!$C$11,'Inputs &amp; Assumptions'!$C$12*(AG175-AG186),0)))</f>
        <v>0</v>
      </c>
      <c r="AH197" s="39" t="n">
        <f aca="false">IF(30&gt;'Inputs &amp; Assumptions'!$E$145,0,IF(30='Inputs &amp; Assumptions'!$E$145,AH175-AH186,IF(('Inputs &amp; Assumptions'!$C$145+30)&gt;'Inputs &amp; Assumptions'!$C$11,'Inputs &amp; Assumptions'!$C$12*(AH175-AH186),0)))</f>
        <v>0</v>
      </c>
      <c r="AI197" s="39" t="n">
        <f aca="false">IF(31&gt;'Inputs &amp; Assumptions'!$E$145,0,IF(31='Inputs &amp; Assumptions'!$E$145,AI175-AI186,IF(('Inputs &amp; Assumptions'!$C$145+31)&gt;'Inputs &amp; Assumptions'!$C$11,'Inputs &amp; Assumptions'!$C$12*(AI175-AI186),0)))</f>
        <v>0</v>
      </c>
      <c r="AJ197" s="39" t="n">
        <f aca="false">IF(32&gt;'Inputs &amp; Assumptions'!$E$145,0,IF(32='Inputs &amp; Assumptions'!$E$145,AJ175-AJ186,IF(('Inputs &amp; Assumptions'!$C$145+32)&gt;'Inputs &amp; Assumptions'!$C$11,'Inputs &amp; Assumptions'!$C$12*(AJ175-AJ186),0)))</f>
        <v>0</v>
      </c>
      <c r="AK197" s="39" t="n">
        <f aca="false">IF(33&gt;'Inputs &amp; Assumptions'!$E$145,0,IF(33='Inputs &amp; Assumptions'!$E$145,AK175-AK186,IF(('Inputs &amp; Assumptions'!$C$145+33)&gt;'Inputs &amp; Assumptions'!$C$11,'Inputs &amp; Assumptions'!$C$12*(AK175-AK186),0)))</f>
        <v>0</v>
      </c>
      <c r="AL197" s="39" t="n">
        <f aca="false">IF(34&gt;'Inputs &amp; Assumptions'!$E$145,0,IF(34='Inputs &amp; Assumptions'!$E$145,AL175-AL186,IF(('Inputs &amp; Assumptions'!$C$145+34)&gt;'Inputs &amp; Assumptions'!$C$11,'Inputs &amp; Assumptions'!$C$12*(AL175-AL186),0)))</f>
        <v>0</v>
      </c>
      <c r="AM197" s="39" t="n">
        <f aca="false">IF(35&gt;'Inputs &amp; Assumptions'!$E$145,0,IF(35='Inputs &amp; Assumptions'!$E$145,AM175-AM186,IF(('Inputs &amp; Assumptions'!$C$145+35)&gt;'Inputs &amp; Assumptions'!$C$11,'Inputs &amp; Assumptions'!$C$12*(AM175-AM186),0)))</f>
        <v>0</v>
      </c>
      <c r="AN197" s="39" t="n">
        <f aca="false">IF(36&gt;'Inputs &amp; Assumptions'!$E$145,0,IF(36='Inputs &amp; Assumptions'!$E$145,AN175-AN186,IF(('Inputs &amp; Assumptions'!$C$145+36)&gt;'Inputs &amp; Assumptions'!$C$11,'Inputs &amp; Assumptions'!$C$12*(AN175-AN186),0)))</f>
        <v>0</v>
      </c>
    </row>
    <row r="198" customFormat="false" ht="15" hidden="false" customHeight="false" outlineLevel="0" collapsed="false">
      <c r="B198" s="37" t="n">
        <v>7</v>
      </c>
      <c r="C198" s="38" t="n">
        <f aca="false">'Inputs &amp; Assumptions'!$C$146</f>
        <v>6</v>
      </c>
      <c r="D198" s="38" t="n">
        <f aca="false">'Inputs &amp; Assumptions'!$D$146</f>
        <v>3</v>
      </c>
      <c r="E198" s="39" t="n">
        <f aca="false">IF(1&gt;'Inputs &amp; Assumptions'!$E$146,0,IF(1='Inputs &amp; Assumptions'!$E$146,E176-E187,IF(('Inputs &amp; Assumptions'!$C$146+1)&gt;'Inputs &amp; Assumptions'!$C$11,'Inputs &amp; Assumptions'!$C$12*(E176-E187),0)))</f>
        <v>1670967.8325</v>
      </c>
      <c r="F198" s="39" t="n">
        <f aca="false">IF(2&gt;'Inputs &amp; Assumptions'!$E$146,0,IF(2='Inputs &amp; Assumptions'!$E$146,F176-F187,IF(('Inputs &amp; Assumptions'!$C$146+2)&gt;'Inputs &amp; Assumptions'!$C$11,'Inputs &amp; Assumptions'!$C$12*(F176-F187),0)))</f>
        <v>1566169.98401982</v>
      </c>
      <c r="G198" s="39" t="n">
        <f aca="false">IF(3&gt;'Inputs &amp; Assumptions'!$E$146,0,IF(3='Inputs &amp; Assumptions'!$E$146,G176-G187,IF(('Inputs &amp; Assumptions'!$C$146+3)&gt;'Inputs &amp; Assumptions'!$C$11,'Inputs &amp; Assumptions'!$C$12*(G176-G187),0)))</f>
        <v>1470176.49405747</v>
      </c>
      <c r="H198" s="39" t="n">
        <f aca="false">IF(4&gt;'Inputs &amp; Assumptions'!$E$146,0,IF(4='Inputs &amp; Assumptions'!$E$146,H176-H187,IF(('Inputs &amp; Assumptions'!$C$146+4)&gt;'Inputs &amp; Assumptions'!$C$11,'Inputs &amp; Assumptions'!$C$12*(H176-H187),0)))</f>
        <v>1380066.62478073</v>
      </c>
      <c r="I198" s="39" t="n">
        <f aca="false">IF(5&gt;'Inputs &amp; Assumptions'!$E$146,0,IF(5='Inputs &amp; Assumptions'!$E$146,I176-I187,IF(('Inputs &amp; Assumptions'!$C$146+5)&gt;'Inputs &amp; Assumptions'!$C$11,'Inputs &amp; Assumptions'!$C$12*(I176-I187),0)))</f>
        <v>1295479.75806449</v>
      </c>
      <c r="J198" s="39" t="n">
        <f aca="false">IF(6&gt;'Inputs &amp; Assumptions'!$E$146,0,IF(6='Inputs &amp; Assumptions'!$E$146,J176-J187,IF(('Inputs &amp; Assumptions'!$C$146+6)&gt;'Inputs &amp; Assumptions'!$C$11,'Inputs &amp; Assumptions'!$C$12*(J176-J187),0)))</f>
        <v>1216077.37874357</v>
      </c>
      <c r="K198" s="39" t="n">
        <f aca="false">IF(7&gt;'Inputs &amp; Assumptions'!$E$146,0,IF(7='Inputs &amp; Assumptions'!$E$146,K176-K187,IF(('Inputs &amp; Assumptions'!$C$146+7)&gt;'Inputs &amp; Assumptions'!$C$11,'Inputs &amp; Assumptions'!$C$12*(K176-K187),0)))</f>
        <v>1144285.46342015</v>
      </c>
      <c r="L198" s="39" t="n">
        <f aca="false">IF(8&gt;'Inputs &amp; Assumptions'!$E$146,0,IF(8='Inputs &amp; Assumptions'!$E$146,L176-L187,IF(('Inputs &amp; Assumptions'!$C$146+8)&gt;'Inputs &amp; Assumptions'!$C$11,'Inputs &amp; Assumptions'!$C$12*(L176-L187),0)))</f>
        <v>1076731.83029479</v>
      </c>
      <c r="M198" s="39" t="n">
        <f aca="false">IF(9&gt;'Inputs &amp; Assumptions'!$E$146,0,IF(9='Inputs &amp; Assumptions'!$E$146,M176-M187,IF(('Inputs &amp; Assumptions'!$C$146+9)&gt;'Inputs &amp; Assumptions'!$C$11,'Inputs &amp; Assumptions'!$C$12*(M176-M187),0)))</f>
        <v>1013166.26963415</v>
      </c>
      <c r="N198" s="39" t="n">
        <f aca="false">IF(10&gt;'Inputs &amp; Assumptions'!$E$146,0,IF(10='Inputs &amp; Assumptions'!$E$146,N176-N187,IF(('Inputs &amp; Assumptions'!$C$146+10)&gt;'Inputs &amp; Assumptions'!$C$11,'Inputs &amp; Assumptions'!$C$12*(N176-N187),0)))</f>
        <v>953353.342998446</v>
      </c>
      <c r="O198" s="39" t="n">
        <f aca="false">IF(11&gt;'Inputs &amp; Assumptions'!$E$146,0,IF(11='Inputs &amp; Assumptions'!$E$146,O176-O187,IF(('Inputs &amp; Assumptions'!$C$146+11)&gt;'Inputs &amp; Assumptions'!$C$11,'Inputs &amp; Assumptions'!$C$12*(O176-O187),0)))</f>
        <v>898967.769135527</v>
      </c>
      <c r="P198" s="39" t="n">
        <f aca="false">IF(12&gt;'Inputs &amp; Assumptions'!$E$146,0,IF(12='Inputs &amp; Assumptions'!$E$146,P176-P187,IF(('Inputs &amp; Assumptions'!$C$146+12)&gt;'Inputs &amp; Assumptions'!$C$11,'Inputs &amp; Assumptions'!$C$12*(P176-P187),0)))</f>
        <v>847684.707752498</v>
      </c>
      <c r="Q198" s="39" t="n">
        <f aca="false">IF(13&gt;'Inputs &amp; Assumptions'!$E$146,0,IF(13='Inputs &amp; Assumptions'!$E$146,Q176-Q187,IF(('Inputs &amp; Assumptions'!$C$146+13)&gt;'Inputs &amp; Assumptions'!$C$11,'Inputs &amp; Assumptions'!$C$12*(Q176-Q187),0)))</f>
        <v>799327.171037996</v>
      </c>
      <c r="R198" s="39" t="n">
        <f aca="false">IF(14&gt;'Inputs &amp; Assumptions'!$E$146,0,IF(14='Inputs &amp; Assumptions'!$E$146,R176-R187,IF(('Inputs &amp; Assumptions'!$C$146+14)&gt;'Inputs &amp; Assumptions'!$C$11,'Inputs &amp; Assumptions'!$C$12*(R176-R187),0)))</f>
        <v>753728.267734841</v>
      </c>
      <c r="S198" s="39" t="n">
        <f aca="false">IF(15&gt;'Inputs &amp; Assumptions'!$E$146,0,IF(15='Inputs &amp; Assumptions'!$E$146,S176-S187,IF(('Inputs &amp; Assumptions'!$C$146+15)&gt;'Inputs &amp; Assumptions'!$C$11,'Inputs &amp; Assumptions'!$C$12*(S176-S187),0)))</f>
        <v>711737.549629831</v>
      </c>
      <c r="T198" s="39" t="n">
        <f aca="false">IF(16&gt;'Inputs &amp; Assumptions'!$E$146,0,IF(16='Inputs &amp; Assumptions'!$E$146,T176-T187,IF(('Inputs &amp; Assumptions'!$C$146+16)&gt;'Inputs &amp; Assumptions'!$C$11,'Inputs &amp; Assumptions'!$C$12*(T176-T187),0)))</f>
        <v>672086.163194408</v>
      </c>
      <c r="U198" s="39" t="n">
        <f aca="false">IF(17&gt;'Inputs &amp; Assumptions'!$E$146,0,IF(17='Inputs &amp; Assumptions'!$E$146,U176-U187,IF(('Inputs &amp; Assumptions'!$C$146+17)&gt;'Inputs &amp; Assumptions'!$C$11,'Inputs &amp; Assumptions'!$C$12*(U176-U187),0)))</f>
        <v>634643.782658798</v>
      </c>
      <c r="V198" s="39" t="n">
        <f aca="false">IF(18&gt;'Inputs &amp; Assumptions'!$E$146,0,IF(18='Inputs &amp; Assumptions'!$E$146,V176-V187,IF(('Inputs &amp; Assumptions'!$C$146+18)&gt;'Inputs &amp; Assumptions'!$C$11,'Inputs &amp; Assumptions'!$C$12*(V176-V187),0)))</f>
        <v>599287.342791138</v>
      </c>
      <c r="W198" s="39" t="n">
        <f aca="false">IF(19&gt;'Inputs &amp; Assumptions'!$E$146,0,IF(19='Inputs &amp; Assumptions'!$E$146,W176-W187,IF(('Inputs &amp; Assumptions'!$C$146+19)&gt;'Inputs &amp; Assumptions'!$C$11,'Inputs &amp; Assumptions'!$C$12*(W176-W187),0)))</f>
        <v>566630.071216618</v>
      </c>
      <c r="X198" s="39" t="n">
        <f aca="false">IF(20&gt;'Inputs &amp; Assumptions'!$E$146,0,IF(20='Inputs &amp; Assumptions'!$E$146,X176-X187,IF(('Inputs &amp; Assumptions'!$C$146+20)&gt;'Inputs &amp; Assumptions'!$C$11,'Inputs &amp; Assumptions'!$C$12*(X176-X187),0)))</f>
        <v>535752.409039028</v>
      </c>
      <c r="Y198" s="39" t="n">
        <f aca="false">IF(21&gt;'Inputs &amp; Assumptions'!$E$146,0,IF(21='Inputs &amp; Assumptions'!$E$146,Y176-Y187,IF(('Inputs &amp; Assumptions'!$C$146+21)&gt;'Inputs &amp; Assumptions'!$C$11,'Inputs &amp; Assumptions'!$C$12*(Y176-Y187),0)))</f>
        <v>506557.379093621</v>
      </c>
      <c r="Z198" s="39" t="n">
        <f aca="false">IF(22&gt;'Inputs &amp; Assumptions'!$E$146,0,IF(22='Inputs &amp; Assumptions'!$E$146,Z176-Z187,IF(('Inputs &amp; Assumptions'!$C$146+22)&gt;'Inputs &amp; Assumptions'!$C$11,'Inputs &amp; Assumptions'!$C$12*(Z176-Z187),0)))</f>
        <v>15965109.6280624</v>
      </c>
      <c r="AA198" s="39" t="n">
        <f aca="false">IF(23&gt;'Inputs &amp; Assumptions'!$E$146,0,IF(23='Inputs &amp; Assumptions'!$E$146,AA176-AA187,IF(('Inputs &amp; Assumptions'!$C$146+23)&gt;'Inputs &amp; Assumptions'!$C$11,'Inputs &amp; Assumptions'!$C$12*(AA176-AA187),0)))</f>
        <v>0</v>
      </c>
      <c r="AB198" s="39" t="n">
        <f aca="false">IF(24&gt;'Inputs &amp; Assumptions'!$E$146,0,IF(24='Inputs &amp; Assumptions'!$E$146,AB176-AB187,IF(('Inputs &amp; Assumptions'!$C$146+24)&gt;'Inputs &amp; Assumptions'!$C$11,'Inputs &amp; Assumptions'!$C$12*(AB176-AB187),0)))</f>
        <v>0</v>
      </c>
      <c r="AC198" s="39" t="n">
        <f aca="false">IF(25&gt;'Inputs &amp; Assumptions'!$E$146,0,IF(25='Inputs &amp; Assumptions'!$E$146,AC176-AC187,IF(('Inputs &amp; Assumptions'!$C$146+25)&gt;'Inputs &amp; Assumptions'!$C$11,'Inputs &amp; Assumptions'!$C$12*(AC176-AC187),0)))</f>
        <v>0</v>
      </c>
      <c r="AD198" s="39" t="n">
        <f aca="false">IF(26&gt;'Inputs &amp; Assumptions'!$E$146,0,IF(26='Inputs &amp; Assumptions'!$E$146,AD176-AD187,IF(('Inputs &amp; Assumptions'!$C$146+26)&gt;'Inputs &amp; Assumptions'!$C$11,'Inputs &amp; Assumptions'!$C$12*(AD176-AD187),0)))</f>
        <v>0</v>
      </c>
      <c r="AE198" s="39" t="n">
        <f aca="false">IF(27&gt;'Inputs &amp; Assumptions'!$E$146,0,IF(27='Inputs &amp; Assumptions'!$E$146,AE176-AE187,IF(('Inputs &amp; Assumptions'!$C$146+27)&gt;'Inputs &amp; Assumptions'!$C$11,'Inputs &amp; Assumptions'!$C$12*(AE176-AE187),0)))</f>
        <v>0</v>
      </c>
      <c r="AF198" s="39" t="n">
        <f aca="false">IF(28&gt;'Inputs &amp; Assumptions'!$E$146,0,IF(28='Inputs &amp; Assumptions'!$E$146,AF176-AF187,IF(('Inputs &amp; Assumptions'!$C$146+28)&gt;'Inputs &amp; Assumptions'!$C$11,'Inputs &amp; Assumptions'!$C$12*(AF176-AF187),0)))</f>
        <v>0</v>
      </c>
      <c r="AG198" s="39" t="n">
        <f aca="false">IF(29&gt;'Inputs &amp; Assumptions'!$E$146,0,IF(29='Inputs &amp; Assumptions'!$E$146,AG176-AG187,IF(('Inputs &amp; Assumptions'!$C$146+29)&gt;'Inputs &amp; Assumptions'!$C$11,'Inputs &amp; Assumptions'!$C$12*(AG176-AG187),0)))</f>
        <v>0</v>
      </c>
      <c r="AH198" s="39" t="n">
        <f aca="false">IF(30&gt;'Inputs &amp; Assumptions'!$E$146,0,IF(30='Inputs &amp; Assumptions'!$E$146,AH176-AH187,IF(('Inputs &amp; Assumptions'!$C$146+30)&gt;'Inputs &amp; Assumptions'!$C$11,'Inputs &amp; Assumptions'!$C$12*(AH176-AH187),0)))</f>
        <v>0</v>
      </c>
      <c r="AI198" s="39" t="n">
        <f aca="false">IF(31&gt;'Inputs &amp; Assumptions'!$E$146,0,IF(31='Inputs &amp; Assumptions'!$E$146,AI176-AI187,IF(('Inputs &amp; Assumptions'!$C$146+31)&gt;'Inputs &amp; Assumptions'!$C$11,'Inputs &amp; Assumptions'!$C$12*(AI176-AI187),0)))</f>
        <v>0</v>
      </c>
      <c r="AJ198" s="39" t="n">
        <f aca="false">IF(32&gt;'Inputs &amp; Assumptions'!$E$146,0,IF(32='Inputs &amp; Assumptions'!$E$146,AJ176-AJ187,IF(('Inputs &amp; Assumptions'!$C$146+32)&gt;'Inputs &amp; Assumptions'!$C$11,'Inputs &amp; Assumptions'!$C$12*(AJ176-AJ187),0)))</f>
        <v>0</v>
      </c>
      <c r="AK198" s="39" t="n">
        <f aca="false">IF(33&gt;'Inputs &amp; Assumptions'!$E$146,0,IF(33='Inputs &amp; Assumptions'!$E$146,AK176-AK187,IF(('Inputs &amp; Assumptions'!$C$146+33)&gt;'Inputs &amp; Assumptions'!$C$11,'Inputs &amp; Assumptions'!$C$12*(AK176-AK187),0)))</f>
        <v>0</v>
      </c>
      <c r="AL198" s="39" t="n">
        <f aca="false">IF(34&gt;'Inputs &amp; Assumptions'!$E$146,0,IF(34='Inputs &amp; Assumptions'!$E$146,AL176-AL187,IF(('Inputs &amp; Assumptions'!$C$146+34)&gt;'Inputs &amp; Assumptions'!$C$11,'Inputs &amp; Assumptions'!$C$12*(AL176-AL187),0)))</f>
        <v>0</v>
      </c>
      <c r="AM198" s="39" t="n">
        <f aca="false">IF(35&gt;'Inputs &amp; Assumptions'!$E$146,0,IF(35='Inputs &amp; Assumptions'!$E$146,AM176-AM187,IF(('Inputs &amp; Assumptions'!$C$146+35)&gt;'Inputs &amp; Assumptions'!$C$11,'Inputs &amp; Assumptions'!$C$12*(AM176-AM187),0)))</f>
        <v>0</v>
      </c>
      <c r="AN198" s="39" t="n">
        <f aca="false">IF(36&gt;'Inputs &amp; Assumptions'!$E$146,0,IF(36='Inputs &amp; Assumptions'!$E$146,AN176-AN187,IF(('Inputs &amp; Assumptions'!$C$146+36)&gt;'Inputs &amp; Assumptions'!$C$11,'Inputs &amp; Assumptions'!$C$12*(AN176-AN187),0)))</f>
        <v>0</v>
      </c>
    </row>
    <row r="199" customFormat="false" ht="15" hidden="false" customHeight="false" outlineLevel="0" collapsed="false">
      <c r="B199" s="37" t="n">
        <v>8</v>
      </c>
      <c r="C199" s="38" t="n">
        <f aca="false">'Inputs &amp; Assumptions'!$C$147</f>
        <v>7</v>
      </c>
      <c r="D199" s="38" t="n">
        <f aca="false">'Inputs &amp; Assumptions'!$D$147</f>
        <v>3</v>
      </c>
      <c r="E199" s="39" t="n">
        <f aca="false">IF(1&gt;'Inputs &amp; Assumptions'!$E$147,0,IF(1='Inputs &amp; Assumptions'!$E$147,E177-E188,IF(('Inputs &amp; Assumptions'!$C$147+1)&gt;'Inputs &amp; Assumptions'!$C$11,'Inputs &amp; Assumptions'!$C$12*(E177-E188),0)))</f>
        <v>1620838.797525</v>
      </c>
      <c r="F199" s="39" t="n">
        <f aca="false">IF(2&gt;'Inputs &amp; Assumptions'!$E$147,0,IF(2='Inputs &amp; Assumptions'!$E$147,F177-F188,IF(('Inputs &amp; Assumptions'!$C$147+2)&gt;'Inputs &amp; Assumptions'!$C$11,'Inputs &amp; Assumptions'!$C$12*(F177-F188),0)))</f>
        <v>1521494.55365088</v>
      </c>
      <c r="G199" s="39" t="n">
        <f aca="false">IF(3&gt;'Inputs &amp; Assumptions'!$E$147,0,IF(3='Inputs &amp; Assumptions'!$E$147,G177-G188,IF(('Inputs &amp; Assumptions'!$C$147+3)&gt;'Inputs &amp; Assumptions'!$C$11,'Inputs &amp; Assumptions'!$C$12*(G177-G188),0)))</f>
        <v>1428239.30444173</v>
      </c>
      <c r="H199" s="39" t="n">
        <f aca="false">IF(4&gt;'Inputs &amp; Assumptions'!$E$147,0,IF(4='Inputs &amp; Assumptions'!$E$147,H177-H188,IF(('Inputs &amp; Assumptions'!$C$147+4)&gt;'Inputs &amp; Assumptions'!$C$11,'Inputs &amp; Assumptions'!$C$12*(H177-H188),0)))</f>
        <v>1340699.84401684</v>
      </c>
      <c r="I199" s="39" t="n">
        <f aca="false">IF(5&gt;'Inputs &amp; Assumptions'!$E$147,0,IF(5='Inputs &amp; Assumptions'!$E$147,I177-I188,IF(('Inputs &amp; Assumptions'!$C$147+5)&gt;'Inputs &amp; Assumptions'!$C$11,'Inputs &amp; Assumptions'!$C$12*(I177-I188),0)))</f>
        <v>1258525.84098249</v>
      </c>
      <c r="J199" s="39" t="n">
        <f aca="false">IF(6&gt;'Inputs &amp; Assumptions'!$E$147,0,IF(6='Inputs &amp; Assumptions'!$E$147,J177-J188,IF(('Inputs &amp; Assumptions'!$C$147+6)&gt;'Inputs &amp; Assumptions'!$C$11,'Inputs &amp; Assumptions'!$C$12*(J177-J188),0)))</f>
        <v>1184227.95321033</v>
      </c>
      <c r="K199" s="39" t="n">
        <f aca="false">IF(7&gt;'Inputs &amp; Assumptions'!$E$147,0,IF(7='Inputs &amp; Assumptions'!$E$147,K177-K188,IF(('Inputs &amp; Assumptions'!$C$147+7)&gt;'Inputs &amp; Assumptions'!$C$11,'Inputs &amp; Assumptions'!$C$12*(K177-K188),0)))</f>
        <v>1114316.28934207</v>
      </c>
      <c r="L199" s="39" t="n">
        <f aca="false">IF(8&gt;'Inputs &amp; Assumptions'!$E$147,0,IF(8='Inputs &amp; Assumptions'!$E$147,L177-L188,IF(('Inputs &amp; Assumptions'!$C$147+8)&gt;'Inputs &amp; Assumptions'!$C$11,'Inputs &amp; Assumptions'!$C$12*(L177-L188),0)))</f>
        <v>1048531.90580999</v>
      </c>
      <c r="M199" s="39" t="n">
        <f aca="false">IF(9&gt;'Inputs &amp; Assumptions'!$E$147,0,IF(9='Inputs &amp; Assumptions'!$E$147,M177-M188,IF(('Inputs &amp; Assumptions'!$C$147+9)&gt;'Inputs &amp; Assumptions'!$C$11,'Inputs &amp; Assumptions'!$C$12*(M177-M188),0)))</f>
        <v>986631.145947492</v>
      </c>
      <c r="N199" s="39" t="n">
        <f aca="false">IF(10&gt;'Inputs &amp; Assumptions'!$E$147,0,IF(10='Inputs &amp; Assumptions'!$E$147,N177-N188,IF(('Inputs &amp; Assumptions'!$C$147+10)&gt;'Inputs &amp; Assumptions'!$C$11,'Inputs &amp; Assumptions'!$C$12*(N177-N188),0)))</f>
        <v>930347.186324903</v>
      </c>
      <c r="O199" s="39" t="n">
        <f aca="false">IF(11&gt;'Inputs &amp; Assumptions'!$E$147,0,IF(11='Inputs &amp; Assumptions'!$E$147,O177-O188,IF(('Inputs &amp; Assumptions'!$C$147+11)&gt;'Inputs &amp; Assumptions'!$C$11,'Inputs &amp; Assumptions'!$C$12*(O177-O188),0)))</f>
        <v>877274.035649315</v>
      </c>
      <c r="P199" s="39" t="n">
        <f aca="false">IF(12&gt;'Inputs &amp; Assumptions'!$E$147,0,IF(12='Inputs &amp; Assumptions'!$E$147,P177-P188,IF(('Inputs &amp; Assumptions'!$C$147+12)&gt;'Inputs &amp; Assumptions'!$C$11,'Inputs &amp; Assumptions'!$C$12*(P177-P188),0)))</f>
        <v>827228.528163319</v>
      </c>
      <c r="Q199" s="39" t="n">
        <f aca="false">IF(13&gt;'Inputs &amp; Assumptions'!$E$147,0,IF(13='Inputs &amp; Assumptions'!$E$147,Q177-Q188,IF(('Inputs &amp; Assumptions'!$C$147+13)&gt;'Inputs &amp; Assumptions'!$C$11,'Inputs &amp; Assumptions'!$C$12*(Q177-Q188),0)))</f>
        <v>780037.94709456</v>
      </c>
      <c r="R199" s="39" t="n">
        <f aca="false">IF(14&gt;'Inputs &amp; Assumptions'!$E$147,0,IF(14='Inputs &amp; Assumptions'!$E$147,R177-R188,IF(('Inputs &amp; Assumptions'!$C$147+14)&gt;'Inputs &amp; Assumptions'!$C$11,'Inputs &amp; Assumptions'!$C$12*(R177-R188),0)))</f>
        <v>736581.498730093</v>
      </c>
      <c r="S199" s="39" t="n">
        <f aca="false">IF(15&gt;'Inputs &amp; Assumptions'!$E$147,0,IF(15='Inputs &amp; Assumptions'!$E$147,S177-S188,IF(('Inputs &amp; Assumptions'!$C$147+15)&gt;'Inputs &amp; Assumptions'!$C$11,'Inputs &amp; Assumptions'!$C$12*(S177-S188),0)))</f>
        <v>695546.038872003</v>
      </c>
      <c r="T199" s="39" t="n">
        <f aca="false">IF(16&gt;'Inputs &amp; Assumptions'!$E$147,0,IF(16='Inputs &amp; Assumptions'!$E$147,T177-T188,IF(('Inputs &amp; Assumptions'!$C$147+16)&gt;'Inputs &amp; Assumptions'!$C$11,'Inputs &amp; Assumptions'!$C$12*(T177-T188),0)))</f>
        <v>656796.692592204</v>
      </c>
      <c r="U199" s="39" t="n">
        <f aca="false">IF(17&gt;'Inputs &amp; Assumptions'!$E$147,0,IF(17='Inputs &amp; Assumptions'!$E$147,U177-U188,IF(('Inputs &amp; Assumptions'!$C$147+17)&gt;'Inputs &amp; Assumptions'!$C$11,'Inputs &amp; Assumptions'!$C$12*(U177-U188),0)))</f>
        <v>620206.098937245</v>
      </c>
      <c r="V199" s="39" t="n">
        <f aca="false">IF(18&gt;'Inputs &amp; Assumptions'!$E$147,0,IF(18='Inputs &amp; Assumptions'!$E$147,V177-V188,IF(('Inputs &amp; Assumptions'!$C$147+18)&gt;'Inputs &amp; Assumptions'!$C$11,'Inputs &amp; Assumptions'!$C$12*(V177-V188),0)))</f>
        <v>586408.890888708</v>
      </c>
      <c r="W199" s="39" t="n">
        <f aca="false">IF(19&gt;'Inputs &amp; Assumptions'!$E$147,0,IF(19='Inputs &amp; Assumptions'!$E$147,W177-W188,IF(('Inputs &amp; Assumptions'!$C$147+19)&gt;'Inputs &amp; Assumptions'!$C$11,'Inputs &amp; Assumptions'!$C$12*(W177-W188),0)))</f>
        <v>554453.411378206</v>
      </c>
      <c r="X199" s="39" t="n">
        <f aca="false">IF(20&gt;'Inputs &amp; Assumptions'!$E$147,0,IF(20='Inputs &amp; Assumptions'!$E$147,X177-X188,IF(('Inputs &amp; Assumptions'!$C$147+20)&gt;'Inputs &amp; Assumptions'!$C$11,'Inputs &amp; Assumptions'!$C$12*(X177-X188),0)))</f>
        <v>524239.298150876</v>
      </c>
      <c r="Y199" s="39" t="n">
        <f aca="false">IF(21&gt;'Inputs &amp; Assumptions'!$E$147,0,IF(21='Inputs &amp; Assumptions'!$E$147,Y177-Y188,IF(('Inputs &amp; Assumptions'!$C$147+21)&gt;'Inputs &amp; Assumptions'!$C$11,'Inputs &amp; Assumptions'!$C$12*(Y177-Y188),0)))</f>
        <v>16522388.6014508</v>
      </c>
      <c r="Z199" s="39" t="n">
        <f aca="false">IF(22&gt;'Inputs &amp; Assumptions'!$E$147,0,IF(22='Inputs &amp; Assumptions'!$E$147,Z177-Z188,IF(('Inputs &amp; Assumptions'!$C$147+22)&gt;'Inputs &amp; Assumptions'!$C$11,'Inputs &amp; Assumptions'!$C$12*(Z177-Z188),0)))</f>
        <v>0</v>
      </c>
      <c r="AA199" s="39" t="n">
        <f aca="false">IF(23&gt;'Inputs &amp; Assumptions'!$E$147,0,IF(23='Inputs &amp; Assumptions'!$E$147,AA177-AA188,IF(('Inputs &amp; Assumptions'!$C$147+23)&gt;'Inputs &amp; Assumptions'!$C$11,'Inputs &amp; Assumptions'!$C$12*(AA177-AA188),0)))</f>
        <v>0</v>
      </c>
      <c r="AB199" s="39" t="n">
        <f aca="false">IF(24&gt;'Inputs &amp; Assumptions'!$E$147,0,IF(24='Inputs &amp; Assumptions'!$E$147,AB177-AB188,IF(('Inputs &amp; Assumptions'!$C$147+24)&gt;'Inputs &amp; Assumptions'!$C$11,'Inputs &amp; Assumptions'!$C$12*(AB177-AB188),0)))</f>
        <v>0</v>
      </c>
      <c r="AC199" s="39" t="n">
        <f aca="false">IF(25&gt;'Inputs &amp; Assumptions'!$E$147,0,IF(25='Inputs &amp; Assumptions'!$E$147,AC177-AC188,IF(('Inputs &amp; Assumptions'!$C$147+25)&gt;'Inputs &amp; Assumptions'!$C$11,'Inputs &amp; Assumptions'!$C$12*(AC177-AC188),0)))</f>
        <v>0</v>
      </c>
      <c r="AD199" s="39" t="n">
        <f aca="false">IF(26&gt;'Inputs &amp; Assumptions'!$E$147,0,IF(26='Inputs &amp; Assumptions'!$E$147,AD177-AD188,IF(('Inputs &amp; Assumptions'!$C$147+26)&gt;'Inputs &amp; Assumptions'!$C$11,'Inputs &amp; Assumptions'!$C$12*(AD177-AD188),0)))</f>
        <v>0</v>
      </c>
      <c r="AE199" s="39" t="n">
        <f aca="false">IF(27&gt;'Inputs &amp; Assumptions'!$E$147,0,IF(27='Inputs &amp; Assumptions'!$E$147,AE177-AE188,IF(('Inputs &amp; Assumptions'!$C$147+27)&gt;'Inputs &amp; Assumptions'!$C$11,'Inputs &amp; Assumptions'!$C$12*(AE177-AE188),0)))</f>
        <v>0</v>
      </c>
      <c r="AF199" s="39" t="n">
        <f aca="false">IF(28&gt;'Inputs &amp; Assumptions'!$E$147,0,IF(28='Inputs &amp; Assumptions'!$E$147,AF177-AF188,IF(('Inputs &amp; Assumptions'!$C$147+28)&gt;'Inputs &amp; Assumptions'!$C$11,'Inputs &amp; Assumptions'!$C$12*(AF177-AF188),0)))</f>
        <v>0</v>
      </c>
      <c r="AG199" s="39" t="n">
        <f aca="false">IF(29&gt;'Inputs &amp; Assumptions'!$E$147,0,IF(29='Inputs &amp; Assumptions'!$E$147,AG177-AG188,IF(('Inputs &amp; Assumptions'!$C$147+29)&gt;'Inputs &amp; Assumptions'!$C$11,'Inputs &amp; Assumptions'!$C$12*(AG177-AG188),0)))</f>
        <v>0</v>
      </c>
      <c r="AH199" s="39" t="n">
        <f aca="false">IF(30&gt;'Inputs &amp; Assumptions'!$E$147,0,IF(30='Inputs &amp; Assumptions'!$E$147,AH177-AH188,IF(('Inputs &amp; Assumptions'!$C$147+30)&gt;'Inputs &amp; Assumptions'!$C$11,'Inputs &amp; Assumptions'!$C$12*(AH177-AH188),0)))</f>
        <v>0</v>
      </c>
      <c r="AI199" s="39" t="n">
        <f aca="false">IF(31&gt;'Inputs &amp; Assumptions'!$E$147,0,IF(31='Inputs &amp; Assumptions'!$E$147,AI177-AI188,IF(('Inputs &amp; Assumptions'!$C$147+31)&gt;'Inputs &amp; Assumptions'!$C$11,'Inputs &amp; Assumptions'!$C$12*(AI177-AI188),0)))</f>
        <v>0</v>
      </c>
      <c r="AJ199" s="39" t="n">
        <f aca="false">IF(32&gt;'Inputs &amp; Assumptions'!$E$147,0,IF(32='Inputs &amp; Assumptions'!$E$147,AJ177-AJ188,IF(('Inputs &amp; Assumptions'!$C$147+32)&gt;'Inputs &amp; Assumptions'!$C$11,'Inputs &amp; Assumptions'!$C$12*(AJ177-AJ188),0)))</f>
        <v>0</v>
      </c>
      <c r="AK199" s="39" t="n">
        <f aca="false">IF(33&gt;'Inputs &amp; Assumptions'!$E$147,0,IF(33='Inputs &amp; Assumptions'!$E$147,AK177-AK188,IF(('Inputs &amp; Assumptions'!$C$147+33)&gt;'Inputs &amp; Assumptions'!$C$11,'Inputs &amp; Assumptions'!$C$12*(AK177-AK188),0)))</f>
        <v>0</v>
      </c>
      <c r="AL199" s="39" t="n">
        <f aca="false">IF(34&gt;'Inputs &amp; Assumptions'!$E$147,0,IF(34='Inputs &amp; Assumptions'!$E$147,AL177-AL188,IF(('Inputs &amp; Assumptions'!$C$147+34)&gt;'Inputs &amp; Assumptions'!$C$11,'Inputs &amp; Assumptions'!$C$12*(AL177-AL188),0)))</f>
        <v>0</v>
      </c>
      <c r="AM199" s="39" t="n">
        <f aca="false">IF(35&gt;'Inputs &amp; Assumptions'!$E$147,0,IF(35='Inputs &amp; Assumptions'!$E$147,AM177-AM188,IF(('Inputs &amp; Assumptions'!$C$147+35)&gt;'Inputs &amp; Assumptions'!$C$11,'Inputs &amp; Assumptions'!$C$12*(AM177-AM188),0)))</f>
        <v>0</v>
      </c>
      <c r="AN199" s="39" t="n">
        <f aca="false">IF(36&gt;'Inputs &amp; Assumptions'!$E$147,0,IF(36='Inputs &amp; Assumptions'!$E$147,AN177-AN188,IF(('Inputs &amp; Assumptions'!$C$147+36)&gt;'Inputs &amp; Assumptions'!$C$11,'Inputs &amp; Assumptions'!$C$12*(AN177-AN188),0)))</f>
        <v>0</v>
      </c>
    </row>
    <row r="200" customFormat="false" ht="15" hidden="false" customHeight="false" outlineLevel="0" collapsed="false">
      <c r="B200" s="37" t="n">
        <v>9</v>
      </c>
      <c r="C200" s="38" t="n">
        <f aca="false">'Inputs &amp; Assumptions'!$C$148</f>
        <v>8</v>
      </c>
      <c r="D200" s="38" t="n">
        <f aca="false">'Inputs &amp; Assumptions'!$D$148</f>
        <v>3</v>
      </c>
      <c r="E200" s="39" t="n">
        <f aca="false">IF(1&gt;'Inputs &amp; Assumptions'!$E$148,0,IF(1='Inputs &amp; Assumptions'!$E$148,E178-E189,IF(('Inputs &amp; Assumptions'!$C$148+1)&gt;'Inputs &amp; Assumptions'!$C$11,'Inputs &amp; Assumptions'!$C$12*(E178-E189),0)))</f>
        <v>1574603.92418625</v>
      </c>
      <c r="F200" s="39" t="n">
        <f aca="false">IF(2&gt;'Inputs &amp; Assumptions'!$E$148,0,IF(2='Inputs &amp; Assumptions'!$E$148,F178-F189,IF(('Inputs &amp; Assumptions'!$C$148+2)&gt;'Inputs &amp; Assumptions'!$C$11,'Inputs &amp; Assumptions'!$C$12*(F178-F189),0)))</f>
        <v>1478093.502244</v>
      </c>
      <c r="G200" s="39" t="n">
        <f aca="false">IF(3&gt;'Inputs &amp; Assumptions'!$E$148,0,IF(3='Inputs &amp; Assumptions'!$E$148,G178-G189,IF(('Inputs &amp; Assumptions'!$C$148+3)&gt;'Inputs &amp; Assumptions'!$C$11,'Inputs &amp; Assumptions'!$C$12*(G178-G189),0)))</f>
        <v>1387498.38471602</v>
      </c>
      <c r="H200" s="39" t="n">
        <f aca="false">IF(4&gt;'Inputs &amp; Assumptions'!$E$148,0,IF(4='Inputs &amp; Assumptions'!$E$148,H178-H189,IF(('Inputs &amp; Assumptions'!$C$148+4)&gt;'Inputs &amp; Assumptions'!$C$11,'Inputs &amp; Assumptions'!$C$12*(H178-H189),0)))</f>
        <v>1302456.01152218</v>
      </c>
      <c r="I200" s="39" t="n">
        <f aca="false">IF(5&gt;'Inputs &amp; Assumptions'!$E$148,0,IF(5='Inputs &amp; Assumptions'!$E$148,I178-I189,IF(('Inputs &amp; Assumptions'!$C$148+5)&gt;'Inputs &amp; Assumptions'!$C$11,'Inputs &amp; Assumptions'!$C$12*(I178-I189),0)))</f>
        <v>1225564.6776925</v>
      </c>
      <c r="J200" s="39" t="n">
        <f aca="false">IF(6&gt;'Inputs &amp; Assumptions'!$E$148,0,IF(6='Inputs &amp; Assumptions'!$E$148,J178-J189,IF(('Inputs &amp; Assumptions'!$C$148+6)&gt;'Inputs &amp; Assumptions'!$C$11,'Inputs &amp; Assumptions'!$C$12*(J178-J189),0)))</f>
        <v>1153212.6735337</v>
      </c>
      <c r="K200" s="39" t="n">
        <f aca="false">IF(7&gt;'Inputs &amp; Assumptions'!$E$148,0,IF(7='Inputs &amp; Assumptions'!$E$148,K178-K189,IF(('Inputs &amp; Assumptions'!$C$148+7)&gt;'Inputs &amp; Assumptions'!$C$11,'Inputs &amp; Assumptions'!$C$12*(K178-K189),0)))</f>
        <v>1085132.01677996</v>
      </c>
      <c r="L200" s="39" t="n">
        <f aca="false">IF(8&gt;'Inputs &amp; Assumptions'!$E$148,0,IF(8='Inputs &amp; Assumptions'!$E$148,L178-L189,IF(('Inputs &amp; Assumptions'!$C$148+8)&gt;'Inputs &amp; Assumptions'!$C$11,'Inputs &amp; Assumptions'!$C$12*(L178-L189),0)))</f>
        <v>1021070.54567201</v>
      </c>
      <c r="M200" s="39" t="n">
        <f aca="false">IF(9&gt;'Inputs &amp; Assumptions'!$E$148,0,IF(9='Inputs &amp; Assumptions'!$E$148,M178-M189,IF(('Inputs &amp; Assumptions'!$C$148+9)&gt;'Inputs &amp; Assumptions'!$C$11,'Inputs &amp; Assumptions'!$C$12*(M178-M189),0)))</f>
        <v>962821.935134559</v>
      </c>
      <c r="N200" s="39" t="n">
        <f aca="false">IF(10&gt;'Inputs &amp; Assumptions'!$E$148,0,IF(10='Inputs &amp; Assumptions'!$E$148,N178-N189,IF(('Inputs &amp; Assumptions'!$C$148+10)&gt;'Inputs &amp; Assumptions'!$C$11,'Inputs &amp; Assumptions'!$C$12*(N178-N189),0)))</f>
        <v>907896.210213505</v>
      </c>
      <c r="O200" s="39" t="n">
        <f aca="false">IF(11&gt;'Inputs &amp; Assumptions'!$E$148,0,IF(11='Inputs &amp; Assumptions'!$E$148,O178-O189,IF(('Inputs &amp; Assumptions'!$C$148+11)&gt;'Inputs &amp; Assumptions'!$C$11,'Inputs &amp; Assumptions'!$C$12*(O178-O189),0)))</f>
        <v>856103.811557688</v>
      </c>
      <c r="P200" s="39" t="n">
        <f aca="false">IF(12&gt;'Inputs &amp; Assumptions'!$E$148,0,IF(12='Inputs &amp; Assumptions'!$E$148,P178-P189,IF(('Inputs &amp; Assumptions'!$C$148+12)&gt;'Inputs &amp; Assumptions'!$C$11,'Inputs &amp; Assumptions'!$C$12*(P178-P189),0)))</f>
        <v>807265.993533827</v>
      </c>
      <c r="Q200" s="39" t="n">
        <f aca="false">IF(13&gt;'Inputs &amp; Assumptions'!$E$148,0,IF(13='Inputs &amp; Assumptions'!$E$148,Q178-Q189,IF(('Inputs &amp; Assumptions'!$C$148+13)&gt;'Inputs &amp; Assumptions'!$C$11,'Inputs &amp; Assumptions'!$C$12*(Q178-Q189),0)))</f>
        <v>762292.652050813</v>
      </c>
      <c r="R200" s="39" t="n">
        <f aca="false">IF(14&gt;'Inputs &amp; Assumptions'!$E$148,0,IF(14='Inputs &amp; Assumptions'!$E$148,R178-R189,IF(('Inputs &amp; Assumptions'!$C$148+14)&gt;'Inputs &amp; Assumptions'!$C$11,'Inputs &amp; Assumptions'!$C$12*(R178-R189),0)))</f>
        <v>719824.806228893</v>
      </c>
      <c r="S200" s="39" t="n">
        <f aca="false">IF(15&gt;'Inputs &amp; Assumptions'!$E$148,0,IF(15='Inputs &amp; Assumptions'!$E$148,S178-S189,IF(('Inputs &amp; Assumptions'!$C$148+15)&gt;'Inputs &amp; Assumptions'!$C$11,'Inputs &amp; Assumptions'!$C$12*(S178-S189),0)))</f>
        <v>679722.873188505</v>
      </c>
      <c r="T200" s="39" t="n">
        <f aca="false">IF(16&gt;'Inputs &amp; Assumptions'!$E$148,0,IF(16='Inputs &amp; Assumptions'!$E$148,T178-T189,IF(('Inputs &amp; Assumptions'!$C$148+16)&gt;'Inputs &amp; Assumptions'!$C$11,'Inputs &amp; Assumptions'!$C$12*(T178-T189),0)))</f>
        <v>641855.04630792</v>
      </c>
      <c r="U200" s="39" t="n">
        <f aca="false">IF(17&gt;'Inputs &amp; Assumptions'!$E$148,0,IF(17='Inputs &amp; Assumptions'!$E$148,U178-U189,IF(('Inputs &amp; Assumptions'!$C$148+17)&gt;'Inputs &amp; Assumptions'!$C$11,'Inputs &amp; Assumptions'!$C$12*(U178-U189),0)))</f>
        <v>606878.111101633</v>
      </c>
      <c r="V200" s="39" t="n">
        <f aca="false">IF(18&gt;'Inputs &amp; Assumptions'!$E$148,0,IF(18='Inputs &amp; Assumptions'!$E$148,V178-V189,IF(('Inputs &amp; Assumptions'!$C$148+18)&gt;'Inputs &amp; Assumptions'!$C$11,'Inputs &amp; Assumptions'!$C$12*(V178-V189),0)))</f>
        <v>573807.191908559</v>
      </c>
      <c r="W200" s="39" t="n">
        <f aca="false">IF(19&gt;'Inputs &amp; Assumptions'!$E$148,0,IF(19='Inputs &amp; Assumptions'!$E$148,W178-W189,IF(('Inputs &amp; Assumptions'!$C$148+19)&gt;'Inputs &amp; Assumptions'!$C$11,'Inputs &amp; Assumptions'!$C$12*(W178-W189),0)))</f>
        <v>542538.423223582</v>
      </c>
      <c r="X200" s="39" t="n">
        <f aca="false">IF(20&gt;'Inputs &amp; Assumptions'!$E$148,0,IF(20='Inputs &amp; Assumptions'!$E$148,X178-X189,IF(('Inputs &amp; Assumptions'!$C$148+20)&gt;'Inputs &amp; Assumptions'!$C$11,'Inputs &amp; Assumptions'!$C$12*(X178-X189),0)))</f>
        <v>17099119.9845887</v>
      </c>
      <c r="Y200" s="39" t="n">
        <f aca="false">IF(21&gt;'Inputs &amp; Assumptions'!$E$148,0,IF(21='Inputs &amp; Assumptions'!$E$148,Y178-Y189,IF(('Inputs &amp; Assumptions'!$C$148+21)&gt;'Inputs &amp; Assumptions'!$C$11,'Inputs &amp; Assumptions'!$C$12*(Y178-Y189),0)))</f>
        <v>0</v>
      </c>
      <c r="Z200" s="39" t="n">
        <f aca="false">IF(22&gt;'Inputs &amp; Assumptions'!$E$148,0,IF(22='Inputs &amp; Assumptions'!$E$148,Z178-Z189,IF(('Inputs &amp; Assumptions'!$C$148+22)&gt;'Inputs &amp; Assumptions'!$C$11,'Inputs &amp; Assumptions'!$C$12*(Z178-Z189),0)))</f>
        <v>0</v>
      </c>
      <c r="AA200" s="39" t="n">
        <f aca="false">IF(23&gt;'Inputs &amp; Assumptions'!$E$148,0,IF(23='Inputs &amp; Assumptions'!$E$148,AA178-AA189,IF(('Inputs &amp; Assumptions'!$C$148+23)&gt;'Inputs &amp; Assumptions'!$C$11,'Inputs &amp; Assumptions'!$C$12*(AA178-AA189),0)))</f>
        <v>0</v>
      </c>
      <c r="AB200" s="39" t="n">
        <f aca="false">IF(24&gt;'Inputs &amp; Assumptions'!$E$148,0,IF(24='Inputs &amp; Assumptions'!$E$148,AB178-AB189,IF(('Inputs &amp; Assumptions'!$C$148+24)&gt;'Inputs &amp; Assumptions'!$C$11,'Inputs &amp; Assumptions'!$C$12*(AB178-AB189),0)))</f>
        <v>0</v>
      </c>
      <c r="AC200" s="39" t="n">
        <f aca="false">IF(25&gt;'Inputs &amp; Assumptions'!$E$148,0,IF(25='Inputs &amp; Assumptions'!$E$148,AC178-AC189,IF(('Inputs &amp; Assumptions'!$C$148+25)&gt;'Inputs &amp; Assumptions'!$C$11,'Inputs &amp; Assumptions'!$C$12*(AC178-AC189),0)))</f>
        <v>0</v>
      </c>
      <c r="AD200" s="39" t="n">
        <f aca="false">IF(26&gt;'Inputs &amp; Assumptions'!$E$148,0,IF(26='Inputs &amp; Assumptions'!$E$148,AD178-AD189,IF(('Inputs &amp; Assumptions'!$C$148+26)&gt;'Inputs &amp; Assumptions'!$C$11,'Inputs &amp; Assumptions'!$C$12*(AD178-AD189),0)))</f>
        <v>0</v>
      </c>
      <c r="AE200" s="39" t="n">
        <f aca="false">IF(27&gt;'Inputs &amp; Assumptions'!$E$148,0,IF(27='Inputs &amp; Assumptions'!$E$148,AE178-AE189,IF(('Inputs &amp; Assumptions'!$C$148+27)&gt;'Inputs &amp; Assumptions'!$C$11,'Inputs &amp; Assumptions'!$C$12*(AE178-AE189),0)))</f>
        <v>0</v>
      </c>
      <c r="AF200" s="39" t="n">
        <f aca="false">IF(28&gt;'Inputs &amp; Assumptions'!$E$148,0,IF(28='Inputs &amp; Assumptions'!$E$148,AF178-AF189,IF(('Inputs &amp; Assumptions'!$C$148+28)&gt;'Inputs &amp; Assumptions'!$C$11,'Inputs &amp; Assumptions'!$C$12*(AF178-AF189),0)))</f>
        <v>0</v>
      </c>
      <c r="AG200" s="39" t="n">
        <f aca="false">IF(29&gt;'Inputs &amp; Assumptions'!$E$148,0,IF(29='Inputs &amp; Assumptions'!$E$148,AG178-AG189,IF(('Inputs &amp; Assumptions'!$C$148+29)&gt;'Inputs &amp; Assumptions'!$C$11,'Inputs &amp; Assumptions'!$C$12*(AG178-AG189),0)))</f>
        <v>0</v>
      </c>
      <c r="AH200" s="39" t="n">
        <f aca="false">IF(30&gt;'Inputs &amp; Assumptions'!$E$148,0,IF(30='Inputs &amp; Assumptions'!$E$148,AH178-AH189,IF(('Inputs &amp; Assumptions'!$C$148+30)&gt;'Inputs &amp; Assumptions'!$C$11,'Inputs &amp; Assumptions'!$C$12*(AH178-AH189),0)))</f>
        <v>0</v>
      </c>
      <c r="AI200" s="39" t="n">
        <f aca="false">IF(31&gt;'Inputs &amp; Assumptions'!$E$148,0,IF(31='Inputs &amp; Assumptions'!$E$148,AI178-AI189,IF(('Inputs &amp; Assumptions'!$C$148+31)&gt;'Inputs &amp; Assumptions'!$C$11,'Inputs &amp; Assumptions'!$C$12*(AI178-AI189),0)))</f>
        <v>0</v>
      </c>
      <c r="AJ200" s="39" t="n">
        <f aca="false">IF(32&gt;'Inputs &amp; Assumptions'!$E$148,0,IF(32='Inputs &amp; Assumptions'!$E$148,AJ178-AJ189,IF(('Inputs &amp; Assumptions'!$C$148+32)&gt;'Inputs &amp; Assumptions'!$C$11,'Inputs &amp; Assumptions'!$C$12*(AJ178-AJ189),0)))</f>
        <v>0</v>
      </c>
      <c r="AK200" s="39" t="n">
        <f aca="false">IF(33&gt;'Inputs &amp; Assumptions'!$E$148,0,IF(33='Inputs &amp; Assumptions'!$E$148,AK178-AK189,IF(('Inputs &amp; Assumptions'!$C$148+33)&gt;'Inputs &amp; Assumptions'!$C$11,'Inputs &amp; Assumptions'!$C$12*(AK178-AK189),0)))</f>
        <v>0</v>
      </c>
      <c r="AL200" s="39" t="n">
        <f aca="false">IF(34&gt;'Inputs &amp; Assumptions'!$E$148,0,IF(34='Inputs &amp; Assumptions'!$E$148,AL178-AL189,IF(('Inputs &amp; Assumptions'!$C$148+34)&gt;'Inputs &amp; Assumptions'!$C$11,'Inputs &amp; Assumptions'!$C$12*(AL178-AL189),0)))</f>
        <v>0</v>
      </c>
      <c r="AM200" s="39" t="n">
        <f aca="false">IF(35&gt;'Inputs &amp; Assumptions'!$E$148,0,IF(35='Inputs &amp; Assumptions'!$E$148,AM178-AM189,IF(('Inputs &amp; Assumptions'!$C$148+35)&gt;'Inputs &amp; Assumptions'!$C$11,'Inputs &amp; Assumptions'!$C$12*(AM178-AM189),0)))</f>
        <v>0</v>
      </c>
      <c r="AN200" s="39" t="n">
        <f aca="false">IF(36&gt;'Inputs &amp; Assumptions'!$E$148,0,IF(36='Inputs &amp; Assumptions'!$E$148,AN178-AN189,IF(('Inputs &amp; Assumptions'!$C$148+36)&gt;'Inputs &amp; Assumptions'!$C$11,'Inputs &amp; Assumptions'!$C$12*(AN178-AN189),0)))</f>
        <v>0</v>
      </c>
    </row>
    <row r="201" customFormat="false" ht="15" hidden="false" customHeight="false" outlineLevel="0" collapsed="false">
      <c r="B201" s="37" t="n">
        <v>10</v>
      </c>
      <c r="C201" s="38" t="n">
        <f aca="false">'Inputs &amp; Assumptions'!$C$149</f>
        <v>9</v>
      </c>
      <c r="D201" s="38" t="n">
        <f aca="false">'Inputs &amp; Assumptions'!$D$149</f>
        <v>3</v>
      </c>
      <c r="E201" s="39" t="n">
        <f aca="false">IF(1&gt;'Inputs &amp; Assumptions'!$E$149,0,IF(1='Inputs &amp; Assumptions'!$E$149,E179-E190,IF(('Inputs &amp; Assumptions'!$C$149+1)&gt;'Inputs &amp; Assumptions'!$C$11,'Inputs &amp; Assumptions'!$C$12*(E179-E190),0)))</f>
        <v>1527365.80646066</v>
      </c>
      <c r="F201" s="39" t="n">
        <f aca="false">IF(2&gt;'Inputs &amp; Assumptions'!$E$149,0,IF(2='Inputs &amp; Assumptions'!$E$149,F179-F190,IF(('Inputs &amp; Assumptions'!$C$149+2)&gt;'Inputs &amp; Assumptions'!$C$11,'Inputs &amp; Assumptions'!$C$12*(F179-F190),0)))</f>
        <v>1433750.69717668</v>
      </c>
      <c r="G201" s="39" t="n">
        <f aca="false">IF(3&gt;'Inputs &amp; Assumptions'!$E$149,0,IF(3='Inputs &amp; Assumptions'!$E$149,G179-G190,IF(('Inputs &amp; Assumptions'!$C$149+3)&gt;'Inputs &amp; Assumptions'!$C$11,'Inputs &amp; Assumptions'!$C$12*(G179-G190),0)))</f>
        <v>1345873.43317454</v>
      </c>
      <c r="H201" s="39" t="n">
        <f aca="false">IF(4&gt;'Inputs &amp; Assumptions'!$E$149,0,IF(4='Inputs &amp; Assumptions'!$E$149,H179-H190,IF(('Inputs &amp; Assumptions'!$C$149+4)&gt;'Inputs &amp; Assumptions'!$C$11,'Inputs &amp; Assumptions'!$C$12*(H179-H190),0)))</f>
        <v>1266418.92374986</v>
      </c>
      <c r="I201" s="39" t="n">
        <f aca="false">IF(5&gt;'Inputs &amp; Assumptions'!$E$149,0,IF(5='Inputs &amp; Assumptions'!$E$149,I179-I190,IF(('Inputs &amp; Assumptions'!$C$149+5)&gt;'Inputs &amp; Assumptions'!$C$11,'Inputs &amp; Assumptions'!$C$12*(I179-I190),0)))</f>
        <v>1191655.06272667</v>
      </c>
      <c r="J201" s="39" t="n">
        <f aca="false">IF(6&gt;'Inputs &amp; Assumptions'!$E$149,0,IF(6='Inputs &amp; Assumptions'!$E$149,J179-J190,IF(('Inputs &amp; Assumptions'!$C$149+6)&gt;'Inputs &amp; Assumptions'!$C$11,'Inputs &amp; Assumptions'!$C$12*(J179-J190),0)))</f>
        <v>1121304.93463993</v>
      </c>
      <c r="K201" s="39" t="n">
        <f aca="false">IF(7&gt;'Inputs &amp; Assumptions'!$E$149,0,IF(7='Inputs &amp; Assumptions'!$E$149,K179-K190,IF(('Inputs &amp; Assumptions'!$C$149+7)&gt;'Inputs &amp; Assumptions'!$C$11,'Inputs &amp; Assumptions'!$C$12*(K179-K190),0)))</f>
        <v>1055107.97190834</v>
      </c>
      <c r="L201" s="39" t="n">
        <f aca="false">IF(8&gt;'Inputs &amp; Assumptions'!$E$149,0,IF(8='Inputs &amp; Assumptions'!$E$149,L179-L190,IF(('Inputs &amp; Assumptions'!$C$149+8)&gt;'Inputs &amp; Assumptions'!$C$11,'Inputs &amp; Assumptions'!$C$12*(L179-L190),0)))</f>
        <v>994917.641679784</v>
      </c>
      <c r="M201" s="39" t="n">
        <f aca="false">IF(9&gt;'Inputs &amp; Assumptions'!$E$149,0,IF(9='Inputs &amp; Assumptions'!$E$149,M179-M190,IF(('Inputs &amp; Assumptions'!$C$149+9)&gt;'Inputs &amp; Assumptions'!$C$11,'Inputs &amp; Assumptions'!$C$12*(M179-M190),0)))</f>
        <v>938160.965588508</v>
      </c>
      <c r="N201" s="39" t="n">
        <f aca="false">IF(10&gt;'Inputs &amp; Assumptions'!$E$149,0,IF(10='Inputs &amp; Assumptions'!$E$149,N179-N190,IF(('Inputs &amp; Assumptions'!$C$149+10)&gt;'Inputs &amp; Assumptions'!$C$11,'Inputs &amp; Assumptions'!$C$12*(N179-N190),0)))</f>
        <v>884642.065315028</v>
      </c>
      <c r="O201" s="39" t="n">
        <f aca="false">IF(11&gt;'Inputs &amp; Assumptions'!$E$149,0,IF(11='Inputs &amp; Assumptions'!$E$149,O179-O190,IF(('Inputs &amp; Assumptions'!$C$149+11)&gt;'Inputs &amp; Assumptions'!$C$11,'Inputs &amp; Assumptions'!$C$12*(O179-O190),0)))</f>
        <v>834176.236733448</v>
      </c>
      <c r="P201" s="39" t="n">
        <f aca="false">IF(12&gt;'Inputs &amp; Assumptions'!$E$149,0,IF(12='Inputs &amp; Assumptions'!$E$149,P179-P190,IF(('Inputs &amp; Assumptions'!$C$149+12)&gt;'Inputs &amp; Assumptions'!$C$11,'Inputs &amp; Assumptions'!$C$12*(P179-P190),0)))</f>
        <v>787703.707168065</v>
      </c>
      <c r="Q201" s="39" t="n">
        <f aca="false">IF(13&gt;'Inputs &amp; Assumptions'!$E$149,0,IF(13='Inputs &amp; Assumptions'!$E$149,Q179-Q190,IF(('Inputs &amp; Assumptions'!$C$149+13)&gt;'Inputs &amp; Assumptions'!$C$11,'Inputs &amp; Assumptions'!$C$12*(Q179-Q190),0)))</f>
        <v>743820.194058801</v>
      </c>
      <c r="R201" s="39" t="n">
        <f aca="false">IF(14&gt;'Inputs &amp; Assumptions'!$E$149,0,IF(14='Inputs &amp; Assumptions'!$E$149,R179-R190,IF(('Inputs &amp; Assumptions'!$C$149+14)&gt;'Inputs &amp; Assumptions'!$C$11,'Inputs &amp; Assumptions'!$C$12*(R179-R190),0)))</f>
        <v>702381.461525388</v>
      </c>
      <c r="S201" s="39" t="n">
        <f aca="false">IF(15&gt;'Inputs &amp; Assumptions'!$E$149,0,IF(15='Inputs &amp; Assumptions'!$E$149,S179-S190,IF(('Inputs &amp; Assumptions'!$C$149+15)&gt;'Inputs &amp; Assumptions'!$C$11,'Inputs &amp; Assumptions'!$C$12*(S179-S190),0)))</f>
        <v>663251.309167253</v>
      </c>
      <c r="T201" s="39" t="n">
        <f aca="false">IF(16&gt;'Inputs &amp; Assumptions'!$E$149,0,IF(16='Inputs &amp; Assumptions'!$E$149,T179-T190,IF(('Inputs &amp; Assumptions'!$C$149+16)&gt;'Inputs &amp; Assumptions'!$C$11,'Inputs &amp; Assumptions'!$C$12*(T179-T190),0)))</f>
        <v>627108.416469485</v>
      </c>
      <c r="U201" s="39" t="n">
        <f aca="false">IF(17&gt;'Inputs &amp; Assumptions'!$E$149,0,IF(17='Inputs &amp; Assumptions'!$E$149,U179-U190,IF(('Inputs &amp; Assumptions'!$C$149+17)&gt;'Inputs &amp; Assumptions'!$C$11,'Inputs &amp; Assumptions'!$C$12*(U179-U190),0)))</f>
        <v>592935.076902645</v>
      </c>
      <c r="V201" s="39" t="n">
        <f aca="false">IF(18&gt;'Inputs &amp; Assumptions'!$E$149,0,IF(18='Inputs &amp; Assumptions'!$E$149,V179-V190,IF(('Inputs &amp; Assumptions'!$C$149+18)&gt;'Inputs &amp; Assumptions'!$C$11,'Inputs &amp; Assumptions'!$C$12*(V179-V190),0)))</f>
        <v>560623.962600975</v>
      </c>
      <c r="W201" s="39" t="n">
        <f aca="false">IF(19&gt;'Inputs &amp; Assumptions'!$E$149,0,IF(19='Inputs &amp; Assumptions'!$E$149,W179-W190,IF(('Inputs &amp; Assumptions'!$C$149+19)&gt;'Inputs &amp; Assumptions'!$C$11,'Inputs &amp; Assumptions'!$C$12*(W179-W190),0)))</f>
        <v>17669119.8123661</v>
      </c>
      <c r="X201" s="39" t="n">
        <f aca="false">IF(20&gt;'Inputs &amp; Assumptions'!$E$149,0,IF(20='Inputs &amp; Assumptions'!$E$149,X179-X190,IF(('Inputs &amp; Assumptions'!$C$149+20)&gt;'Inputs &amp; Assumptions'!$C$11,'Inputs &amp; Assumptions'!$C$12*(X179-X190),0)))</f>
        <v>0</v>
      </c>
      <c r="Y201" s="39" t="n">
        <f aca="false">IF(21&gt;'Inputs &amp; Assumptions'!$E$149,0,IF(21='Inputs &amp; Assumptions'!$E$149,Y179-Y190,IF(('Inputs &amp; Assumptions'!$C$149+21)&gt;'Inputs &amp; Assumptions'!$C$11,'Inputs &amp; Assumptions'!$C$12*(Y179-Y190),0)))</f>
        <v>0</v>
      </c>
      <c r="Z201" s="39" t="n">
        <f aca="false">IF(22&gt;'Inputs &amp; Assumptions'!$E$149,0,IF(22='Inputs &amp; Assumptions'!$E$149,Z179-Z190,IF(('Inputs &amp; Assumptions'!$C$149+22)&gt;'Inputs &amp; Assumptions'!$C$11,'Inputs &amp; Assumptions'!$C$12*(Z179-Z190),0)))</f>
        <v>0</v>
      </c>
      <c r="AA201" s="39" t="n">
        <f aca="false">IF(23&gt;'Inputs &amp; Assumptions'!$E$149,0,IF(23='Inputs &amp; Assumptions'!$E$149,AA179-AA190,IF(('Inputs &amp; Assumptions'!$C$149+23)&gt;'Inputs &amp; Assumptions'!$C$11,'Inputs &amp; Assumptions'!$C$12*(AA179-AA190),0)))</f>
        <v>0</v>
      </c>
      <c r="AB201" s="39" t="n">
        <f aca="false">IF(24&gt;'Inputs &amp; Assumptions'!$E$149,0,IF(24='Inputs &amp; Assumptions'!$E$149,AB179-AB190,IF(('Inputs &amp; Assumptions'!$C$149+24)&gt;'Inputs &amp; Assumptions'!$C$11,'Inputs &amp; Assumptions'!$C$12*(AB179-AB190),0)))</f>
        <v>0</v>
      </c>
      <c r="AC201" s="39" t="n">
        <f aca="false">IF(25&gt;'Inputs &amp; Assumptions'!$E$149,0,IF(25='Inputs &amp; Assumptions'!$E$149,AC179-AC190,IF(('Inputs &amp; Assumptions'!$C$149+25)&gt;'Inputs &amp; Assumptions'!$C$11,'Inputs &amp; Assumptions'!$C$12*(AC179-AC190),0)))</f>
        <v>0</v>
      </c>
      <c r="AD201" s="39" t="n">
        <f aca="false">IF(26&gt;'Inputs &amp; Assumptions'!$E$149,0,IF(26='Inputs &amp; Assumptions'!$E$149,AD179-AD190,IF(('Inputs &amp; Assumptions'!$C$149+26)&gt;'Inputs &amp; Assumptions'!$C$11,'Inputs &amp; Assumptions'!$C$12*(AD179-AD190),0)))</f>
        <v>0</v>
      </c>
      <c r="AE201" s="39" t="n">
        <f aca="false">IF(27&gt;'Inputs &amp; Assumptions'!$E$149,0,IF(27='Inputs &amp; Assumptions'!$E$149,AE179-AE190,IF(('Inputs &amp; Assumptions'!$C$149+27)&gt;'Inputs &amp; Assumptions'!$C$11,'Inputs &amp; Assumptions'!$C$12*(AE179-AE190),0)))</f>
        <v>0</v>
      </c>
      <c r="AF201" s="39" t="n">
        <f aca="false">IF(28&gt;'Inputs &amp; Assumptions'!$E$149,0,IF(28='Inputs &amp; Assumptions'!$E$149,AF179-AF190,IF(('Inputs &amp; Assumptions'!$C$149+28)&gt;'Inputs &amp; Assumptions'!$C$11,'Inputs &amp; Assumptions'!$C$12*(AF179-AF190),0)))</f>
        <v>0</v>
      </c>
      <c r="AG201" s="39" t="n">
        <f aca="false">IF(29&gt;'Inputs &amp; Assumptions'!$E$149,0,IF(29='Inputs &amp; Assumptions'!$E$149,AG179-AG190,IF(('Inputs &amp; Assumptions'!$C$149+29)&gt;'Inputs &amp; Assumptions'!$C$11,'Inputs &amp; Assumptions'!$C$12*(AG179-AG190),0)))</f>
        <v>0</v>
      </c>
      <c r="AH201" s="39" t="n">
        <f aca="false">IF(30&gt;'Inputs &amp; Assumptions'!$E$149,0,IF(30='Inputs &amp; Assumptions'!$E$149,AH179-AH190,IF(('Inputs &amp; Assumptions'!$C$149+30)&gt;'Inputs &amp; Assumptions'!$C$11,'Inputs &amp; Assumptions'!$C$12*(AH179-AH190),0)))</f>
        <v>0</v>
      </c>
      <c r="AI201" s="39" t="n">
        <f aca="false">IF(31&gt;'Inputs &amp; Assumptions'!$E$149,0,IF(31='Inputs &amp; Assumptions'!$E$149,AI179-AI190,IF(('Inputs &amp; Assumptions'!$C$149+31)&gt;'Inputs &amp; Assumptions'!$C$11,'Inputs &amp; Assumptions'!$C$12*(AI179-AI190),0)))</f>
        <v>0</v>
      </c>
      <c r="AJ201" s="39" t="n">
        <f aca="false">IF(32&gt;'Inputs &amp; Assumptions'!$E$149,0,IF(32='Inputs &amp; Assumptions'!$E$149,AJ179-AJ190,IF(('Inputs &amp; Assumptions'!$C$149+32)&gt;'Inputs &amp; Assumptions'!$C$11,'Inputs &amp; Assumptions'!$C$12*(AJ179-AJ190),0)))</f>
        <v>0</v>
      </c>
      <c r="AK201" s="39" t="n">
        <f aca="false">IF(33&gt;'Inputs &amp; Assumptions'!$E$149,0,IF(33='Inputs &amp; Assumptions'!$E$149,AK179-AK190,IF(('Inputs &amp; Assumptions'!$C$149+33)&gt;'Inputs &amp; Assumptions'!$C$11,'Inputs &amp; Assumptions'!$C$12*(AK179-AK190),0)))</f>
        <v>0</v>
      </c>
      <c r="AL201" s="39" t="n">
        <f aca="false">IF(34&gt;'Inputs &amp; Assumptions'!$E$149,0,IF(34='Inputs &amp; Assumptions'!$E$149,AL179-AL190,IF(('Inputs &amp; Assumptions'!$C$149+34)&gt;'Inputs &amp; Assumptions'!$C$11,'Inputs &amp; Assumptions'!$C$12*(AL179-AL190),0)))</f>
        <v>0</v>
      </c>
      <c r="AM201" s="39" t="n">
        <f aca="false">IF(35&gt;'Inputs &amp; Assumptions'!$E$149,0,IF(35='Inputs &amp; Assumptions'!$E$149,AM179-AM190,IF(('Inputs &amp; Assumptions'!$C$149+35)&gt;'Inputs &amp; Assumptions'!$C$11,'Inputs &amp; Assumptions'!$C$12*(AM179-AM190),0)))</f>
        <v>0</v>
      </c>
      <c r="AN201" s="39" t="n">
        <f aca="false">IF(36&gt;'Inputs &amp; Assumptions'!$E$149,0,IF(36='Inputs &amp; Assumptions'!$E$149,AN179-AN190,IF(('Inputs &amp; Assumptions'!$C$149+36)&gt;'Inputs &amp; Assumptions'!$C$11,'Inputs &amp; Assumptions'!$C$12*(AN179-AN190),0)))</f>
        <v>0</v>
      </c>
    </row>
    <row r="202" customFormat="false" ht="15" hidden="false" customHeight="false" outlineLevel="0" collapsed="false">
      <c r="B202" s="37" t="n">
        <v>11</v>
      </c>
      <c r="C202" s="38" t="n">
        <f aca="false">'Inputs &amp; Assumptions'!$C$150</f>
        <v>10</v>
      </c>
      <c r="D202" s="38" t="n">
        <f aca="false">'Inputs &amp; Assumptions'!$D$150</f>
        <v>2</v>
      </c>
      <c r="E202" s="39" t="n">
        <f aca="false">IF(1&gt;'Inputs &amp; Assumptions'!$E$150,0,IF(1='Inputs &amp; Assumptions'!$E$150,E180-E191,IF(('Inputs &amp; Assumptions'!$C$150+1)&gt;'Inputs &amp; Assumptions'!$C$11,'Inputs &amp; Assumptions'!$C$12*(E180-E191),0)))</f>
        <v>987696.554844562</v>
      </c>
      <c r="F202" s="39" t="n">
        <f aca="false">IF(2&gt;'Inputs &amp; Assumptions'!$E$150,0,IF(2='Inputs &amp; Assumptions'!$E$150,F180-F191,IF(('Inputs &amp; Assumptions'!$C$150+2)&gt;'Inputs &amp; Assumptions'!$C$11,'Inputs &amp; Assumptions'!$C$12*(F180-F191),0)))</f>
        <v>927158.784174252</v>
      </c>
      <c r="G202" s="39" t="n">
        <f aca="false">IF(3&gt;'Inputs &amp; Assumptions'!$E$150,0,IF(3='Inputs &amp; Assumptions'!$E$150,G180-G191,IF(('Inputs &amp; Assumptions'!$C$150+3)&gt;'Inputs &amp; Assumptions'!$C$11,'Inputs &amp; Assumptions'!$C$12*(G180-G191),0)))</f>
        <v>872423.365122563</v>
      </c>
      <c r="H202" s="39" t="n">
        <f aca="false">IF(4&gt;'Inputs &amp; Assumptions'!$E$150,0,IF(4='Inputs &amp; Assumptions'!$E$150,H180-H191,IF(('Inputs &amp; Assumptions'!$C$150+4)&gt;'Inputs &amp; Assumptions'!$C$11,'Inputs &amp; Assumptions'!$C$12*(H180-H191),0)))</f>
        <v>820919.286969438</v>
      </c>
      <c r="I202" s="39" t="n">
        <f aca="false">IF(5&gt;'Inputs &amp; Assumptions'!$E$150,0,IF(5='Inputs &amp; Assumptions'!$E$150,I180-I191,IF(('Inputs &amp; Assumptions'!$C$150+5)&gt;'Inputs &amp; Assumptions'!$C$11,'Inputs &amp; Assumptions'!$C$12*(I180-I191),0)))</f>
        <v>772455.785413009</v>
      </c>
      <c r="J202" s="39" t="n">
        <f aca="false">IF(6&gt;'Inputs &amp; Assumptions'!$E$150,0,IF(6='Inputs &amp; Assumptions'!$E$150,J180-J191,IF(('Inputs &amp; Assumptions'!$C$150+6)&gt;'Inputs &amp; Assumptions'!$C$11,'Inputs &amp; Assumptions'!$C$12*(J180-J191),0)))</f>
        <v>726853.35804547</v>
      </c>
      <c r="K202" s="39" t="n">
        <f aca="false">IF(7&gt;'Inputs &amp; Assumptions'!$E$150,0,IF(7='Inputs &amp; Assumptions'!$E$150,K180-K191,IF(('Inputs &amp; Assumptions'!$C$150+7)&gt;'Inputs &amp; Assumptions'!$C$11,'Inputs &amp; Assumptions'!$C$12*(K180-K191),0)))</f>
        <v>685388.839898228</v>
      </c>
      <c r="L202" s="39" t="n">
        <f aca="false">IF(8&gt;'Inputs &amp; Assumptions'!$E$150,0,IF(8='Inputs &amp; Assumptions'!$E$150,L180-L191,IF(('Inputs &amp; Assumptions'!$C$150+8)&gt;'Inputs &amp; Assumptions'!$C$11,'Inputs &amp; Assumptions'!$C$12*(L180-L191),0)))</f>
        <v>646289.731838388</v>
      </c>
      <c r="M202" s="39" t="n">
        <f aca="false">IF(9&gt;'Inputs &amp; Assumptions'!$E$150,0,IF(9='Inputs &amp; Assumptions'!$E$150,M180-M191,IF(('Inputs &amp; Assumptions'!$C$150+9)&gt;'Inputs &amp; Assumptions'!$C$11,'Inputs &amp; Assumptions'!$C$12*(M180-M191),0)))</f>
        <v>609421.095245375</v>
      </c>
      <c r="N202" s="39" t="n">
        <f aca="false">IF(10&gt;'Inputs &amp; Assumptions'!$E$150,0,IF(10='Inputs &amp; Assumptions'!$E$150,N180-N191,IF(('Inputs &amp; Assumptions'!$C$150+10)&gt;'Inputs &amp; Assumptions'!$C$11,'Inputs &amp; Assumptions'!$C$12*(N180-N191),0)))</f>
        <v>574655.689289125</v>
      </c>
      <c r="O202" s="39" t="n">
        <f aca="false">IF(11&gt;'Inputs &amp; Assumptions'!$E$150,0,IF(11='Inputs &amp; Assumptions'!$E$150,O180-O191,IF(('Inputs &amp; Assumptions'!$C$150+11)&gt;'Inputs &amp; Assumptions'!$C$11,'Inputs &amp; Assumptions'!$C$12*(O180-O191),0)))</f>
        <v>542641.227195382</v>
      </c>
      <c r="P202" s="39" t="n">
        <f aca="false">IF(12&gt;'Inputs &amp; Assumptions'!$E$150,0,IF(12='Inputs &amp; Assumptions'!$E$150,P180-P191,IF(('Inputs &amp; Assumptions'!$C$150+12)&gt;'Inputs &amp; Assumptions'!$C$11,'Inputs &amp; Assumptions'!$C$12*(P180-P191),0)))</f>
        <v>512410.312715028</v>
      </c>
      <c r="Q202" s="39" t="n">
        <f aca="false">IF(13&gt;'Inputs &amp; Assumptions'!$E$150,0,IF(13='Inputs &amp; Assumptions'!$E$150,Q180-Q191,IF(('Inputs &amp; Assumptions'!$C$150+13)&gt;'Inputs &amp; Assumptions'!$C$11,'Inputs &amp; Assumptions'!$C$12*(Q180-Q191),0)))</f>
        <v>483863.583188776</v>
      </c>
      <c r="R202" s="39" t="n">
        <f aca="false">IF(14&gt;'Inputs &amp; Assumptions'!$E$150,0,IF(14='Inputs &amp; Assumptions'!$E$150,R180-R191,IF(('Inputs &amp; Assumptions'!$C$150+14)&gt;'Inputs &amp; Assumptions'!$C$11,'Inputs &amp; Assumptions'!$C$12*(R180-R191),0)))</f>
        <v>456907.211519156</v>
      </c>
      <c r="S202" s="39" t="n">
        <f aca="false">IF(15&gt;'Inputs &amp; Assumptions'!$E$150,0,IF(15='Inputs &amp; Assumptions'!$E$150,S180-S191,IF(('Inputs &amp; Assumptions'!$C$150+15)&gt;'Inputs &amp; Assumptions'!$C$11,'Inputs &amp; Assumptions'!$C$12*(S180-S191),0)))</f>
        <v>432008.733234194</v>
      </c>
      <c r="T202" s="39" t="n">
        <f aca="false">IF(16&gt;'Inputs &amp; Assumptions'!$E$150,0,IF(16='Inputs &amp; Assumptions'!$E$150,T180-T191,IF(('Inputs &amp; Assumptions'!$C$150+16)&gt;'Inputs &amp; Assumptions'!$C$11,'Inputs &amp; Assumptions'!$C$12*(T180-T191),0)))</f>
        <v>408467.060456515</v>
      </c>
      <c r="U202" s="39" t="n">
        <f aca="false">IF(17&gt;'Inputs &amp; Assumptions'!$E$150,0,IF(17='Inputs &amp; Assumptions'!$E$150,U180-U191,IF(('Inputs &amp; Assumptions'!$C$150+17)&gt;'Inputs &amp; Assumptions'!$C$11,'Inputs &amp; Assumptions'!$C$12*(U180-U191),0)))</f>
        <v>386208.256089904</v>
      </c>
      <c r="V202" s="39" t="n">
        <f aca="false">IF(18&gt;'Inputs &amp; Assumptions'!$E$150,0,IF(18='Inputs &amp; Assumptions'!$E$150,V180-V191,IF(('Inputs &amp; Assumptions'!$C$150+18)&gt;'Inputs &amp; Assumptions'!$C$11,'Inputs &amp; Assumptions'!$C$12*(V180-V191),0)))</f>
        <v>12172080.4043377</v>
      </c>
      <c r="W202" s="39" t="n">
        <f aca="false">IF(19&gt;'Inputs &amp; Assumptions'!$E$150,0,IF(19='Inputs &amp; Assumptions'!$E$150,W180-W191,IF(('Inputs &amp; Assumptions'!$C$150+19)&gt;'Inputs &amp; Assumptions'!$C$11,'Inputs &amp; Assumptions'!$C$12*(W180-W191),0)))</f>
        <v>0</v>
      </c>
      <c r="X202" s="39" t="n">
        <f aca="false">IF(20&gt;'Inputs &amp; Assumptions'!$E$150,0,IF(20='Inputs &amp; Assumptions'!$E$150,X180-X191,IF(('Inputs &amp; Assumptions'!$C$150+20)&gt;'Inputs &amp; Assumptions'!$C$11,'Inputs &amp; Assumptions'!$C$12*(X180-X191),0)))</f>
        <v>0</v>
      </c>
      <c r="Y202" s="39" t="n">
        <f aca="false">IF(21&gt;'Inputs &amp; Assumptions'!$E$150,0,IF(21='Inputs &amp; Assumptions'!$E$150,Y180-Y191,IF(('Inputs &amp; Assumptions'!$C$150+21)&gt;'Inputs &amp; Assumptions'!$C$11,'Inputs &amp; Assumptions'!$C$12*(Y180-Y191),0)))</f>
        <v>0</v>
      </c>
      <c r="Z202" s="39" t="n">
        <f aca="false">IF(22&gt;'Inputs &amp; Assumptions'!$E$150,0,IF(22='Inputs &amp; Assumptions'!$E$150,Z180-Z191,IF(('Inputs &amp; Assumptions'!$C$150+22)&gt;'Inputs &amp; Assumptions'!$C$11,'Inputs &amp; Assumptions'!$C$12*(Z180-Z191),0)))</f>
        <v>0</v>
      </c>
      <c r="AA202" s="39" t="n">
        <f aca="false">IF(23&gt;'Inputs &amp; Assumptions'!$E$150,0,IF(23='Inputs &amp; Assumptions'!$E$150,AA180-AA191,IF(('Inputs &amp; Assumptions'!$C$150+23)&gt;'Inputs &amp; Assumptions'!$C$11,'Inputs &amp; Assumptions'!$C$12*(AA180-AA191),0)))</f>
        <v>0</v>
      </c>
      <c r="AB202" s="39" t="n">
        <f aca="false">IF(24&gt;'Inputs &amp; Assumptions'!$E$150,0,IF(24='Inputs &amp; Assumptions'!$E$150,AB180-AB191,IF(('Inputs &amp; Assumptions'!$C$150+24)&gt;'Inputs &amp; Assumptions'!$C$11,'Inputs &amp; Assumptions'!$C$12*(AB180-AB191),0)))</f>
        <v>0</v>
      </c>
      <c r="AC202" s="39" t="n">
        <f aca="false">IF(25&gt;'Inputs &amp; Assumptions'!$E$150,0,IF(25='Inputs &amp; Assumptions'!$E$150,AC180-AC191,IF(('Inputs &amp; Assumptions'!$C$150+25)&gt;'Inputs &amp; Assumptions'!$C$11,'Inputs &amp; Assumptions'!$C$12*(AC180-AC191),0)))</f>
        <v>0</v>
      </c>
      <c r="AD202" s="39" t="n">
        <f aca="false">IF(26&gt;'Inputs &amp; Assumptions'!$E$150,0,IF(26='Inputs &amp; Assumptions'!$E$150,AD180-AD191,IF(('Inputs &amp; Assumptions'!$C$150+26)&gt;'Inputs &amp; Assumptions'!$C$11,'Inputs &amp; Assumptions'!$C$12*(AD180-AD191),0)))</f>
        <v>0</v>
      </c>
      <c r="AE202" s="39" t="n">
        <f aca="false">IF(27&gt;'Inputs &amp; Assumptions'!$E$150,0,IF(27='Inputs &amp; Assumptions'!$E$150,AE180-AE191,IF(('Inputs &amp; Assumptions'!$C$150+27)&gt;'Inputs &amp; Assumptions'!$C$11,'Inputs &amp; Assumptions'!$C$12*(AE180-AE191),0)))</f>
        <v>0</v>
      </c>
      <c r="AF202" s="39" t="n">
        <f aca="false">IF(28&gt;'Inputs &amp; Assumptions'!$E$150,0,IF(28='Inputs &amp; Assumptions'!$E$150,AF180-AF191,IF(('Inputs &amp; Assumptions'!$C$150+28)&gt;'Inputs &amp; Assumptions'!$C$11,'Inputs &amp; Assumptions'!$C$12*(AF180-AF191),0)))</f>
        <v>0</v>
      </c>
      <c r="AG202" s="39" t="n">
        <f aca="false">IF(29&gt;'Inputs &amp; Assumptions'!$E$150,0,IF(29='Inputs &amp; Assumptions'!$E$150,AG180-AG191,IF(('Inputs &amp; Assumptions'!$C$150+29)&gt;'Inputs &amp; Assumptions'!$C$11,'Inputs &amp; Assumptions'!$C$12*(AG180-AG191),0)))</f>
        <v>0</v>
      </c>
      <c r="AH202" s="39" t="n">
        <f aca="false">IF(30&gt;'Inputs &amp; Assumptions'!$E$150,0,IF(30='Inputs &amp; Assumptions'!$E$150,AH180-AH191,IF(('Inputs &amp; Assumptions'!$C$150+30)&gt;'Inputs &amp; Assumptions'!$C$11,'Inputs &amp; Assumptions'!$C$12*(AH180-AH191),0)))</f>
        <v>0</v>
      </c>
      <c r="AI202" s="39" t="n">
        <f aca="false">IF(31&gt;'Inputs &amp; Assumptions'!$E$150,0,IF(31='Inputs &amp; Assumptions'!$E$150,AI180-AI191,IF(('Inputs &amp; Assumptions'!$C$150+31)&gt;'Inputs &amp; Assumptions'!$C$11,'Inputs &amp; Assumptions'!$C$12*(AI180-AI191),0)))</f>
        <v>0</v>
      </c>
      <c r="AJ202" s="39" t="n">
        <f aca="false">IF(32&gt;'Inputs &amp; Assumptions'!$E$150,0,IF(32='Inputs &amp; Assumptions'!$E$150,AJ180-AJ191,IF(('Inputs &amp; Assumptions'!$C$150+32)&gt;'Inputs &amp; Assumptions'!$C$11,'Inputs &amp; Assumptions'!$C$12*(AJ180-AJ191),0)))</f>
        <v>0</v>
      </c>
      <c r="AK202" s="39" t="n">
        <f aca="false">IF(33&gt;'Inputs &amp; Assumptions'!$E$150,0,IF(33='Inputs &amp; Assumptions'!$E$150,AK180-AK191,IF(('Inputs &amp; Assumptions'!$C$150+33)&gt;'Inputs &amp; Assumptions'!$C$11,'Inputs &amp; Assumptions'!$C$12*(AK180-AK191),0)))</f>
        <v>0</v>
      </c>
      <c r="AL202" s="39" t="n">
        <f aca="false">IF(34&gt;'Inputs &amp; Assumptions'!$E$150,0,IF(34='Inputs &amp; Assumptions'!$E$150,AL180-AL191,IF(('Inputs &amp; Assumptions'!$C$150+34)&gt;'Inputs &amp; Assumptions'!$C$11,'Inputs &amp; Assumptions'!$C$12*(AL180-AL191),0)))</f>
        <v>0</v>
      </c>
      <c r="AM202" s="39" t="n">
        <f aca="false">IF(35&gt;'Inputs &amp; Assumptions'!$E$150,0,IF(35='Inputs &amp; Assumptions'!$E$150,AM180-AM191,IF(('Inputs &amp; Assumptions'!$C$150+35)&gt;'Inputs &amp; Assumptions'!$C$11,'Inputs &amp; Assumptions'!$C$12*(AM180-AM191),0)))</f>
        <v>0</v>
      </c>
      <c r="AN202" s="39" t="n">
        <f aca="false">IF(36&gt;'Inputs &amp; Assumptions'!$E$150,0,IF(36='Inputs &amp; Assumptions'!$E$150,AN180-AN191,IF(('Inputs &amp; Assumptions'!$C$150+36)&gt;'Inputs &amp; Assumptions'!$C$11,'Inputs &amp; Assumptions'!$C$12*(AN180-AN191),0)))</f>
        <v>0</v>
      </c>
    </row>
    <row r="203" customFormat="false" ht="15" hidden="false" customHeight="false" outlineLevel="0" collapsed="false">
      <c r="A203" s="14" t="s">
        <v>129</v>
      </c>
      <c r="B203" s="37" t="n">
        <v>1</v>
      </c>
      <c r="C203" s="38" t="n">
        <f aca="false">'Inputs &amp; Assumptions'!$C$140</f>
        <v>0</v>
      </c>
      <c r="D203" s="38" t="n">
        <f aca="false">'Inputs &amp; Assumptions'!$D$140</f>
        <v>1</v>
      </c>
      <c r="E203" s="39" t="n">
        <f aca="false">IF(1&gt;='Inputs &amp; Assumptions'!$E$140,0,'Inputs &amp; Assumptions'!$G$59*MAX(E170-E181-E192,0))</f>
        <v>408492.632604256</v>
      </c>
      <c r="F203" s="39" t="n">
        <f aca="false">IF(2&gt;='Inputs &amp; Assumptions'!$E$140,0,'Inputs &amp; Assumptions'!$G$59*MAX(F170-F181-F192,0))</f>
        <v>396089.925523153</v>
      </c>
      <c r="G203" s="39" t="n">
        <f aca="false">IF(3&gt;='Inputs &amp; Assumptions'!$E$140,0,'Inputs &amp; Assumptions'!$G$59*MAX(G170-G181-G192,0))</f>
        <v>384063.791067018</v>
      </c>
      <c r="H203" s="39" t="n">
        <f aca="false">IF(4&gt;='Inputs &amp; Assumptions'!$E$140,0,'Inputs &amp; Assumptions'!$G$59*MAX(H170-H181-H192,0))</f>
        <v>372402.795688243</v>
      </c>
      <c r="I203" s="39" t="n">
        <f aca="false">IF(5&gt;='Inputs &amp; Assumptions'!$E$140,0,'Inputs &amp; Assumptions'!$G$59*MAX(I170-I181-I192,0))</f>
        <v>349046.863277658</v>
      </c>
      <c r="J203" s="39" t="n">
        <f aca="false">IF(6&gt;='Inputs &amp; Assumptions'!$E$140,0,'Inputs &amp; Assumptions'!$G$59*MAX(J170-J181-J192,0))</f>
        <v>327155.741510504</v>
      </c>
      <c r="K203" s="39" t="n">
        <f aca="false">IF(7&gt;='Inputs &amp; Assumptions'!$E$140,0,'Inputs &amp; Assumptions'!$G$59*MAX(K170-K181-K192,0))</f>
        <v>306637.562068986</v>
      </c>
      <c r="L203" s="39" t="n">
        <f aca="false">IF(8&gt;='Inputs &amp; Assumptions'!$E$140,0,'Inputs &amp; Assumptions'!$G$59*MAX(L170-L181-L192,0))</f>
        <v>287406.218327342</v>
      </c>
      <c r="M203" s="39" t="n">
        <f aca="false">IF(9&gt;='Inputs &amp; Assumptions'!$E$140,0,'Inputs &amp; Assumptions'!$G$59*MAX(M170-M181-M192,0))</f>
        <v>269790.553223539</v>
      </c>
      <c r="N203" s="39" t="n">
        <f aca="false">IF(10&gt;='Inputs &amp; Assumptions'!$E$140,0,'Inputs &amp; Assumptions'!$G$59*MAX(N170-N181-N192,0))</f>
        <v>253254.585207904</v>
      </c>
      <c r="O203" s="39" t="n">
        <f aca="false">IF(11&gt;='Inputs &amp; Assumptions'!$E$140,0,'Inputs &amp; Assumptions'!$G$59*MAX(O170-O181-O192,0))</f>
        <v>237732.137624867</v>
      </c>
      <c r="P203" s="39" t="n">
        <f aca="false">IF(12&gt;='Inputs &amp; Assumptions'!$E$140,0,'Inputs &amp; Assumptions'!$G$59*MAX(P170-P181-P192,0))</f>
        <v>223161.089909953</v>
      </c>
      <c r="Q203" s="39" t="n">
        <f aca="false">IF(13&gt;='Inputs &amp; Assumptions'!$E$140,0,'Inputs &amp; Assumptions'!$G$59*MAX(Q170-Q181-Q192,0))</f>
        <v>209986.630496152</v>
      </c>
      <c r="R203" s="39" t="n">
        <f aca="false">IF(14&gt;='Inputs &amp; Assumptions'!$E$140,0,'Inputs &amp; Assumptions'!$G$59*MAX(R170-R181-R192,0))</f>
        <v>197589.933822782</v>
      </c>
      <c r="S203" s="39" t="n">
        <f aca="false">IF(15&gt;='Inputs &amp; Assumptions'!$E$140,0,'Inputs &amp; Assumptions'!$G$59*MAX(S170-S181-S192,0))</f>
        <v>185925.08416295</v>
      </c>
      <c r="T203" s="39" t="n">
        <f aca="false">IF(16&gt;='Inputs &amp; Assumptions'!$E$140,0,'Inputs &amp; Assumptions'!$G$59*MAX(T170-T181-T192,0))</f>
        <v>174948.876454425</v>
      </c>
      <c r="U203" s="39" t="n">
        <f aca="false">IF(17&gt;='Inputs &amp; Assumptions'!$E$140,0,'Inputs &amp; Assumptions'!$G$59*MAX(U170-U181-U192,0))</f>
        <v>164968.636585835</v>
      </c>
      <c r="V203" s="39" t="n">
        <f aca="false">IF(18&gt;='Inputs &amp; Assumptions'!$E$140,0,'Inputs &amp; Assumptions'!$G$59*MAX(V170-V181-V192,0))</f>
        <v>155557.735542696</v>
      </c>
      <c r="W203" s="39" t="n">
        <f aca="false">IF(19&gt;='Inputs &amp; Assumptions'!$E$140,0,'Inputs &amp; Assumptions'!$G$59*MAX(W170-W181-W192,0))</f>
        <v>146683.694476561</v>
      </c>
      <c r="X203" s="39" t="n">
        <f aca="false">IF(20&gt;='Inputs &amp; Assumptions'!$E$140,0,'Inputs &amp; Assumptions'!$G$59*MAX(X170-X181-X192,0))</f>
        <v>138315.887347096</v>
      </c>
      <c r="Y203" s="39" t="n">
        <f aca="false">IF(21&gt;='Inputs &amp; Assumptions'!$E$140,0,'Inputs &amp; Assumptions'!$G$59*MAX(Y170-Y181-Y192,0))</f>
        <v>130610.214515572</v>
      </c>
      <c r="Z203" s="39" t="n">
        <f aca="false">IF(22&gt;='Inputs &amp; Assumptions'!$E$140,0,'Inputs &amp; Assumptions'!$G$59*MAX(Z170-Z181-Z192,0))</f>
        <v>123333.829995936</v>
      </c>
      <c r="AA203" s="39" t="n">
        <f aca="false">IF(23&gt;='Inputs &amp; Assumptions'!$E$140,0,'Inputs &amp; Assumptions'!$G$59*MAX(AA170-AA181-AA192,0))</f>
        <v>116462.817842266</v>
      </c>
      <c r="AB203" s="39" t="n">
        <f aca="false">IF(24&gt;='Inputs &amp; Assumptions'!$E$140,0,'Inputs &amp; Assumptions'!$G$59*MAX(AB170-AB181-AB192,0))</f>
        <v>109974.594482372</v>
      </c>
      <c r="AC203" s="39" t="n">
        <f aca="false">IF(25&gt;='Inputs &amp; Assumptions'!$E$140,0,'Inputs &amp; Assumptions'!$G$59*MAX(AC170-AC181-AC192,0))</f>
        <v>103981.692677402</v>
      </c>
      <c r="AD203" s="39" t="n">
        <f aca="false">IF(26&gt;='Inputs &amp; Assumptions'!$E$140,0,'Inputs &amp; Assumptions'!$G$59*MAX(AD170-AD181-AD192,0))</f>
        <v>98315.3651345432</v>
      </c>
      <c r="AE203" s="39" t="n">
        <f aca="false">IF(27&gt;='Inputs &amp; Assumptions'!$E$140,0,'Inputs &amp; Assumptions'!$G$59*MAX(AE170-AE181-AE192,0))</f>
        <v>92957.8156755588</v>
      </c>
      <c r="AF203" s="39" t="n">
        <f aca="false">IF(28&gt;='Inputs &amp; Assumptions'!$E$140,0,'Inputs &amp; Assumptions'!$G$59*MAX(AF170-AF181-AF192,0))</f>
        <v>0</v>
      </c>
      <c r="AG203" s="39" t="n">
        <f aca="false">IF(29&gt;='Inputs &amp; Assumptions'!$E$140,0,'Inputs &amp; Assumptions'!$G$59*MAX(AG170-AG181-AG192,0))</f>
        <v>0</v>
      </c>
      <c r="AH203" s="39" t="n">
        <f aca="false">IF(30&gt;='Inputs &amp; Assumptions'!$E$140,0,'Inputs &amp; Assumptions'!$G$59*MAX(AH170-AH181-AH192,0))</f>
        <v>0</v>
      </c>
      <c r="AI203" s="39" t="n">
        <f aca="false">IF(31&gt;='Inputs &amp; Assumptions'!$E$140,0,'Inputs &amp; Assumptions'!$G$59*MAX(AI170-AI181-AI192,0))</f>
        <v>0</v>
      </c>
      <c r="AJ203" s="39" t="n">
        <f aca="false">IF(32&gt;='Inputs &amp; Assumptions'!$E$140,0,'Inputs &amp; Assumptions'!$G$59*MAX(AJ170-AJ181-AJ192,0))</f>
        <v>0</v>
      </c>
      <c r="AK203" s="39" t="n">
        <f aca="false">IF(33&gt;='Inputs &amp; Assumptions'!$E$140,0,'Inputs &amp; Assumptions'!$G$59*MAX(AK170-AK181-AK192,0))</f>
        <v>0</v>
      </c>
      <c r="AL203" s="39" t="n">
        <f aca="false">IF(34&gt;='Inputs &amp; Assumptions'!$E$140,0,'Inputs &amp; Assumptions'!$G$59*MAX(AL170-AL181-AL192,0))</f>
        <v>0</v>
      </c>
      <c r="AM203" s="39" t="n">
        <f aca="false">IF(35&gt;='Inputs &amp; Assumptions'!$E$140,0,'Inputs &amp; Assumptions'!$G$59*MAX(AM170-AM181-AM192,0))</f>
        <v>0</v>
      </c>
      <c r="AN203" s="39" t="n">
        <f aca="false">IF(36&gt;='Inputs &amp; Assumptions'!$E$140,0,'Inputs &amp; Assumptions'!$G$59*MAX(AN170-AN181-AN192,0))</f>
        <v>0</v>
      </c>
    </row>
    <row r="204" customFormat="false" ht="15" hidden="false" customHeight="false" outlineLevel="0" collapsed="false">
      <c r="B204" s="37" t="n">
        <v>2</v>
      </c>
      <c r="C204" s="38" t="n">
        <f aca="false">'Inputs &amp; Assumptions'!$C$141</f>
        <v>1</v>
      </c>
      <c r="D204" s="38" t="n">
        <f aca="false">'Inputs &amp; Assumptions'!$D$141</f>
        <v>3</v>
      </c>
      <c r="E204" s="39" t="n">
        <f aca="false">IF(1&gt;='Inputs &amp; Assumptions'!$E$141,0,'Inputs &amp; Assumptions'!$G$59*MAX(E171-E182-E193,0))</f>
        <v>1225477.89781277</v>
      </c>
      <c r="F204" s="39" t="n">
        <f aca="false">IF(2&gt;='Inputs &amp; Assumptions'!$E$141,0,'Inputs &amp; Assumptions'!$G$59*MAX(F171-F182-F193,0))</f>
        <v>1188269.77656946</v>
      </c>
      <c r="G204" s="39" t="n">
        <f aca="false">IF(3&gt;='Inputs &amp; Assumptions'!$E$141,0,'Inputs &amp; Assumptions'!$G$59*MAX(G171-G182-G193,0))</f>
        <v>1152191.37320105</v>
      </c>
      <c r="H204" s="39" t="n">
        <f aca="false">IF(4&gt;='Inputs &amp; Assumptions'!$E$141,0,'Inputs &amp; Assumptions'!$G$59*MAX(H171-H182-H193,0))</f>
        <v>1079929.55307479</v>
      </c>
      <c r="I204" s="39" t="n">
        <f aca="false">IF(5&gt;='Inputs &amp; Assumptions'!$E$141,0,'Inputs &amp; Assumptions'!$G$59*MAX(I171-I182-I193,0))</f>
        <v>1012199.76709616</v>
      </c>
      <c r="J204" s="39" t="n">
        <f aca="false">IF(6&gt;='Inputs &amp; Assumptions'!$E$141,0,'Inputs &amp; Assumptions'!$G$59*MAX(J171-J182-J193,0))</f>
        <v>948717.780333364</v>
      </c>
      <c r="K204" s="39" t="n">
        <f aca="false">IF(7&gt;='Inputs &amp; Assumptions'!$E$141,0,'Inputs &amp; Assumptions'!$G$59*MAX(K171-K182-K193,0))</f>
        <v>889217.18417582</v>
      </c>
      <c r="L204" s="39" t="n">
        <f aca="false">IF(8&gt;='Inputs &amp; Assumptions'!$E$141,0,'Inputs &amp; Assumptions'!$G$59*MAX(L171-L182-L193,0))</f>
        <v>834715.398472815</v>
      </c>
      <c r="M204" s="39" t="n">
        <f aca="false">IF(9&gt;='Inputs &amp; Assumptions'!$E$141,0,'Inputs &amp; Assumptions'!$G$59*MAX(M171-M182-M193,0))</f>
        <v>783554.129234941</v>
      </c>
      <c r="N204" s="39" t="n">
        <f aca="false">IF(10&gt;='Inputs &amp; Assumptions'!$E$141,0,'Inputs &amp; Assumptions'!$G$59*MAX(N171-N182-N193,0))</f>
        <v>735528.629955089</v>
      </c>
      <c r="O204" s="39" t="n">
        <f aca="false">IF(11&gt;='Inputs &amp; Assumptions'!$E$141,0,'Inputs &amp; Assumptions'!$G$59*MAX(O171-O182-O193,0))</f>
        <v>690446.70342283</v>
      </c>
      <c r="P204" s="39" t="n">
        <f aca="false">IF(12&gt;='Inputs &amp; Assumptions'!$E$141,0,'Inputs &amp; Assumptions'!$G$59*MAX(P171-P182-P193,0))</f>
        <v>649685.735301966</v>
      </c>
      <c r="Q204" s="39" t="n">
        <f aca="false">IF(13&gt;='Inputs &amp; Assumptions'!$E$141,0,'Inputs &amp; Assumptions'!$G$59*MAX(Q171-Q182-Q193,0))</f>
        <v>611331.117322125</v>
      </c>
      <c r="R204" s="39" t="n">
        <f aca="false">IF(14&gt;='Inputs &amp; Assumptions'!$E$141,0,'Inputs &amp; Assumptions'!$G$59*MAX(R171-R182-R193,0))</f>
        <v>575240.789044898</v>
      </c>
      <c r="S204" s="39" t="n">
        <f aca="false">IF(15&gt;='Inputs &amp; Assumptions'!$E$141,0,'Inputs &amp; Assumptions'!$G$59*MAX(S171-S182-S193,0))</f>
        <v>541281.076661826</v>
      </c>
      <c r="T204" s="39" t="n">
        <f aca="false">IF(16&gt;='Inputs &amp; Assumptions'!$E$141,0,'Inputs &amp; Assumptions'!$G$59*MAX(T171-T182-T193,0))</f>
        <v>510402.827593327</v>
      </c>
      <c r="U204" s="39" t="n">
        <f aca="false">IF(17&gt;='Inputs &amp; Assumptions'!$E$141,0,'Inputs &amp; Assumptions'!$G$59*MAX(U171-U182-U193,0))</f>
        <v>481286.077876359</v>
      </c>
      <c r="V204" s="39" t="n">
        <f aca="false">IF(18&gt;='Inputs &amp; Assumptions'!$E$141,0,'Inputs &amp; Assumptions'!$G$59*MAX(V171-V182-V193,0))</f>
        <v>453830.339948997</v>
      </c>
      <c r="W204" s="39" t="n">
        <f aca="false">IF(19&gt;='Inputs &amp; Assumptions'!$E$141,0,'Inputs &amp; Assumptions'!$G$59*MAX(W171-W182-W193,0))</f>
        <v>427940.858723807</v>
      </c>
      <c r="X204" s="39" t="n">
        <f aca="false">IF(20&gt;='Inputs &amp; Assumptions'!$E$141,0,'Inputs &amp; Assumptions'!$G$59*MAX(X171-X182-X193,0))</f>
        <v>404099.980341615</v>
      </c>
      <c r="Y204" s="39" t="n">
        <f aca="false">IF(21&gt;='Inputs &amp; Assumptions'!$E$141,0,'Inputs &amp; Assumptions'!$G$59*MAX(Y171-Y182-Y193,0))</f>
        <v>381587.293625274</v>
      </c>
      <c r="Z204" s="39" t="n">
        <f aca="false">IF(22&gt;='Inputs &amp; Assumptions'!$E$141,0,'Inputs &amp; Assumptions'!$G$59*MAX(Z171-Z182-Z193,0))</f>
        <v>360328.804107259</v>
      </c>
      <c r="AA204" s="39" t="n">
        <f aca="false">IF(23&gt;='Inputs &amp; Assumptions'!$E$141,0,'Inputs &amp; Assumptions'!$G$59*MAX(AA171-AA182-AA193,0))</f>
        <v>340254.639602518</v>
      </c>
      <c r="AB204" s="39" t="n">
        <f aca="false">IF(24&gt;='Inputs &amp; Assumptions'!$E$141,0,'Inputs &amp; Assumptions'!$G$59*MAX(AB171-AB182-AB193,0))</f>
        <v>321712.969561169</v>
      </c>
      <c r="AC204" s="39" t="n">
        <f aca="false">IF(25&gt;='Inputs &amp; Assumptions'!$E$141,0,'Inputs &amp; Assumptions'!$G$59*MAX(AC171-AC182-AC193,0))</f>
        <v>304181.700225374</v>
      </c>
      <c r="AD204" s="39" t="n">
        <f aca="false">IF(26&gt;='Inputs &amp; Assumptions'!$E$141,0,'Inputs &amp; Assumptions'!$G$59*MAX(AD171-AD182-AD193,0))</f>
        <v>287605.771312887</v>
      </c>
      <c r="AE204" s="39" t="n">
        <f aca="false">IF(27&gt;='Inputs &amp; Assumptions'!$E$141,0,'Inputs &amp; Assumptions'!$G$59*MAX(AE171-AE182-AE193,0))</f>
        <v>0</v>
      </c>
      <c r="AF204" s="39" t="n">
        <f aca="false">IF(28&gt;='Inputs &amp; Assumptions'!$E$141,0,'Inputs &amp; Assumptions'!$G$59*MAX(AF171-AF182-AF193,0))</f>
        <v>0</v>
      </c>
      <c r="AG204" s="39" t="n">
        <f aca="false">IF(29&gt;='Inputs &amp; Assumptions'!$E$141,0,'Inputs &amp; Assumptions'!$G$59*MAX(AG171-AG182-AG193,0))</f>
        <v>0</v>
      </c>
      <c r="AH204" s="39" t="n">
        <f aca="false">IF(30&gt;='Inputs &amp; Assumptions'!$E$141,0,'Inputs &amp; Assumptions'!$G$59*MAX(AH171-AH182-AH193,0))</f>
        <v>0</v>
      </c>
      <c r="AI204" s="39" t="n">
        <f aca="false">IF(31&gt;='Inputs &amp; Assumptions'!$E$141,0,'Inputs &amp; Assumptions'!$G$59*MAX(AI171-AI182-AI193,0))</f>
        <v>0</v>
      </c>
      <c r="AJ204" s="39" t="n">
        <f aca="false">IF(32&gt;='Inputs &amp; Assumptions'!$E$141,0,'Inputs &amp; Assumptions'!$G$59*MAX(AJ171-AJ182-AJ193,0))</f>
        <v>0</v>
      </c>
      <c r="AK204" s="39" t="n">
        <f aca="false">IF(33&gt;='Inputs &amp; Assumptions'!$E$141,0,'Inputs &amp; Assumptions'!$G$59*MAX(AK171-AK182-AK193,0))</f>
        <v>0</v>
      </c>
      <c r="AL204" s="39" t="n">
        <f aca="false">IF(34&gt;='Inputs &amp; Assumptions'!$E$141,0,'Inputs &amp; Assumptions'!$G$59*MAX(AL171-AL182-AL193,0))</f>
        <v>0</v>
      </c>
      <c r="AM204" s="39" t="n">
        <f aca="false">IF(35&gt;='Inputs &amp; Assumptions'!$E$141,0,'Inputs &amp; Assumptions'!$G$59*MAX(AM171-AM182-AM193,0))</f>
        <v>0</v>
      </c>
      <c r="AN204" s="39" t="n">
        <f aca="false">IF(36&gt;='Inputs &amp; Assumptions'!$E$141,0,'Inputs &amp; Assumptions'!$G$59*MAX(AN171-AN182-AN193,0))</f>
        <v>0</v>
      </c>
    </row>
    <row r="205" customFormat="false" ht="15" hidden="false" customHeight="false" outlineLevel="0" collapsed="false">
      <c r="B205" s="37" t="n">
        <v>3</v>
      </c>
      <c r="C205" s="38" t="n">
        <f aca="false">'Inputs &amp; Assumptions'!$C$142</f>
        <v>2</v>
      </c>
      <c r="D205" s="38" t="n">
        <f aca="false">'Inputs &amp; Assumptions'!$D$142</f>
        <v>3</v>
      </c>
      <c r="E205" s="39" t="n">
        <f aca="false">IF(1&gt;='Inputs &amp; Assumptions'!$E$142,0,'Inputs &amp; Assumptions'!$G$59*MAX(E172-E183-E194,0))</f>
        <v>1225477.89781277</v>
      </c>
      <c r="F205" s="39" t="n">
        <f aca="false">IF(2&gt;='Inputs &amp; Assumptions'!$E$142,0,'Inputs &amp; Assumptions'!$G$59*MAX(F172-F183-F194,0))</f>
        <v>1188269.77656946</v>
      </c>
      <c r="G205" s="39" t="n">
        <f aca="false">IF(3&gt;='Inputs &amp; Assumptions'!$E$142,0,'Inputs &amp; Assumptions'!$G$59*MAX(G172-G183-G194,0))</f>
        <v>1113745.23242417</v>
      </c>
      <c r="H205" s="39" t="n">
        <f aca="false">IF(4&gt;='Inputs &amp; Assumptions'!$E$142,0,'Inputs &amp; Assumptions'!$G$59*MAX(H172-H183-H194,0))</f>
        <v>1043894.63336238</v>
      </c>
      <c r="I205" s="39" t="n">
        <f aca="false">IF(5&gt;='Inputs &amp; Assumptions'!$E$142,0,'Inputs &amp; Assumptions'!$G$59*MAX(I172-I183-I194,0))</f>
        <v>978424.844244588</v>
      </c>
      <c r="J205" s="39" t="n">
        <f aca="false">IF(6&gt;='Inputs &amp; Assumptions'!$E$142,0,'Inputs &amp; Assumptions'!$G$59*MAX(J172-J183-J194,0))</f>
        <v>917061.114445566</v>
      </c>
      <c r="K205" s="39" t="n">
        <f aca="false">IF(7&gt;='Inputs &amp; Assumptions'!$E$142,0,'Inputs &amp; Assumptions'!$G$59*MAX(K172-K183-K194,0))</f>
        <v>860852.722136552</v>
      </c>
      <c r="L205" s="39" t="n">
        <f aca="false">IF(8&gt;='Inputs &amp; Assumptions'!$E$142,0,'Inputs &amp; Assumptions'!$G$59*MAX(L172-L183-L194,0))</f>
        <v>808089.44740607</v>
      </c>
      <c r="M205" s="39" t="n">
        <f aca="false">IF(9&gt;='Inputs &amp; Assumptions'!$E$142,0,'Inputs &amp; Assumptions'!$G$59*MAX(M172-M183-M194,0))</f>
        <v>758560.132548973</v>
      </c>
      <c r="N205" s="39" t="n">
        <f aca="false">IF(10&gt;='Inputs &amp; Assumptions'!$E$142,0,'Inputs &amp; Assumptions'!$G$59*MAX(N172-N183-N194,0))</f>
        <v>712066.562111121</v>
      </c>
      <c r="O205" s="39" t="n">
        <f aca="false">IF(11&gt;='Inputs &amp; Assumptions'!$E$142,0,'Inputs &amp; Assumptions'!$G$59*MAX(O172-O183-O194,0))</f>
        <v>670029.251636239</v>
      </c>
      <c r="P205" s="39" t="n">
        <f aca="false">IF(12&gt;='Inputs &amp; Assumptions'!$E$142,0,'Inputs &amp; Assumptions'!$G$59*MAX(P172-P183-P194,0))</f>
        <v>630473.640999532</v>
      </c>
      <c r="Q205" s="39" t="n">
        <f aca="false">IF(13&gt;='Inputs &amp; Assumptions'!$E$142,0,'Inputs &amp; Assumptions'!$G$59*MAX(Q172-Q183-Q194,0))</f>
        <v>593253.221444442</v>
      </c>
      <c r="R205" s="39" t="n">
        <f aca="false">IF(14&gt;='Inputs &amp; Assumptions'!$E$142,0,'Inputs &amp; Assumptions'!$G$59*MAX(R172-R183-R194,0))</f>
        <v>558230.133453699</v>
      </c>
      <c r="S205" s="39" t="n">
        <f aca="false">IF(15&gt;='Inputs &amp; Assumptions'!$E$142,0,'Inputs &amp; Assumptions'!$G$59*MAX(S172-S183-S194,0))</f>
        <v>526384.998196746</v>
      </c>
      <c r="T205" s="39" t="n">
        <f aca="false">IF(16&gt;='Inputs &amp; Assumptions'!$E$142,0,'Inputs &amp; Assumptions'!$G$59*MAX(T172-T183-T194,0))</f>
        <v>496356.519868109</v>
      </c>
      <c r="U205" s="39" t="n">
        <f aca="false">IF(17&gt;='Inputs &amp; Assumptions'!$E$142,0,'Inputs &amp; Assumptions'!$G$59*MAX(U172-U183-U194,0))</f>
        <v>468041.064353235</v>
      </c>
      <c r="V205" s="39" t="n">
        <f aca="false">IF(18&gt;='Inputs &amp; Assumptions'!$E$142,0,'Inputs &amp; Assumptions'!$G$59*MAX(V172-V183-V194,0))</f>
        <v>441340.909512215</v>
      </c>
      <c r="W205" s="39" t="n">
        <f aca="false">IF(19&gt;='Inputs &amp; Assumptions'!$E$142,0,'Inputs &amp; Assumptions'!$G$59*MAX(W172-W183-W194,0))</f>
        <v>416753.505121465</v>
      </c>
      <c r="X205" s="39" t="n">
        <f aca="false">IF(20&gt;='Inputs &amp; Assumptions'!$E$142,0,'Inputs &amp; Assumptions'!$G$59*MAX(X172-X183-X194,0))</f>
        <v>393535.88187188</v>
      </c>
      <c r="Y205" s="39" t="n">
        <f aca="false">IF(21&gt;='Inputs &amp; Assumptions'!$E$142,0,'Inputs &amp; Assumptions'!$G$59*MAX(Y172-Y183-Y194,0))</f>
        <v>371611.728317775</v>
      </c>
      <c r="Z205" s="39" t="n">
        <f aca="false">IF(22&gt;='Inputs &amp; Assumptions'!$E$142,0,'Inputs &amp; Assumptions'!$G$59*MAX(Z172-Z183-Z194,0))</f>
        <v>350908.984376378</v>
      </c>
      <c r="AA205" s="39" t="n">
        <f aca="false">IF(23&gt;='Inputs &amp; Assumptions'!$E$142,0,'Inputs &amp; Assumptions'!$G$59*MAX(AA172-AA183-AA194,0))</f>
        <v>331786.721677911</v>
      </c>
      <c r="AB205" s="39" t="n">
        <f aca="false">IF(24&gt;='Inputs &amp; Assumptions'!$E$142,0,'Inputs &amp; Assumptions'!$G$59*MAX(AB172-AB183-AB194,0))</f>
        <v>313706.498217508</v>
      </c>
      <c r="AC205" s="39" t="n">
        <f aca="false">IF(25&gt;='Inputs &amp; Assumptions'!$E$142,0,'Inputs &amp; Assumptions'!$G$59*MAX(AC172-AC183-AC194,0))</f>
        <v>296611.529618194</v>
      </c>
      <c r="AD205" s="39" t="n">
        <f aca="false">IF(26&gt;='Inputs &amp; Assumptions'!$E$142,0,'Inputs &amp; Assumptions'!$G$59*MAX(AD172-AD183-AD194,0))</f>
        <v>0</v>
      </c>
      <c r="AE205" s="39" t="n">
        <f aca="false">IF(27&gt;='Inputs &amp; Assumptions'!$E$142,0,'Inputs &amp; Assumptions'!$G$59*MAX(AE172-AE183-AE194,0))</f>
        <v>0</v>
      </c>
      <c r="AF205" s="39" t="n">
        <f aca="false">IF(28&gt;='Inputs &amp; Assumptions'!$E$142,0,'Inputs &amp; Assumptions'!$G$59*MAX(AF172-AF183-AF194,0))</f>
        <v>0</v>
      </c>
      <c r="AG205" s="39" t="n">
        <f aca="false">IF(29&gt;='Inputs &amp; Assumptions'!$E$142,0,'Inputs &amp; Assumptions'!$G$59*MAX(AG172-AG183-AG194,0))</f>
        <v>0</v>
      </c>
      <c r="AH205" s="39" t="n">
        <f aca="false">IF(30&gt;='Inputs &amp; Assumptions'!$E$142,0,'Inputs &amp; Assumptions'!$G$59*MAX(AH172-AH183-AH194,0))</f>
        <v>0</v>
      </c>
      <c r="AI205" s="39" t="n">
        <f aca="false">IF(31&gt;='Inputs &amp; Assumptions'!$E$142,0,'Inputs &amp; Assumptions'!$G$59*MAX(AI172-AI183-AI194,0))</f>
        <v>0</v>
      </c>
      <c r="AJ205" s="39" t="n">
        <f aca="false">IF(32&gt;='Inputs &amp; Assumptions'!$E$142,0,'Inputs &amp; Assumptions'!$G$59*MAX(AJ172-AJ183-AJ194,0))</f>
        <v>0</v>
      </c>
      <c r="AK205" s="39" t="n">
        <f aca="false">IF(33&gt;='Inputs &amp; Assumptions'!$E$142,0,'Inputs &amp; Assumptions'!$G$59*MAX(AK172-AK183-AK194,0))</f>
        <v>0</v>
      </c>
      <c r="AL205" s="39" t="n">
        <f aca="false">IF(34&gt;='Inputs &amp; Assumptions'!$E$142,0,'Inputs &amp; Assumptions'!$G$59*MAX(AL172-AL183-AL194,0))</f>
        <v>0</v>
      </c>
      <c r="AM205" s="39" t="n">
        <f aca="false">IF(35&gt;='Inputs &amp; Assumptions'!$E$142,0,'Inputs &amp; Assumptions'!$G$59*MAX(AM172-AM183-AM194,0))</f>
        <v>0</v>
      </c>
      <c r="AN205" s="39" t="n">
        <f aca="false">IF(36&gt;='Inputs &amp; Assumptions'!$E$142,0,'Inputs &amp; Assumptions'!$G$59*MAX(AN172-AN183-AN194,0))</f>
        <v>0</v>
      </c>
    </row>
    <row r="206" customFormat="false" ht="15" hidden="false" customHeight="false" outlineLevel="0" collapsed="false">
      <c r="B206" s="37" t="n">
        <v>4</v>
      </c>
      <c r="C206" s="38" t="n">
        <f aca="false">'Inputs &amp; Assumptions'!$C$143</f>
        <v>3</v>
      </c>
      <c r="D206" s="38" t="n">
        <f aca="false">'Inputs &amp; Assumptions'!$D$143</f>
        <v>3</v>
      </c>
      <c r="E206" s="39" t="n">
        <f aca="false">IF(1&gt;='Inputs &amp; Assumptions'!$E$143,0,'Inputs &amp; Assumptions'!$G$59*MAX(E173-E184-E195,0))</f>
        <v>1225477.89781277</v>
      </c>
      <c r="F206" s="39" t="n">
        <f aca="false">IF(2&gt;='Inputs &amp; Assumptions'!$E$143,0,'Inputs &amp; Assumptions'!$G$59*MAX(F173-F184-F195,0))</f>
        <v>1148619.77729548</v>
      </c>
      <c r="G206" s="39" t="n">
        <f aca="false">IF(3&gt;='Inputs &amp; Assumptions'!$E$143,0,'Inputs &amp; Assumptions'!$G$59*MAX(G173-G184-G195,0))</f>
        <v>1076581.95643435</v>
      </c>
      <c r="H206" s="39" t="n">
        <f aca="false">IF(4&gt;='Inputs &amp; Assumptions'!$E$143,0,'Inputs &amp; Assumptions'!$G$59*MAX(H173-H184-H195,0))</f>
        <v>1009062.12119126</v>
      </c>
      <c r="I206" s="39" t="n">
        <f aca="false">IF(5&gt;='Inputs &amp; Assumptions'!$E$143,0,'Inputs &amp; Assumptions'!$G$59*MAX(I173-I184-I195,0))</f>
        <v>945776.917714016</v>
      </c>
      <c r="J206" s="39" t="n">
        <f aca="false">IF(6&gt;='Inputs &amp; Assumptions'!$E$143,0,'Inputs &amp; Assumptions'!$G$59*MAX(J173-J184-J195,0))</f>
        <v>887808.480070883</v>
      </c>
      <c r="K206" s="39" t="n">
        <f aca="false">IF(7&gt;='Inputs &amp; Assumptions'!$E$143,0,'Inputs &amp; Assumptions'!$G$59*MAX(K173-K184-K195,0))</f>
        <v>833393.036479359</v>
      </c>
      <c r="L206" s="39" t="n">
        <f aca="false">IF(8&gt;='Inputs &amp; Assumptions'!$E$143,0,'Inputs &amp; Assumptions'!$G$59*MAX(L173-L184-L195,0))</f>
        <v>782312.817283332</v>
      </c>
      <c r="M206" s="39" t="n">
        <f aca="false">IF(9&gt;='Inputs &amp; Assumptions'!$E$143,0,'Inputs &amp; Assumptions'!$G$59*MAX(M173-M184-M195,0))</f>
        <v>734363.40033655</v>
      </c>
      <c r="N206" s="39" t="n">
        <f aca="false">IF(10&gt;='Inputs &amp; Assumptions'!$E$143,0,'Inputs &amp; Assumptions'!$G$59*MAX(N173-N184-N195,0))</f>
        <v>691009.781582408</v>
      </c>
      <c r="O206" s="39" t="n">
        <f aca="false">IF(11&gt;='Inputs &amp; Assumptions'!$E$143,0,'Inputs &amp; Assumptions'!$G$59*MAX(O173-O184-O195,0))</f>
        <v>650215.571777866</v>
      </c>
      <c r="P206" s="39" t="n">
        <f aca="false">IF(12&gt;='Inputs &amp; Assumptions'!$E$143,0,'Inputs &amp; Assumptions'!$G$59*MAX(P173-P184-P195,0))</f>
        <v>611829.674558663</v>
      </c>
      <c r="Q206" s="39" t="n">
        <f aca="false">IF(13&gt;='Inputs &amp; Assumptions'!$E$143,0,'Inputs &amp; Assumptions'!$G$59*MAX(Q173-Q184-Q195,0))</f>
        <v>575709.913632219</v>
      </c>
      <c r="R206" s="39" t="n">
        <f aca="false">IF(14&gt;='Inputs &amp; Assumptions'!$E$143,0,'Inputs &amp; Assumptions'!$G$59*MAX(R173-R184-R195,0))</f>
        <v>542867.616218141</v>
      </c>
      <c r="S206" s="39" t="n">
        <f aca="false">IF(15&gt;='Inputs &amp; Assumptions'!$E$143,0,'Inputs &amp; Assumptions'!$G$59*MAX(S173-S184-S195,0))</f>
        <v>511898.860450462</v>
      </c>
      <c r="T206" s="39" t="n">
        <f aca="false">IF(16&gt;='Inputs &amp; Assumptions'!$E$143,0,'Inputs &amp; Assumptions'!$G$59*MAX(T173-T184-T195,0))</f>
        <v>482696.76713445</v>
      </c>
      <c r="U206" s="39" t="n">
        <f aca="false">IF(17&gt;='Inputs &amp; Assumptions'!$E$143,0,'Inputs &amp; Assumptions'!$G$59*MAX(U173-U184-U195,0))</f>
        <v>455160.554170831</v>
      </c>
      <c r="V206" s="39" t="n">
        <f aca="false">IF(18&gt;='Inputs &amp; Assumptions'!$E$143,0,'Inputs &amp; Assumptions'!$G$59*MAX(V173-V184-V195,0))</f>
        <v>429803.247909589</v>
      </c>
      <c r="W206" s="39" t="n">
        <f aca="false">IF(19&gt;='Inputs &amp; Assumptions'!$E$143,0,'Inputs &amp; Assumptions'!$G$59*MAX(W173-W184-W195,0))</f>
        <v>405858.614550106</v>
      </c>
      <c r="X206" s="39" t="n">
        <f aca="false">IF(20&gt;='Inputs &amp; Assumptions'!$E$143,0,'Inputs &amp; Assumptions'!$G$59*MAX(X173-X184-X195,0))</f>
        <v>383247.953117333</v>
      </c>
      <c r="Y206" s="39" t="n">
        <f aca="false">IF(21&gt;='Inputs &amp; Assumptions'!$E$143,0,'Inputs &amp; Assumptions'!$G$59*MAX(Y173-Y184-Y195,0))</f>
        <v>361896.947121451</v>
      </c>
      <c r="Z206" s="39" t="n">
        <f aca="false">IF(22&gt;='Inputs &amp; Assumptions'!$E$143,0,'Inputs &amp; Assumptions'!$G$59*MAX(Z173-Z184-Z195,0))</f>
        <v>342175.911751188</v>
      </c>
      <c r="AA206" s="39" t="n">
        <f aca="false">IF(23&gt;='Inputs &amp; Assumptions'!$E$143,0,'Inputs &amp; Assumptions'!$G$59*MAX(AA173-AA184-AA195,0))</f>
        <v>323529.544844334</v>
      </c>
      <c r="AB206" s="39" t="n">
        <f aca="false">IF(24&gt;='Inputs &amp; Assumptions'!$E$143,0,'Inputs &amp; Assumptions'!$G$59*MAX(AB173-AB184-AB195,0))</f>
        <v>305899.283942854</v>
      </c>
      <c r="AC206" s="39" t="n">
        <f aca="false">IF(25&gt;='Inputs &amp; Assumptions'!$E$143,0,'Inputs &amp; Assumptions'!$G$59*MAX(AC173-AC184-AC195,0))</f>
        <v>0</v>
      </c>
      <c r="AD206" s="39" t="n">
        <f aca="false">IF(26&gt;='Inputs &amp; Assumptions'!$E$143,0,'Inputs &amp; Assumptions'!$G$59*MAX(AD173-AD184-AD195,0))</f>
        <v>0</v>
      </c>
      <c r="AE206" s="39" t="n">
        <f aca="false">IF(27&gt;='Inputs &amp; Assumptions'!$E$143,0,'Inputs &amp; Assumptions'!$G$59*MAX(AE173-AE184-AE195,0))</f>
        <v>0</v>
      </c>
      <c r="AF206" s="39" t="n">
        <f aca="false">IF(28&gt;='Inputs &amp; Assumptions'!$E$143,0,'Inputs &amp; Assumptions'!$G$59*MAX(AF173-AF184-AF195,0))</f>
        <v>0</v>
      </c>
      <c r="AG206" s="39" t="n">
        <f aca="false">IF(29&gt;='Inputs &amp; Assumptions'!$E$143,0,'Inputs &amp; Assumptions'!$G$59*MAX(AG173-AG184-AG195,0))</f>
        <v>0</v>
      </c>
      <c r="AH206" s="39" t="n">
        <f aca="false">IF(30&gt;='Inputs &amp; Assumptions'!$E$143,0,'Inputs &amp; Assumptions'!$G$59*MAX(AH173-AH184-AH195,0))</f>
        <v>0</v>
      </c>
      <c r="AI206" s="39" t="n">
        <f aca="false">IF(31&gt;='Inputs &amp; Assumptions'!$E$143,0,'Inputs &amp; Assumptions'!$G$59*MAX(AI173-AI184-AI195,0))</f>
        <v>0</v>
      </c>
      <c r="AJ206" s="39" t="n">
        <f aca="false">IF(32&gt;='Inputs &amp; Assumptions'!$E$143,0,'Inputs &amp; Assumptions'!$G$59*MAX(AJ173-AJ184-AJ195,0))</f>
        <v>0</v>
      </c>
      <c r="AK206" s="39" t="n">
        <f aca="false">IF(33&gt;='Inputs &amp; Assumptions'!$E$143,0,'Inputs &amp; Assumptions'!$G$59*MAX(AK173-AK184-AK195,0))</f>
        <v>0</v>
      </c>
      <c r="AL206" s="39" t="n">
        <f aca="false">IF(34&gt;='Inputs &amp; Assumptions'!$E$143,0,'Inputs &amp; Assumptions'!$G$59*MAX(AL173-AL184-AL195,0))</f>
        <v>0</v>
      </c>
      <c r="AM206" s="39" t="n">
        <f aca="false">IF(35&gt;='Inputs &amp; Assumptions'!$E$143,0,'Inputs &amp; Assumptions'!$G$59*MAX(AM173-AM184-AM195,0))</f>
        <v>0</v>
      </c>
      <c r="AN206" s="39" t="n">
        <f aca="false">IF(36&gt;='Inputs &amp; Assumptions'!$E$143,0,'Inputs &amp; Assumptions'!$G$59*MAX(AN173-AN184-AN195,0))</f>
        <v>0</v>
      </c>
    </row>
    <row r="207" customFormat="false" ht="15" hidden="false" customHeight="false" outlineLevel="0" collapsed="false">
      <c r="B207" s="37" t="n">
        <v>5</v>
      </c>
      <c r="C207" s="38" t="n">
        <f aca="false">'Inputs &amp; Assumptions'!$C$144</f>
        <v>4</v>
      </c>
      <c r="D207" s="38" t="n">
        <f aca="false">'Inputs &amp; Assumptions'!$D$144</f>
        <v>3</v>
      </c>
      <c r="E207" s="39" t="n">
        <f aca="false">IF(1&gt;='Inputs &amp; Assumptions'!$E$144,0,'Inputs &amp; Assumptions'!$G$59*MAX(E174-E185-E196,0))</f>
        <v>1184586.34379308</v>
      </c>
      <c r="F207" s="39" t="n">
        <f aca="false">IF(2&gt;='Inputs &amp; Assumptions'!$E$144,0,'Inputs &amp; Assumptions'!$G$59*MAX(F174-F185-F196,0))</f>
        <v>1110292.81296982</v>
      </c>
      <c r="G207" s="39" t="n">
        <f aca="false">IF(3&gt;='Inputs &amp; Assumptions'!$E$144,0,'Inputs &amp; Assumptions'!$G$59*MAX(G174-G185-G196,0))</f>
        <v>1040658.73880086</v>
      </c>
      <c r="H207" s="39" t="n">
        <f aca="false">IF(4&gt;='Inputs &amp; Assumptions'!$E$144,0,'Inputs &amp; Assumptions'!$G$59*MAX(H174-H185-H196,0))</f>
        <v>975391.894815445</v>
      </c>
      <c r="I207" s="39" t="n">
        <f aca="false">IF(5&gt;='Inputs &amp; Assumptions'!$E$144,0,'Inputs &amp; Assumptions'!$G$59*MAX(I174-I185-I196,0))</f>
        <v>915608.299790848</v>
      </c>
      <c r="J207" s="39" t="n">
        <f aca="false">IF(6&gt;='Inputs &amp; Assumptions'!$E$144,0,'Inputs &amp; Assumptions'!$G$59*MAX(J174-J185-J196,0))</f>
        <v>859488.953211479</v>
      </c>
      <c r="K207" s="39" t="n">
        <f aca="false">IF(7&gt;='Inputs &amp; Assumptions'!$E$144,0,'Inputs &amp; Assumptions'!$G$59*MAX(K174-K185-K196,0))</f>
        <v>806809.266431191</v>
      </c>
      <c r="L207" s="39" t="n">
        <f aca="false">IF(8&gt;='Inputs &amp; Assumptions'!$E$144,0,'Inputs &amp; Assumptions'!$G$59*MAX(L174-L185-L196,0))</f>
        <v>757358.416262357</v>
      </c>
      <c r="M207" s="39" t="n">
        <f aca="false">IF(9&gt;='Inputs &amp; Assumptions'!$E$144,0,'Inputs &amp; Assumptions'!$G$59*MAX(M174-M185-M196,0))</f>
        <v>712647.271856425</v>
      </c>
      <c r="N207" s="39" t="n">
        <f aca="false">IF(10&gt;='Inputs &amp; Assumptions'!$E$144,0,'Inputs &amp; Assumptions'!$G$59*MAX(N174-N185-N196,0))</f>
        <v>670575.678805786</v>
      </c>
      <c r="O207" s="39" t="n">
        <f aca="false">IF(11&gt;='Inputs &amp; Assumptions'!$E$144,0,'Inputs &amp; Assumptions'!$G$59*MAX(O174-O185-O196,0))</f>
        <v>630987.809487378</v>
      </c>
      <c r="P207" s="39" t="n">
        <f aca="false">IF(12&gt;='Inputs &amp; Assumptions'!$E$144,0,'Inputs &amp; Assumptions'!$G$59*MAX(P174-P185-P196,0))</f>
        <v>593737.035662743</v>
      </c>
      <c r="Q207" s="39" t="n">
        <f aca="false">IF(13&gt;='Inputs &amp; Assumptions'!$E$144,0,'Inputs &amp; Assumptions'!$G$59*MAX(Q174-Q185-Q196,0))</f>
        <v>559866.3520958</v>
      </c>
      <c r="R207" s="39" t="n">
        <f aca="false">IF(14&gt;='Inputs &amp; Assumptions'!$E$144,0,'Inputs &amp; Assumptions'!$G$59*MAX(R174-R185-R196,0))</f>
        <v>527927.876116365</v>
      </c>
      <c r="S207" s="39" t="n">
        <f aca="false">IF(15&gt;='Inputs &amp; Assumptions'!$E$144,0,'Inputs &amp; Assumptions'!$G$59*MAX(S174-S185-S196,0))</f>
        <v>497811.381836796</v>
      </c>
      <c r="T207" s="39" t="n">
        <f aca="false">IF(16&gt;='Inputs &amp; Assumptions'!$E$144,0,'Inputs &amp; Assumptions'!$G$59*MAX(T174-T185-T196,0))</f>
        <v>469412.931382386</v>
      </c>
      <c r="U207" s="39" t="n">
        <f aca="false">IF(17&gt;='Inputs &amp; Assumptions'!$E$144,0,'Inputs &amp; Assumptions'!$G$59*MAX(U174-U185-U196,0))</f>
        <v>443261.615423704</v>
      </c>
      <c r="V207" s="39" t="n">
        <f aca="false">IF(18&gt;='Inputs &amp; Assumptions'!$E$144,0,'Inputs &amp; Assumptions'!$G$59*MAX(V174-V185-V196,0))</f>
        <v>418567.207190927</v>
      </c>
      <c r="W207" s="39" t="n">
        <f aca="false">IF(19&gt;='Inputs &amp; Assumptions'!$E$144,0,'Inputs &amp; Assumptions'!$G$59*MAX(W174-W185-W196,0))</f>
        <v>395248.541356653</v>
      </c>
      <c r="X207" s="39" t="n">
        <f aca="false">IF(20&gt;='Inputs &amp; Assumptions'!$E$144,0,'Inputs &amp; Assumptions'!$G$59*MAX(X174-X185-X196,0))</f>
        <v>373228.974369466</v>
      </c>
      <c r="Y207" s="39" t="n">
        <f aca="false">IF(21&gt;='Inputs &amp; Assumptions'!$E$144,0,'Inputs &amp; Assumptions'!$G$59*MAX(Y174-Y185-Y196,0))</f>
        <v>352890.417044535</v>
      </c>
      <c r="Z207" s="39" t="n">
        <f aca="false">IF(22&gt;='Inputs &amp; Assumptions'!$E$144,0,'Inputs &amp; Assumptions'!$G$59*MAX(Z174-Z185-Z196,0))</f>
        <v>333660.179122615</v>
      </c>
      <c r="AA207" s="39" t="n">
        <f aca="false">IF(23&gt;='Inputs &amp; Assumptions'!$E$144,0,'Inputs &amp; Assumptions'!$G$59*MAX(AA174-AA185-AA196,0))</f>
        <v>315477.864387816</v>
      </c>
      <c r="AB207" s="39" t="n">
        <f aca="false">IF(24&gt;='Inputs &amp; Assumptions'!$E$144,0,'Inputs &amp; Assumptions'!$G$59*MAX(AB174-AB185-AB196,0))</f>
        <v>0</v>
      </c>
      <c r="AC207" s="39" t="n">
        <f aca="false">IF(25&gt;='Inputs &amp; Assumptions'!$E$144,0,'Inputs &amp; Assumptions'!$G$59*MAX(AC174-AC185-AC196,0))</f>
        <v>0</v>
      </c>
      <c r="AD207" s="39" t="n">
        <f aca="false">IF(26&gt;='Inputs &amp; Assumptions'!$E$144,0,'Inputs &amp; Assumptions'!$G$59*MAX(AD174-AD185-AD196,0))</f>
        <v>0</v>
      </c>
      <c r="AE207" s="39" t="n">
        <f aca="false">IF(27&gt;='Inputs &amp; Assumptions'!$E$144,0,'Inputs &amp; Assumptions'!$G$59*MAX(AE174-AE185-AE196,0))</f>
        <v>0</v>
      </c>
      <c r="AF207" s="39" t="n">
        <f aca="false">IF(28&gt;='Inputs &amp; Assumptions'!$E$144,0,'Inputs &amp; Assumptions'!$G$59*MAX(AF174-AF185-AF196,0))</f>
        <v>0</v>
      </c>
      <c r="AG207" s="39" t="n">
        <f aca="false">IF(29&gt;='Inputs &amp; Assumptions'!$E$144,0,'Inputs &amp; Assumptions'!$G$59*MAX(AG174-AG185-AG196,0))</f>
        <v>0</v>
      </c>
      <c r="AH207" s="39" t="n">
        <f aca="false">IF(30&gt;='Inputs &amp; Assumptions'!$E$144,0,'Inputs &amp; Assumptions'!$G$59*MAX(AH174-AH185-AH196,0))</f>
        <v>0</v>
      </c>
      <c r="AI207" s="39" t="n">
        <f aca="false">IF(31&gt;='Inputs &amp; Assumptions'!$E$144,0,'Inputs &amp; Assumptions'!$G$59*MAX(AI174-AI185-AI196,0))</f>
        <v>0</v>
      </c>
      <c r="AJ207" s="39" t="n">
        <f aca="false">IF(32&gt;='Inputs &amp; Assumptions'!$E$144,0,'Inputs &amp; Assumptions'!$G$59*MAX(AJ174-AJ185-AJ196,0))</f>
        <v>0</v>
      </c>
      <c r="AK207" s="39" t="n">
        <f aca="false">IF(33&gt;='Inputs &amp; Assumptions'!$E$144,0,'Inputs &amp; Assumptions'!$G$59*MAX(AK174-AK185-AK196,0))</f>
        <v>0</v>
      </c>
      <c r="AL207" s="39" t="n">
        <f aca="false">IF(34&gt;='Inputs &amp; Assumptions'!$E$144,0,'Inputs &amp; Assumptions'!$G$59*MAX(AL174-AL185-AL196,0))</f>
        <v>0</v>
      </c>
      <c r="AM207" s="39" t="n">
        <f aca="false">IF(35&gt;='Inputs &amp; Assumptions'!$E$144,0,'Inputs &amp; Assumptions'!$G$59*MAX(AM174-AM185-AM196,0))</f>
        <v>0</v>
      </c>
      <c r="AN207" s="39" t="n">
        <f aca="false">IF(36&gt;='Inputs &amp; Assumptions'!$E$144,0,'Inputs &amp; Assumptions'!$G$59*MAX(AN174-AN185-AN196,0))</f>
        <v>0</v>
      </c>
    </row>
    <row r="208" customFormat="false" ht="15" hidden="false" customHeight="false" outlineLevel="0" collapsed="false">
      <c r="B208" s="37" t="n">
        <v>6</v>
      </c>
      <c r="C208" s="38" t="n">
        <f aca="false">'Inputs &amp; Assumptions'!$C$145</f>
        <v>5</v>
      </c>
      <c r="D208" s="38" t="n">
        <f aca="false">'Inputs &amp; Assumptions'!$D$145</f>
        <v>3</v>
      </c>
      <c r="E208" s="39" t="n">
        <f aca="false">IF(1&gt;='Inputs &amp; Assumptions'!$E$145,0,'Inputs &amp; Assumptions'!$G$59*MAX(E175-E186-E197,0))</f>
        <v>1149048.75347929</v>
      </c>
      <c r="F208" s="39" t="n">
        <f aca="false">IF(2&gt;='Inputs &amp; Assumptions'!$E$145,0,'Inputs &amp; Assumptions'!$G$59*MAX(F175-F186-F197,0))</f>
        <v>1076984.02858072</v>
      </c>
      <c r="G208" s="39" t="n">
        <f aca="false">IF(3&gt;='Inputs &amp; Assumptions'!$E$145,0,'Inputs &amp; Assumptions'!$G$59*MAX(G175-G186-G197,0))</f>
        <v>1009438.97663684</v>
      </c>
      <c r="H208" s="39" t="n">
        <f aca="false">IF(4&gt;='Inputs &amp; Assumptions'!$E$145,0,'Inputs &amp; Assumptions'!$G$59*MAX(H175-H186-H197,0))</f>
        <v>947568.572236236</v>
      </c>
      <c r="I208" s="39" t="n">
        <f aca="false">IF(5&gt;='Inputs &amp; Assumptions'!$E$145,0,'Inputs &amp; Assumptions'!$G$59*MAX(I175-I186-I197,0))</f>
        <v>889490.32073372</v>
      </c>
      <c r="J208" s="39" t="n">
        <f aca="false">IF(6&gt;='Inputs &amp; Assumptions'!$E$145,0,'Inputs &amp; Assumptions'!$G$59*MAX(J175-J186-J197,0))</f>
        <v>834971.79397981</v>
      </c>
      <c r="K208" s="39" t="n">
        <f aca="false">IF(7&gt;='Inputs &amp; Assumptions'!$E$145,0,'Inputs &amp; Assumptions'!$G$59*MAX(K175-K186-K197,0))</f>
        <v>783794.809781377</v>
      </c>
      <c r="L208" s="39" t="n">
        <f aca="false">IF(8&gt;='Inputs &amp; Assumptions'!$E$145,0,'Inputs &amp; Assumptions'!$G$59*MAX(L175-L186-L197,0))</f>
        <v>737522.975769546</v>
      </c>
      <c r="M208" s="39" t="n">
        <f aca="false">IF(9&gt;='Inputs &amp; Assumptions'!$E$145,0,'Inputs &amp; Assumptions'!$G$59*MAX(M175-M186-M197,0))</f>
        <v>693982.829434258</v>
      </c>
      <c r="N208" s="39" t="n">
        <f aca="false">IF(10&gt;='Inputs &amp; Assumptions'!$E$145,0,'Inputs &amp; Assumptions'!$G$59*MAX(N175-N186-N197,0))</f>
        <v>653013.103825078</v>
      </c>
      <c r="O208" s="39" t="n">
        <f aca="false">IF(11&gt;='Inputs &amp; Assumptions'!$E$145,0,'Inputs &amp; Assumptions'!$G$59*MAX(O175-O186-O197,0))</f>
        <v>614462.052490389</v>
      </c>
      <c r="P208" s="39" t="n">
        <f aca="false">IF(12&gt;='Inputs &amp; Assumptions'!$E$145,0,'Inputs &amp; Assumptions'!$G$59*MAX(P175-P186-P197,0))</f>
        <v>579409.077025308</v>
      </c>
      <c r="Q208" s="39" t="n">
        <f aca="false">IF(13&gt;='Inputs &amp; Assumptions'!$E$145,0,'Inputs &amp; Assumptions'!$G$59*MAX(Q175-Q186-Q197,0))</f>
        <v>546355.75488947</v>
      </c>
      <c r="R208" s="39" t="n">
        <f aca="false">IF(14&gt;='Inputs &amp; Assumptions'!$E$145,0,'Inputs &amp; Assumptions'!$G$59*MAX(R175-R186-R197,0))</f>
        <v>515188.012644482</v>
      </c>
      <c r="S208" s="39" t="n">
        <f aca="false">IF(15&gt;='Inputs &amp; Assumptions'!$E$145,0,'Inputs &amp; Assumptions'!$G$59*MAX(S175-S186-S197,0))</f>
        <v>485798.284354608</v>
      </c>
      <c r="T208" s="39" t="n">
        <f aca="false">IF(16&gt;='Inputs &amp; Assumptions'!$E$145,0,'Inputs &amp; Assumptions'!$G$59*MAX(T175-T186-T197,0))</f>
        <v>458734.129157754</v>
      </c>
      <c r="U208" s="39" t="n">
        <f aca="false">IF(17&gt;='Inputs &amp; Assumptions'!$E$145,0,'Inputs &amp; Assumptions'!$G$59*MAX(U175-U186-U197,0))</f>
        <v>433177.736586066</v>
      </c>
      <c r="V208" s="39" t="n">
        <f aca="false">IF(18&gt;='Inputs &amp; Assumptions'!$E$145,0,'Inputs &amp; Assumptions'!$G$59*MAX(V175-V186-V197,0))</f>
        <v>409045.108150866</v>
      </c>
      <c r="W208" s="39" t="n">
        <f aca="false">IF(19&gt;='Inputs &amp; Assumptions'!$E$145,0,'Inputs &amp; Assumptions'!$G$59*MAX(W175-W186-W197,0))</f>
        <v>386256.924976823</v>
      </c>
      <c r="X208" s="39" t="n">
        <f aca="false">IF(20&gt;='Inputs &amp; Assumptions'!$E$145,0,'Inputs &amp; Assumptions'!$G$59*MAX(X175-X186-X197,0))</f>
        <v>365208.428878511</v>
      </c>
      <c r="Y208" s="39" t="n">
        <f aca="false">IF(21&gt;='Inputs &amp; Assumptions'!$E$145,0,'Inputs &amp; Assumptions'!$G$59*MAX(Y175-Y186-Y197,0))</f>
        <v>345306.939239765</v>
      </c>
      <c r="Z208" s="39" t="n">
        <f aca="false">IF(22&gt;='Inputs &amp; Assumptions'!$E$145,0,'Inputs &amp; Assumptions'!$G$59*MAX(Z175-Z186-Z197,0))</f>
        <v>326489.951651143</v>
      </c>
      <c r="AA208" s="39" t="n">
        <f aca="false">IF(23&gt;='Inputs &amp; Assumptions'!$E$145,0,'Inputs &amp; Assumptions'!$G$59*MAX(AA175-AA186-AA197,0))</f>
        <v>0</v>
      </c>
      <c r="AB208" s="39" t="n">
        <f aca="false">IF(24&gt;='Inputs &amp; Assumptions'!$E$145,0,'Inputs &amp; Assumptions'!$G$59*MAX(AB175-AB186-AB197,0))</f>
        <v>0</v>
      </c>
      <c r="AC208" s="39" t="n">
        <f aca="false">IF(25&gt;='Inputs &amp; Assumptions'!$E$145,0,'Inputs &amp; Assumptions'!$G$59*MAX(AC175-AC186-AC197,0))</f>
        <v>0</v>
      </c>
      <c r="AD208" s="39" t="n">
        <f aca="false">IF(26&gt;='Inputs &amp; Assumptions'!$E$145,0,'Inputs &amp; Assumptions'!$G$59*MAX(AD175-AD186-AD197,0))</f>
        <v>0</v>
      </c>
      <c r="AE208" s="39" t="n">
        <f aca="false">IF(27&gt;='Inputs &amp; Assumptions'!$E$145,0,'Inputs &amp; Assumptions'!$G$59*MAX(AE175-AE186-AE197,0))</f>
        <v>0</v>
      </c>
      <c r="AF208" s="39" t="n">
        <f aca="false">IF(28&gt;='Inputs &amp; Assumptions'!$E$145,0,'Inputs &amp; Assumptions'!$G$59*MAX(AF175-AF186-AF197,0))</f>
        <v>0</v>
      </c>
      <c r="AG208" s="39" t="n">
        <f aca="false">IF(29&gt;='Inputs &amp; Assumptions'!$E$145,0,'Inputs &amp; Assumptions'!$G$59*MAX(AG175-AG186-AG197,0))</f>
        <v>0</v>
      </c>
      <c r="AH208" s="39" t="n">
        <f aca="false">IF(30&gt;='Inputs &amp; Assumptions'!$E$145,0,'Inputs &amp; Assumptions'!$G$59*MAX(AH175-AH186-AH197,0))</f>
        <v>0</v>
      </c>
      <c r="AI208" s="39" t="n">
        <f aca="false">IF(31&gt;='Inputs &amp; Assumptions'!$E$145,0,'Inputs &amp; Assumptions'!$G$59*MAX(AI175-AI186-AI197,0))</f>
        <v>0</v>
      </c>
      <c r="AJ208" s="39" t="n">
        <f aca="false">IF(32&gt;='Inputs &amp; Assumptions'!$E$145,0,'Inputs &amp; Assumptions'!$G$59*MAX(AJ175-AJ186-AJ197,0))</f>
        <v>0</v>
      </c>
      <c r="AK208" s="39" t="n">
        <f aca="false">IF(33&gt;='Inputs &amp; Assumptions'!$E$145,0,'Inputs &amp; Assumptions'!$G$59*MAX(AK175-AK186-AK197,0))</f>
        <v>0</v>
      </c>
      <c r="AL208" s="39" t="n">
        <f aca="false">IF(34&gt;='Inputs &amp; Assumptions'!$E$145,0,'Inputs &amp; Assumptions'!$G$59*MAX(AL175-AL186-AL197,0))</f>
        <v>0</v>
      </c>
      <c r="AM208" s="39" t="n">
        <f aca="false">IF(35&gt;='Inputs &amp; Assumptions'!$E$145,0,'Inputs &amp; Assumptions'!$G$59*MAX(AM175-AM186-AM197,0))</f>
        <v>0</v>
      </c>
      <c r="AN208" s="39" t="n">
        <f aca="false">IF(36&gt;='Inputs &amp; Assumptions'!$E$145,0,'Inputs &amp; Assumptions'!$G$59*MAX(AN175-AN186-AN197,0))</f>
        <v>0</v>
      </c>
    </row>
    <row r="209" customFormat="false" ht="15" hidden="false" customHeight="false" outlineLevel="0" collapsed="false">
      <c r="B209" s="37" t="n">
        <v>7</v>
      </c>
      <c r="C209" s="38" t="n">
        <f aca="false">'Inputs &amp; Assumptions'!$C$146</f>
        <v>6</v>
      </c>
      <c r="D209" s="38" t="n">
        <f aca="false">'Inputs &amp; Assumptions'!$D$146</f>
        <v>3</v>
      </c>
      <c r="E209" s="39" t="n">
        <f aca="false">IF(1&gt;='Inputs &amp; Assumptions'!$E$146,0,'Inputs &amp; Assumptions'!$G$59*MAX(E176-E187-E198,0))</f>
        <v>1114577.29087491</v>
      </c>
      <c r="F209" s="39" t="n">
        <f aca="false">IF(2&gt;='Inputs &amp; Assumptions'!$E$146,0,'Inputs &amp; Assumptions'!$G$59*MAX(F176-F187-F198,0))</f>
        <v>1044674.5077233</v>
      </c>
      <c r="G209" s="39" t="n">
        <f aca="false">IF(3&gt;='Inputs &amp; Assumptions'!$E$146,0,'Inputs &amp; Assumptions'!$G$59*MAX(G176-G187-G198,0))</f>
        <v>980644.451666637</v>
      </c>
      <c r="H209" s="39" t="n">
        <f aca="false">IF(4&gt;='Inputs &amp; Assumptions'!$E$146,0,'Inputs &amp; Assumptions'!$G$59*MAX(H176-H187-H198,0))</f>
        <v>920538.917600611</v>
      </c>
      <c r="I209" s="39" t="n">
        <f aca="false">IF(5&gt;='Inputs &amp; Assumptions'!$E$146,0,'Inputs &amp; Assumptions'!$G$59*MAX(I176-I187-I198,0))</f>
        <v>864117.364226284</v>
      </c>
      <c r="J209" s="39" t="n">
        <f aca="false">IF(6&gt;='Inputs &amp; Assumptions'!$E$146,0,'Inputs &amp; Assumptions'!$G$59*MAX(J176-J187-J198,0))</f>
        <v>811153.993471188</v>
      </c>
      <c r="K209" s="39" t="n">
        <f aca="false">IF(7&gt;='Inputs &amp; Assumptions'!$E$146,0,'Inputs &amp; Assumptions'!$G$59*MAX(K176-K187-K198,0))</f>
        <v>763266.992338326</v>
      </c>
      <c r="L209" s="39" t="n">
        <f aca="false">IF(8&gt;='Inputs &amp; Assumptions'!$E$146,0,'Inputs &amp; Assumptions'!$G$59*MAX(L176-L187-L198,0))</f>
        <v>718207.03131863</v>
      </c>
      <c r="M209" s="39" t="n">
        <f aca="false">IF(9&gt;='Inputs &amp; Assumptions'!$E$146,0,'Inputs &amp; Assumptions'!$G$59*MAX(M176-M187-M198,0))</f>
        <v>675807.21426884</v>
      </c>
      <c r="N209" s="39" t="n">
        <f aca="false">IF(10&gt;='Inputs &amp; Assumptions'!$E$146,0,'Inputs &amp; Assumptions'!$G$59*MAX(N176-N187-N198,0))</f>
        <v>635910.497867556</v>
      </c>
      <c r="O209" s="39" t="n">
        <f aca="false">IF(11&gt;='Inputs &amp; Assumptions'!$E$146,0,'Inputs &amp; Assumptions'!$G$59*MAX(O176-O187-O198,0))</f>
        <v>599633.961359897</v>
      </c>
      <c r="P209" s="39" t="n">
        <f aca="false">IF(12&gt;='Inputs &amp; Assumptions'!$E$146,0,'Inputs &amp; Assumptions'!$G$59*MAX(P176-P187-P198,0))</f>
        <v>565426.878187895</v>
      </c>
      <c r="Q209" s="39" t="n">
        <f aca="false">IF(13&gt;='Inputs &amp; Assumptions'!$E$146,0,'Inputs &amp; Assumptions'!$G$59*MAX(Q176-Q187-Q198,0))</f>
        <v>533171.193059597</v>
      </c>
      <c r="R209" s="39" t="n">
        <f aca="false">IF(14&gt;='Inputs &amp; Assumptions'!$E$146,0,'Inputs &amp; Assumptions'!$G$59*MAX(R176-R187-R198,0))</f>
        <v>502755.585336941</v>
      </c>
      <c r="S209" s="39" t="n">
        <f aca="false">IF(15&gt;='Inputs &amp; Assumptions'!$E$146,0,'Inputs &amp; Assumptions'!$G$59*MAX(S176-S187-S198,0))</f>
        <v>474746.727286483</v>
      </c>
      <c r="T209" s="39" t="n">
        <f aca="false">IF(16&gt;='Inputs &amp; Assumptions'!$E$146,0,'Inputs &amp; Assumptions'!$G$59*MAX(T176-T187-T198,0))</f>
        <v>448298.261904294</v>
      </c>
      <c r="U209" s="39" t="n">
        <f aca="false">IF(17&gt;='Inputs &amp; Assumptions'!$E$146,0,'Inputs &amp; Assumptions'!$G$59*MAX(U176-U187-U198,0))</f>
        <v>423323.258645943</v>
      </c>
      <c r="V209" s="39" t="n">
        <f aca="false">IF(18&gt;='Inputs &amp; Assumptions'!$E$146,0,'Inputs &amp; Assumptions'!$G$59*MAX(V176-V187-V198,0))</f>
        <v>399739.629927178</v>
      </c>
      <c r="W209" s="39" t="n">
        <f aca="false">IF(19&gt;='Inputs &amp; Assumptions'!$E$146,0,'Inputs &amp; Assumptions'!$G$59*MAX(W176-W187-W198,0))</f>
        <v>377956.413894566</v>
      </c>
      <c r="X209" s="39" t="n">
        <f aca="false">IF(20&gt;='Inputs &amp; Assumptions'!$E$146,0,'Inputs &amp; Assumptions'!$G$59*MAX(X176-X187-X198,0))</f>
        <v>357360.241790547</v>
      </c>
      <c r="Y209" s="39" t="n">
        <f aca="false">IF(21&gt;='Inputs &amp; Assumptions'!$E$146,0,'Inputs &amp; Assumptions'!$G$59*MAX(Y176-Y187-Y198,0))</f>
        <v>337886.427423409</v>
      </c>
      <c r="Z209" s="39" t="n">
        <f aca="false">IF(22&gt;='Inputs &amp; Assumptions'!$E$146,0,'Inputs &amp; Assumptions'!$G$59*MAX(Z176-Z187-Z198,0))</f>
        <v>0</v>
      </c>
      <c r="AA209" s="39" t="n">
        <f aca="false">IF(23&gt;='Inputs &amp; Assumptions'!$E$146,0,'Inputs &amp; Assumptions'!$G$59*MAX(AA176-AA187-AA198,0))</f>
        <v>0</v>
      </c>
      <c r="AB209" s="39" t="n">
        <f aca="false">IF(24&gt;='Inputs &amp; Assumptions'!$E$146,0,'Inputs &amp; Assumptions'!$G$59*MAX(AB176-AB187-AB198,0))</f>
        <v>0</v>
      </c>
      <c r="AC209" s="39" t="n">
        <f aca="false">IF(25&gt;='Inputs &amp; Assumptions'!$E$146,0,'Inputs &amp; Assumptions'!$G$59*MAX(AC176-AC187-AC198,0))</f>
        <v>0</v>
      </c>
      <c r="AD209" s="39" t="n">
        <f aca="false">IF(26&gt;='Inputs &amp; Assumptions'!$E$146,0,'Inputs &amp; Assumptions'!$G$59*MAX(AD176-AD187-AD198,0))</f>
        <v>0</v>
      </c>
      <c r="AE209" s="39" t="n">
        <f aca="false">IF(27&gt;='Inputs &amp; Assumptions'!$E$146,0,'Inputs &amp; Assumptions'!$G$59*MAX(AE176-AE187-AE198,0))</f>
        <v>0</v>
      </c>
      <c r="AF209" s="39" t="n">
        <f aca="false">IF(28&gt;='Inputs &amp; Assumptions'!$E$146,0,'Inputs &amp; Assumptions'!$G$59*MAX(AF176-AF187-AF198,0))</f>
        <v>0</v>
      </c>
      <c r="AG209" s="39" t="n">
        <f aca="false">IF(29&gt;='Inputs &amp; Assumptions'!$E$146,0,'Inputs &amp; Assumptions'!$G$59*MAX(AG176-AG187-AG198,0))</f>
        <v>0</v>
      </c>
      <c r="AH209" s="39" t="n">
        <f aca="false">IF(30&gt;='Inputs &amp; Assumptions'!$E$146,0,'Inputs &amp; Assumptions'!$G$59*MAX(AH176-AH187-AH198,0))</f>
        <v>0</v>
      </c>
      <c r="AI209" s="39" t="n">
        <f aca="false">IF(31&gt;='Inputs &amp; Assumptions'!$E$146,0,'Inputs &amp; Assumptions'!$G$59*MAX(AI176-AI187-AI198,0))</f>
        <v>0</v>
      </c>
      <c r="AJ209" s="39" t="n">
        <f aca="false">IF(32&gt;='Inputs &amp; Assumptions'!$E$146,0,'Inputs &amp; Assumptions'!$G$59*MAX(AJ176-AJ187-AJ198,0))</f>
        <v>0</v>
      </c>
      <c r="AK209" s="39" t="n">
        <f aca="false">IF(33&gt;='Inputs &amp; Assumptions'!$E$146,0,'Inputs &amp; Assumptions'!$G$59*MAX(AK176-AK187-AK198,0))</f>
        <v>0</v>
      </c>
      <c r="AL209" s="39" t="n">
        <f aca="false">IF(34&gt;='Inputs &amp; Assumptions'!$E$146,0,'Inputs &amp; Assumptions'!$G$59*MAX(AL176-AL187-AL198,0))</f>
        <v>0</v>
      </c>
      <c r="AM209" s="39" t="n">
        <f aca="false">IF(35&gt;='Inputs &amp; Assumptions'!$E$146,0,'Inputs &amp; Assumptions'!$G$59*MAX(AM176-AM187-AM198,0))</f>
        <v>0</v>
      </c>
      <c r="AN209" s="39" t="n">
        <f aca="false">IF(36&gt;='Inputs &amp; Assumptions'!$E$146,0,'Inputs &amp; Assumptions'!$G$59*MAX(AN176-AN187-AN198,0))</f>
        <v>0</v>
      </c>
    </row>
    <row r="210" customFormat="false" ht="15" hidden="false" customHeight="false" outlineLevel="0" collapsed="false">
      <c r="B210" s="37" t="n">
        <v>8</v>
      </c>
      <c r="C210" s="38" t="n">
        <f aca="false">'Inputs &amp; Assumptions'!$C$147</f>
        <v>7</v>
      </c>
      <c r="D210" s="38" t="n">
        <f aca="false">'Inputs &amp; Assumptions'!$D$147</f>
        <v>3</v>
      </c>
      <c r="E210" s="39" t="n">
        <f aca="false">IF(1&gt;='Inputs &amp; Assumptions'!$E$147,0,'Inputs &amp; Assumptions'!$G$59*MAX(E177-E188-E199,0))</f>
        <v>1081139.97214866</v>
      </c>
      <c r="F210" s="39" t="n">
        <f aca="false">IF(2&gt;='Inputs &amp; Assumptions'!$E$147,0,'Inputs &amp; Assumptions'!$G$59*MAX(F177-F188-F199,0))</f>
        <v>1014874.87951934</v>
      </c>
      <c r="G210" s="39" t="n">
        <f aca="false">IF(3&gt;='Inputs &amp; Assumptions'!$E$147,0,'Inputs &amp; Assumptions'!$G$59*MAX(G177-G188-G199,0))</f>
        <v>952671.29845585</v>
      </c>
      <c r="H210" s="39" t="n">
        <f aca="false">IF(4&gt;='Inputs &amp; Assumptions'!$E$147,0,'Inputs &amp; Assumptions'!$G$59*MAX(H177-H188-H199,0))</f>
        <v>894280.291311775</v>
      </c>
      <c r="I210" s="39" t="n">
        <f aca="false">IF(5&gt;='Inputs &amp; Assumptions'!$E$147,0,'Inputs &amp; Assumptions'!$G$59*MAX(I177-I188-I199,0))</f>
        <v>839468.178295009</v>
      </c>
      <c r="J210" s="39" t="n">
        <f aca="false">IF(6&gt;='Inputs &amp; Assumptions'!$E$147,0,'Inputs &amp; Assumptions'!$G$59*MAX(J177-J188-J199,0))</f>
        <v>789909.630930916</v>
      </c>
      <c r="K210" s="39" t="n">
        <f aca="false">IF(7&gt;='Inputs &amp; Assumptions'!$E$147,0,'Inputs &amp; Assumptions'!$G$59*MAX(K177-K188-K199,0))</f>
        <v>743276.804493883</v>
      </c>
      <c r="L210" s="39" t="n">
        <f aca="false">IF(8&gt;='Inputs &amp; Assumptions'!$E$147,0,'Inputs &amp; Assumptions'!$G$59*MAX(L177-L188-L199,0))</f>
        <v>699396.977154917</v>
      </c>
      <c r="M210" s="39" t="n">
        <f aca="false">IF(9&gt;='Inputs &amp; Assumptions'!$E$147,0,'Inputs &amp; Assumptions'!$G$59*MAX(M177-M188-M199,0))</f>
        <v>658107.623830013</v>
      </c>
      <c r="N210" s="39" t="n">
        <f aca="false">IF(10&gt;='Inputs &amp; Assumptions'!$E$147,0,'Inputs &amp; Assumptions'!$G$59*MAX(N177-N188-N199,0))</f>
        <v>620564.816592366</v>
      </c>
      <c r="O210" s="39" t="n">
        <f aca="false">IF(11&gt;='Inputs &amp; Assumptions'!$E$147,0,'Inputs &amp; Assumptions'!$G$59*MAX(O177-O188-O199,0))</f>
        <v>585163.699139559</v>
      </c>
      <c r="P210" s="39" t="n">
        <f aca="false">IF(12&gt;='Inputs &amp; Assumptions'!$E$147,0,'Inputs &amp; Assumptions'!$G$59*MAX(P177-P188-P199,0))</f>
        <v>551782.095335286</v>
      </c>
      <c r="Q210" s="39" t="n">
        <f aca="false">IF(13&gt;='Inputs &amp; Assumptions'!$E$147,0,'Inputs &amp; Assumptions'!$G$59*MAX(Q177-Q188-Q199,0))</f>
        <v>520304.798777316</v>
      </c>
      <c r="R210" s="39" t="n">
        <f aca="false">IF(14&gt;='Inputs &amp; Assumptions'!$E$147,0,'Inputs &amp; Assumptions'!$G$59*MAX(R177-R188-R199,0))</f>
        <v>491318.262024753</v>
      </c>
      <c r="S210" s="39" t="n">
        <f aca="false">IF(15&gt;='Inputs &amp; Assumptions'!$E$147,0,'Inputs &amp; Assumptions'!$G$59*MAX(S177-S188-S199,0))</f>
        <v>463946.585090669</v>
      </c>
      <c r="T210" s="39" t="n">
        <f aca="false">IF(16&gt;='Inputs &amp; Assumptions'!$E$147,0,'Inputs &amp; Assumptions'!$G$59*MAX(T177-T188-T199,0))</f>
        <v>438099.803028386</v>
      </c>
      <c r="U210" s="39" t="n">
        <f aca="false">IF(17&gt;='Inputs &amp; Assumptions'!$E$147,0,'Inputs &amp; Assumptions'!$G$59*MAX(U177-U188-U199,0))</f>
        <v>413692.962900033</v>
      </c>
      <c r="V210" s="39" t="n">
        <f aca="false">IF(18&gt;='Inputs &amp; Assumptions'!$E$147,0,'Inputs &amp; Assumptions'!$G$59*MAX(V177-V188-V199,0))</f>
        <v>391149.380759666</v>
      </c>
      <c r="W210" s="39" t="n">
        <f aca="false">IF(19&gt;='Inputs &amp; Assumptions'!$E$147,0,'Inputs &amp; Assumptions'!$G$59*MAX(W177-W188-W199,0))</f>
        <v>369834.277566963</v>
      </c>
      <c r="X210" s="39" t="n">
        <f aca="false">IF(20&gt;='Inputs &amp; Assumptions'!$E$147,0,'Inputs &amp; Assumptions'!$G$59*MAX(X177-X188-X199,0))</f>
        <v>349680.709190533</v>
      </c>
      <c r="Y210" s="39" t="n">
        <f aca="false">IF(21&gt;='Inputs &amp; Assumptions'!$E$147,0,'Inputs &amp; Assumptions'!$G$59*MAX(Y177-Y188-Y199,0))</f>
        <v>0</v>
      </c>
      <c r="Z210" s="39" t="n">
        <f aca="false">IF(22&gt;='Inputs &amp; Assumptions'!$E$147,0,'Inputs &amp; Assumptions'!$G$59*MAX(Z177-Z188-Z199,0))</f>
        <v>0</v>
      </c>
      <c r="AA210" s="39" t="n">
        <f aca="false">IF(23&gt;='Inputs &amp; Assumptions'!$E$147,0,'Inputs &amp; Assumptions'!$G$59*MAX(AA177-AA188-AA199,0))</f>
        <v>0</v>
      </c>
      <c r="AB210" s="39" t="n">
        <f aca="false">IF(24&gt;='Inputs &amp; Assumptions'!$E$147,0,'Inputs &amp; Assumptions'!$G$59*MAX(AB177-AB188-AB199,0))</f>
        <v>0</v>
      </c>
      <c r="AC210" s="39" t="n">
        <f aca="false">IF(25&gt;='Inputs &amp; Assumptions'!$E$147,0,'Inputs &amp; Assumptions'!$G$59*MAX(AC177-AC188-AC199,0))</f>
        <v>0</v>
      </c>
      <c r="AD210" s="39" t="n">
        <f aca="false">IF(26&gt;='Inputs &amp; Assumptions'!$E$147,0,'Inputs &amp; Assumptions'!$G$59*MAX(AD177-AD188-AD199,0))</f>
        <v>0</v>
      </c>
      <c r="AE210" s="39" t="n">
        <f aca="false">IF(27&gt;='Inputs &amp; Assumptions'!$E$147,0,'Inputs &amp; Assumptions'!$G$59*MAX(AE177-AE188-AE199,0))</f>
        <v>0</v>
      </c>
      <c r="AF210" s="39" t="n">
        <f aca="false">IF(28&gt;='Inputs &amp; Assumptions'!$E$147,0,'Inputs &amp; Assumptions'!$G$59*MAX(AF177-AF188-AF199,0))</f>
        <v>0</v>
      </c>
      <c r="AG210" s="39" t="n">
        <f aca="false">IF(29&gt;='Inputs &amp; Assumptions'!$E$147,0,'Inputs &amp; Assumptions'!$G$59*MAX(AG177-AG188-AG199,0))</f>
        <v>0</v>
      </c>
      <c r="AH210" s="39" t="n">
        <f aca="false">IF(30&gt;='Inputs &amp; Assumptions'!$E$147,0,'Inputs &amp; Assumptions'!$G$59*MAX(AH177-AH188-AH199,0))</f>
        <v>0</v>
      </c>
      <c r="AI210" s="39" t="n">
        <f aca="false">IF(31&gt;='Inputs &amp; Assumptions'!$E$147,0,'Inputs &amp; Assumptions'!$G$59*MAX(AI177-AI188-AI199,0))</f>
        <v>0</v>
      </c>
      <c r="AJ210" s="39" t="n">
        <f aca="false">IF(32&gt;='Inputs &amp; Assumptions'!$E$147,0,'Inputs &amp; Assumptions'!$G$59*MAX(AJ177-AJ188-AJ199,0))</f>
        <v>0</v>
      </c>
      <c r="AK210" s="39" t="n">
        <f aca="false">IF(33&gt;='Inputs &amp; Assumptions'!$E$147,0,'Inputs &amp; Assumptions'!$G$59*MAX(AK177-AK188-AK199,0))</f>
        <v>0</v>
      </c>
      <c r="AL210" s="39" t="n">
        <f aca="false">IF(34&gt;='Inputs &amp; Assumptions'!$E$147,0,'Inputs &amp; Assumptions'!$G$59*MAX(AL177-AL188-AL199,0))</f>
        <v>0</v>
      </c>
      <c r="AM210" s="39" t="n">
        <f aca="false">IF(35&gt;='Inputs &amp; Assumptions'!$E$147,0,'Inputs &amp; Assumptions'!$G$59*MAX(AM177-AM188-AM199,0))</f>
        <v>0</v>
      </c>
      <c r="AN210" s="39" t="n">
        <f aca="false">IF(36&gt;='Inputs &amp; Assumptions'!$E$147,0,'Inputs &amp; Assumptions'!$G$59*MAX(AN177-AN188-AN199,0))</f>
        <v>0</v>
      </c>
    </row>
    <row r="211" customFormat="false" ht="15" hidden="false" customHeight="false" outlineLevel="0" collapsed="false">
      <c r="B211" s="37" t="n">
        <v>9</v>
      </c>
      <c r="C211" s="38" t="n">
        <f aca="false">'Inputs &amp; Assumptions'!$C$148</f>
        <v>8</v>
      </c>
      <c r="D211" s="38" t="n">
        <f aca="false">'Inputs &amp; Assumptions'!$D$148</f>
        <v>3</v>
      </c>
      <c r="E211" s="39" t="n">
        <f aca="false">IF(1&gt;='Inputs &amp; Assumptions'!$E$148,0,'Inputs &amp; Assumptions'!$G$59*MAX(E178-E189-E200,0))</f>
        <v>1050300.15652352</v>
      </c>
      <c r="F211" s="39" t="n">
        <f aca="false">IF(2&gt;='Inputs &amp; Assumptions'!$E$148,0,'Inputs &amp; Assumptions'!$G$59*MAX(F178-F189-F200,0))</f>
        <v>985925.293921492</v>
      </c>
      <c r="G211" s="39" t="n">
        <f aca="false">IF(3&gt;='Inputs &amp; Assumptions'!$E$148,0,'Inputs &amp; Assumptions'!$G$59*MAX(G178-G189-G200,0))</f>
        <v>925496.0871487</v>
      </c>
      <c r="H211" s="39" t="n">
        <f aca="false">IF(4&gt;='Inputs &amp; Assumptions'!$E$148,0,'Inputs &amp; Assumptions'!$G$59*MAX(H178-H189-H200,0))</f>
        <v>868770.699573672</v>
      </c>
      <c r="I211" s="39" t="n">
        <f aca="false">IF(5&gt;='Inputs &amp; Assumptions'!$E$148,0,'Inputs &amp; Assumptions'!$G$59*MAX(I178-I189-I200,0))</f>
        <v>817482.258895904</v>
      </c>
      <c r="J211" s="39" t="n">
        <f aca="false">IF(6&gt;='Inputs &amp; Assumptions'!$E$148,0,'Inputs &amp; Assumptions'!$G$59*MAX(J178-J189-J200,0))</f>
        <v>769221.664516874</v>
      </c>
      <c r="K211" s="39" t="n">
        <f aca="false">IF(7&gt;='Inputs &amp; Assumptions'!$E$148,0,'Inputs &amp; Assumptions'!$G$59*MAX(K178-K189-K200,0))</f>
        <v>723810.165570157</v>
      </c>
      <c r="L211" s="39" t="n">
        <f aca="false">IF(8&gt;='Inputs &amp; Assumptions'!$E$148,0,'Inputs &amp; Assumptions'!$G$59*MAX(L178-L189-L200,0))</f>
        <v>681079.563862447</v>
      </c>
      <c r="M211" s="39" t="n">
        <f aca="false">IF(9&gt;='Inputs &amp; Assumptions'!$E$148,0,'Inputs &amp; Assumptions'!$G$59*MAX(M178-M189-M200,0))</f>
        <v>642226.28538076</v>
      </c>
      <c r="N211" s="39" t="n">
        <f aca="false">IF(10&gt;='Inputs &amp; Assumptions'!$E$148,0,'Inputs &amp; Assumptions'!$G$59*MAX(N178-N189-N200,0))</f>
        <v>605589.45462247</v>
      </c>
      <c r="O211" s="39" t="n">
        <f aca="false">IF(11&gt;='Inputs &amp; Assumptions'!$E$148,0,'Inputs &amp; Assumptions'!$G$59*MAX(O178-O189-O200,0))</f>
        <v>571042.630764498</v>
      </c>
      <c r="P211" s="39" t="n">
        <f aca="false">IF(12&gt;='Inputs &amp; Assumptions'!$E$148,0,'Inputs &amp; Assumptions'!$G$59*MAX(P178-P189-P200,0))</f>
        <v>538466.586003758</v>
      </c>
      <c r="Q211" s="39" t="n">
        <f aca="false">IF(13&gt;='Inputs &amp; Assumptions'!$E$148,0,'Inputs &amp; Assumptions'!$G$59*MAX(Q178-Q189-Q200,0))</f>
        <v>508468.243643849</v>
      </c>
      <c r="R211" s="39" t="n">
        <f aca="false">IF(14&gt;='Inputs &amp; Assumptions'!$E$148,0,'Inputs &amp; Assumptions'!$G$59*MAX(R178-R189-R200,0))</f>
        <v>480141.1294859</v>
      </c>
      <c r="S211" s="39" t="n">
        <f aca="false">IF(15&gt;='Inputs &amp; Assumptions'!$E$148,0,'Inputs &amp; Assumptions'!$G$59*MAX(S178-S189-S200,0))</f>
        <v>453392.138261975</v>
      </c>
      <c r="T211" s="39" t="n">
        <f aca="false">IF(16&gt;='Inputs &amp; Assumptions'!$E$148,0,'Inputs &amp; Assumptions'!$G$59*MAX(T178-T189-T200,0))</f>
        <v>428133.351662394</v>
      </c>
      <c r="U211" s="39" t="n">
        <f aca="false">IF(17&gt;='Inputs &amp; Assumptions'!$E$148,0,'Inputs &amp; Assumptions'!$G$59*MAX(U178-U189-U200,0))</f>
        <v>404802.862034114</v>
      </c>
      <c r="V211" s="39" t="n">
        <f aca="false">IF(18&gt;='Inputs &amp; Assumptions'!$E$148,0,'Inputs &amp; Assumptions'!$G$59*MAX(V178-V189-V200,0))</f>
        <v>382743.732705567</v>
      </c>
      <c r="W211" s="39" t="n">
        <f aca="false">IF(19&gt;='Inputs &amp; Assumptions'!$E$148,0,'Inputs &amp; Assumptions'!$G$59*MAX(W178-W189-W200,0))</f>
        <v>361886.682789919</v>
      </c>
      <c r="X211" s="39" t="n">
        <f aca="false">IF(20&gt;='Inputs &amp; Assumptions'!$E$148,0,'Inputs &amp; Assumptions'!$G$59*MAX(X178-X189-X200,0))</f>
        <v>0</v>
      </c>
      <c r="Y211" s="39" t="n">
        <f aca="false">IF(21&gt;='Inputs &amp; Assumptions'!$E$148,0,'Inputs &amp; Assumptions'!$G$59*MAX(Y178-Y189-Y200,0))</f>
        <v>0</v>
      </c>
      <c r="Z211" s="39" t="n">
        <f aca="false">IF(22&gt;='Inputs &amp; Assumptions'!$E$148,0,'Inputs &amp; Assumptions'!$G$59*MAX(Z178-Z189-Z200,0))</f>
        <v>0</v>
      </c>
      <c r="AA211" s="39" t="n">
        <f aca="false">IF(23&gt;='Inputs &amp; Assumptions'!$E$148,0,'Inputs &amp; Assumptions'!$G$59*MAX(AA178-AA189-AA200,0))</f>
        <v>0</v>
      </c>
      <c r="AB211" s="39" t="n">
        <f aca="false">IF(24&gt;='Inputs &amp; Assumptions'!$E$148,0,'Inputs &amp; Assumptions'!$G$59*MAX(AB178-AB189-AB200,0))</f>
        <v>0</v>
      </c>
      <c r="AC211" s="39" t="n">
        <f aca="false">IF(25&gt;='Inputs &amp; Assumptions'!$E$148,0,'Inputs &amp; Assumptions'!$G$59*MAX(AC178-AC189-AC200,0))</f>
        <v>0</v>
      </c>
      <c r="AD211" s="39" t="n">
        <f aca="false">IF(26&gt;='Inputs &amp; Assumptions'!$E$148,0,'Inputs &amp; Assumptions'!$G$59*MAX(AD178-AD189-AD200,0))</f>
        <v>0</v>
      </c>
      <c r="AE211" s="39" t="n">
        <f aca="false">IF(27&gt;='Inputs &amp; Assumptions'!$E$148,0,'Inputs &amp; Assumptions'!$G$59*MAX(AE178-AE189-AE200,0))</f>
        <v>0</v>
      </c>
      <c r="AF211" s="39" t="n">
        <f aca="false">IF(28&gt;='Inputs &amp; Assumptions'!$E$148,0,'Inputs &amp; Assumptions'!$G$59*MAX(AF178-AF189-AF200,0))</f>
        <v>0</v>
      </c>
      <c r="AG211" s="39" t="n">
        <f aca="false">IF(29&gt;='Inputs &amp; Assumptions'!$E$148,0,'Inputs &amp; Assumptions'!$G$59*MAX(AG178-AG189-AG200,0))</f>
        <v>0</v>
      </c>
      <c r="AH211" s="39" t="n">
        <f aca="false">IF(30&gt;='Inputs &amp; Assumptions'!$E$148,0,'Inputs &amp; Assumptions'!$G$59*MAX(AH178-AH189-AH200,0))</f>
        <v>0</v>
      </c>
      <c r="AI211" s="39" t="n">
        <f aca="false">IF(31&gt;='Inputs &amp; Assumptions'!$E$148,0,'Inputs &amp; Assumptions'!$G$59*MAX(AI178-AI189-AI200,0))</f>
        <v>0</v>
      </c>
      <c r="AJ211" s="39" t="n">
        <f aca="false">IF(32&gt;='Inputs &amp; Assumptions'!$E$148,0,'Inputs &amp; Assumptions'!$G$59*MAX(AJ178-AJ189-AJ200,0))</f>
        <v>0</v>
      </c>
      <c r="AK211" s="39" t="n">
        <f aca="false">IF(33&gt;='Inputs &amp; Assumptions'!$E$148,0,'Inputs &amp; Assumptions'!$G$59*MAX(AK178-AK189-AK200,0))</f>
        <v>0</v>
      </c>
      <c r="AL211" s="39" t="n">
        <f aca="false">IF(34&gt;='Inputs &amp; Assumptions'!$E$148,0,'Inputs &amp; Assumptions'!$G$59*MAX(AL178-AL189-AL200,0))</f>
        <v>0</v>
      </c>
      <c r="AM211" s="39" t="n">
        <f aca="false">IF(35&gt;='Inputs &amp; Assumptions'!$E$148,0,'Inputs &amp; Assumptions'!$G$59*MAX(AM178-AM189-AM200,0))</f>
        <v>0</v>
      </c>
      <c r="AN211" s="39" t="n">
        <f aca="false">IF(36&gt;='Inputs &amp; Assumptions'!$E$148,0,'Inputs &amp; Assumptions'!$G$59*MAX(AN178-AN189-AN200,0))</f>
        <v>0</v>
      </c>
    </row>
    <row r="212" customFormat="false" ht="15" hidden="false" customHeight="false" outlineLevel="0" collapsed="false">
      <c r="B212" s="37" t="n">
        <v>10</v>
      </c>
      <c r="C212" s="38" t="n">
        <f aca="false">'Inputs &amp; Assumptions'!$C$149</f>
        <v>9</v>
      </c>
      <c r="D212" s="38" t="n">
        <f aca="false">'Inputs &amp; Assumptions'!$D$149</f>
        <v>3</v>
      </c>
      <c r="E212" s="39" t="n">
        <f aca="false">IF(1&gt;='Inputs &amp; Assumptions'!$E$149,0,'Inputs &amp; Assumptions'!$G$59*MAX(E179-E190-E201,0))</f>
        <v>1018791.15182781</v>
      </c>
      <c r="F212" s="39" t="n">
        <f aca="false">IF(2&gt;='Inputs &amp; Assumptions'!$E$149,0,'Inputs &amp; Assumptions'!$G$59*MAX(F179-F190-F201,0))</f>
        <v>956347.535103848</v>
      </c>
      <c r="G212" s="39" t="n">
        <f aca="false">IF(3&gt;='Inputs &amp; Assumptions'!$E$149,0,'Inputs &amp; Assumptions'!$G$59*MAX(G179-G190-G201,0))</f>
        <v>897731.204534238</v>
      </c>
      <c r="H212" s="39" t="n">
        <f aca="false">IF(4&gt;='Inputs &amp; Assumptions'!$E$149,0,'Inputs &amp; Assumptions'!$G$59*MAX(H179-H190-H201,0))</f>
        <v>844733.061697549</v>
      </c>
      <c r="I212" s="39" t="n">
        <f aca="false">IF(5&gt;='Inputs &amp; Assumptions'!$E$149,0,'Inputs &amp; Assumptions'!$G$59*MAX(I179-I190-I201,0))</f>
        <v>794863.698533384</v>
      </c>
      <c r="J212" s="39" t="n">
        <f aca="false">IF(6&gt;='Inputs &amp; Assumptions'!$E$149,0,'Inputs &amp; Assumptions'!$G$59*MAX(J179-J190-J201,0))</f>
        <v>747938.405508255</v>
      </c>
      <c r="K212" s="39" t="n">
        <f aca="false">IF(7&gt;='Inputs &amp; Assumptions'!$E$149,0,'Inputs &amp; Assumptions'!$G$59*MAX(K179-K190-K201,0))</f>
        <v>703783.377535558</v>
      </c>
      <c r="L212" s="39" t="n">
        <f aca="false">IF(8&gt;='Inputs &amp; Assumptions'!$E$149,0,'Inputs &amp; Assumptions'!$G$59*MAX(L179-L190-L201,0))</f>
        <v>663634.923508982</v>
      </c>
      <c r="M212" s="39" t="n">
        <f aca="false">IF(9&gt;='Inputs &amp; Assumptions'!$E$149,0,'Inputs &amp; Assumptions'!$G$59*MAX(M179-M190-M201,0))</f>
        <v>625776.802576616</v>
      </c>
      <c r="N212" s="39" t="n">
        <f aca="false">IF(10&gt;='Inputs &amp; Assumptions'!$E$149,0,'Inputs &amp; Assumptions'!$G$59*MAX(N179-N190-N201,0))</f>
        <v>590078.359005639</v>
      </c>
      <c r="O212" s="39" t="n">
        <f aca="false">IF(11&gt;='Inputs &amp; Assumptions'!$E$149,0,'Inputs &amp; Assumptions'!$G$59*MAX(O179-O190-O201,0))</f>
        <v>556416.390529525</v>
      </c>
      <c r="P212" s="39" t="n">
        <f aca="false">IF(12&gt;='Inputs &amp; Assumptions'!$E$149,0,'Inputs &amp; Assumptions'!$G$59*MAX(P179-P190-P201,0))</f>
        <v>525418.052263735</v>
      </c>
      <c r="Q212" s="39" t="n">
        <f aca="false">IF(13&gt;='Inputs &amp; Assumptions'!$E$149,0,'Inputs &amp; Assumptions'!$G$59*MAX(Q179-Q190-Q201,0))</f>
        <v>496146.652656826</v>
      </c>
      <c r="R212" s="39" t="n">
        <f aca="false">IF(14&gt;='Inputs &amp; Assumptions'!$E$149,0,'Inputs &amp; Assumptions'!$G$59*MAX(R179-R190-R201,0))</f>
        <v>468505.982773146</v>
      </c>
      <c r="S212" s="39" t="n">
        <f aca="false">IF(15&gt;='Inputs &amp; Assumptions'!$E$149,0,'Inputs &amp; Assumptions'!$G$59*MAX(S179-S190-S201,0))</f>
        <v>442405.193542751</v>
      </c>
      <c r="T212" s="39" t="n">
        <f aca="false">IF(16&gt;='Inputs &amp; Assumptions'!$E$149,0,'Inputs &amp; Assumptions'!$G$59*MAX(T179-T190-T201,0))</f>
        <v>418296.981137973</v>
      </c>
      <c r="U212" s="39" t="n">
        <f aca="false">IF(17&gt;='Inputs &amp; Assumptions'!$E$149,0,'Inputs &amp; Assumptions'!$G$59*MAX(U179-U190-U201,0))</f>
        <v>395502.509877823</v>
      </c>
      <c r="V212" s="39" t="n">
        <f aca="false">IF(18&gt;='Inputs &amp; Assumptions'!$E$149,0,'Inputs &amp; Assumptions'!$G$59*MAX(V179-V190-V201,0))</f>
        <v>373950.189394415</v>
      </c>
      <c r="W212" s="39" t="n">
        <f aca="false">IF(19&gt;='Inputs &amp; Assumptions'!$E$149,0,'Inputs &amp; Assumptions'!$G$59*MAX(W179-W190-W201,0))</f>
        <v>0</v>
      </c>
      <c r="X212" s="39" t="n">
        <f aca="false">IF(20&gt;='Inputs &amp; Assumptions'!$E$149,0,'Inputs &amp; Assumptions'!$G$59*MAX(X179-X190-X201,0))</f>
        <v>0</v>
      </c>
      <c r="Y212" s="39" t="n">
        <f aca="false">IF(21&gt;='Inputs &amp; Assumptions'!$E$149,0,'Inputs &amp; Assumptions'!$G$59*MAX(Y179-Y190-Y201,0))</f>
        <v>0</v>
      </c>
      <c r="Z212" s="39" t="n">
        <f aca="false">IF(22&gt;='Inputs &amp; Assumptions'!$E$149,0,'Inputs &amp; Assumptions'!$G$59*MAX(Z179-Z190-Z201,0))</f>
        <v>0</v>
      </c>
      <c r="AA212" s="39" t="n">
        <f aca="false">IF(23&gt;='Inputs &amp; Assumptions'!$E$149,0,'Inputs &amp; Assumptions'!$G$59*MAX(AA179-AA190-AA201,0))</f>
        <v>0</v>
      </c>
      <c r="AB212" s="39" t="n">
        <f aca="false">IF(24&gt;='Inputs &amp; Assumptions'!$E$149,0,'Inputs &amp; Assumptions'!$G$59*MAX(AB179-AB190-AB201,0))</f>
        <v>0</v>
      </c>
      <c r="AC212" s="39" t="n">
        <f aca="false">IF(25&gt;='Inputs &amp; Assumptions'!$E$149,0,'Inputs &amp; Assumptions'!$G$59*MAX(AC179-AC190-AC201,0))</f>
        <v>0</v>
      </c>
      <c r="AD212" s="39" t="n">
        <f aca="false">IF(26&gt;='Inputs &amp; Assumptions'!$E$149,0,'Inputs &amp; Assumptions'!$G$59*MAX(AD179-AD190-AD201,0))</f>
        <v>0</v>
      </c>
      <c r="AE212" s="39" t="n">
        <f aca="false">IF(27&gt;='Inputs &amp; Assumptions'!$E$149,0,'Inputs &amp; Assumptions'!$G$59*MAX(AE179-AE190-AE201,0))</f>
        <v>0</v>
      </c>
      <c r="AF212" s="39" t="n">
        <f aca="false">IF(28&gt;='Inputs &amp; Assumptions'!$E$149,0,'Inputs &amp; Assumptions'!$G$59*MAX(AF179-AF190-AF201,0))</f>
        <v>0</v>
      </c>
      <c r="AG212" s="39" t="n">
        <f aca="false">IF(29&gt;='Inputs &amp; Assumptions'!$E$149,0,'Inputs &amp; Assumptions'!$G$59*MAX(AG179-AG190-AG201,0))</f>
        <v>0</v>
      </c>
      <c r="AH212" s="39" t="n">
        <f aca="false">IF(30&gt;='Inputs &amp; Assumptions'!$E$149,0,'Inputs &amp; Assumptions'!$G$59*MAX(AH179-AH190-AH201,0))</f>
        <v>0</v>
      </c>
      <c r="AI212" s="39" t="n">
        <f aca="false">IF(31&gt;='Inputs &amp; Assumptions'!$E$149,0,'Inputs &amp; Assumptions'!$G$59*MAX(AI179-AI190-AI201,0))</f>
        <v>0</v>
      </c>
      <c r="AJ212" s="39" t="n">
        <f aca="false">IF(32&gt;='Inputs &amp; Assumptions'!$E$149,0,'Inputs &amp; Assumptions'!$G$59*MAX(AJ179-AJ190-AJ201,0))</f>
        <v>0</v>
      </c>
      <c r="AK212" s="39" t="n">
        <f aca="false">IF(33&gt;='Inputs &amp; Assumptions'!$E$149,0,'Inputs &amp; Assumptions'!$G$59*MAX(AK179-AK190-AK201,0))</f>
        <v>0</v>
      </c>
      <c r="AL212" s="39" t="n">
        <f aca="false">IF(34&gt;='Inputs &amp; Assumptions'!$E$149,0,'Inputs &amp; Assumptions'!$G$59*MAX(AL179-AL190-AL201,0))</f>
        <v>0</v>
      </c>
      <c r="AM212" s="39" t="n">
        <f aca="false">IF(35&gt;='Inputs &amp; Assumptions'!$E$149,0,'Inputs &amp; Assumptions'!$G$59*MAX(AM179-AM190-AM201,0))</f>
        <v>0</v>
      </c>
      <c r="AN212" s="39" t="n">
        <f aca="false">IF(36&gt;='Inputs &amp; Assumptions'!$E$149,0,'Inputs &amp; Assumptions'!$G$59*MAX(AN179-AN190-AN201,0))</f>
        <v>0</v>
      </c>
    </row>
    <row r="213" customFormat="false" ht="15" hidden="false" customHeight="false" outlineLevel="0" collapsed="false">
      <c r="B213" s="37" t="n">
        <v>11</v>
      </c>
      <c r="C213" s="38" t="n">
        <f aca="false">'Inputs &amp; Assumptions'!$C$150</f>
        <v>10</v>
      </c>
      <c r="D213" s="38" t="n">
        <f aca="false">'Inputs &amp; Assumptions'!$D$150</f>
        <v>2</v>
      </c>
      <c r="E213" s="39" t="n">
        <f aca="false">IF(1&gt;='Inputs &amp; Assumptions'!$E$150,0,'Inputs &amp; Assumptions'!$G$59*MAX(E180-E191-E202,0))</f>
        <v>658818.278181984</v>
      </c>
      <c r="F213" s="39" t="n">
        <f aca="false">IF(2&gt;='Inputs &amp; Assumptions'!$E$150,0,'Inputs &amp; Assumptions'!$G$59*MAX(F180-F191-F202,0))</f>
        <v>618438.072700488</v>
      </c>
      <c r="G213" s="39" t="n">
        <f aca="false">IF(3&gt;='Inputs &amp; Assumptions'!$E$150,0,'Inputs &amp; Assumptions'!$G$59*MAX(G180-G191-G202,0))</f>
        <v>581928.180711569</v>
      </c>
      <c r="H213" s="39" t="n">
        <f aca="false">IF(4&gt;='Inputs &amp; Assumptions'!$E$150,0,'Inputs &amp; Assumptions'!$G$59*MAX(H180-H191-H202,0))</f>
        <v>547573.673832143</v>
      </c>
      <c r="I213" s="39" t="n">
        <f aca="false">IF(5&gt;='Inputs &amp; Assumptions'!$E$150,0,'Inputs &amp; Assumptions'!$G$59*MAX(I180-I191-I202,0))</f>
        <v>515247.30750691</v>
      </c>
      <c r="J213" s="39" t="n">
        <f aca="false">IF(6&gt;='Inputs &amp; Assumptions'!$E$150,0,'Inputs &amp; Assumptions'!$G$59*MAX(J180-J191-J202,0))</f>
        <v>484829.349145266</v>
      </c>
      <c r="K213" s="39" t="n">
        <f aca="false">IF(7&gt;='Inputs &amp; Assumptions'!$E$150,0,'Inputs &amp; Assumptions'!$G$59*MAX(K180-K191-K202,0))</f>
        <v>457171.479612947</v>
      </c>
      <c r="L213" s="39" t="n">
        <f aca="false">IF(8&gt;='Inputs &amp; Assumptions'!$E$150,0,'Inputs &amp; Assumptions'!$G$59*MAX(L180-L191-L202,0))</f>
        <v>431091.397705109</v>
      </c>
      <c r="M213" s="39" t="n">
        <f aca="false">IF(9&gt;='Inputs &amp; Assumptions'!$E$150,0,'Inputs &amp; Assumptions'!$G$59*MAX(M180-M191-M202,0))</f>
        <v>406499.095990593</v>
      </c>
      <c r="N213" s="39" t="n">
        <f aca="false">IF(10&gt;='Inputs &amp; Assumptions'!$E$150,0,'Inputs &amp; Assumptions'!$G$59*MAX(N180-N191-N202,0))</f>
        <v>383309.701656825</v>
      </c>
      <c r="O213" s="39" t="n">
        <f aca="false">IF(11&gt;='Inputs &amp; Assumptions'!$E$150,0,'Inputs &amp; Assumptions'!$G$59*MAX(O180-O191-O202,0))</f>
        <v>361955.25560751</v>
      </c>
      <c r="P213" s="39" t="n">
        <f aca="false">IF(12&gt;='Inputs &amp; Assumptions'!$E$150,0,'Inputs &amp; Assumptions'!$G$59*MAX(P180-P191-P202,0))</f>
        <v>341790.480375558</v>
      </c>
      <c r="Q213" s="39" t="n">
        <f aca="false">IF(13&gt;='Inputs &amp; Assumptions'!$E$150,0,'Inputs &amp; Assumptions'!$G$59*MAX(Q180-Q191-Q202,0))</f>
        <v>322749.0985848</v>
      </c>
      <c r="R213" s="39" t="n">
        <f aca="false">IF(14&gt;='Inputs &amp; Assumptions'!$E$150,0,'Inputs &amp; Assumptions'!$G$59*MAX(R180-R191-R202,0))</f>
        <v>304768.525217094</v>
      </c>
      <c r="S213" s="39" t="n">
        <f aca="false">IF(15&gt;='Inputs &amp; Assumptions'!$E$150,0,'Inputs &amp; Assumptions'!$G$59*MAX(S180-S191-S202,0))</f>
        <v>288160.618150301</v>
      </c>
      <c r="T213" s="39" t="n">
        <f aca="false">IF(16&gt;='Inputs &amp; Assumptions'!$E$150,0,'Inputs &amp; Assumptions'!$G$59*MAX(T180-T191-T202,0))</f>
        <v>272457.734254594</v>
      </c>
      <c r="U213" s="39" t="n">
        <f aca="false">IF(17&gt;='Inputs &amp; Assumptions'!$E$150,0,'Inputs &amp; Assumptions'!$G$59*MAX(U180-U191-U202,0))</f>
        <v>257610.555639591</v>
      </c>
      <c r="V213" s="39" t="n">
        <f aca="false">IF(18&gt;='Inputs &amp; Assumptions'!$E$150,0,'Inputs &amp; Assumptions'!$G$59*MAX(V180-V191-V202,0))</f>
        <v>0</v>
      </c>
      <c r="W213" s="39" t="n">
        <f aca="false">IF(19&gt;='Inputs &amp; Assumptions'!$E$150,0,'Inputs &amp; Assumptions'!$G$59*MAX(W180-W191-W202,0))</f>
        <v>0</v>
      </c>
      <c r="X213" s="39" t="n">
        <f aca="false">IF(20&gt;='Inputs &amp; Assumptions'!$E$150,0,'Inputs &amp; Assumptions'!$G$59*MAX(X180-X191-X202,0))</f>
        <v>0</v>
      </c>
      <c r="Y213" s="39" t="n">
        <f aca="false">IF(21&gt;='Inputs &amp; Assumptions'!$E$150,0,'Inputs &amp; Assumptions'!$G$59*MAX(Y180-Y191-Y202,0))</f>
        <v>0</v>
      </c>
      <c r="Z213" s="39" t="n">
        <f aca="false">IF(22&gt;='Inputs &amp; Assumptions'!$E$150,0,'Inputs &amp; Assumptions'!$G$59*MAX(Z180-Z191-Z202,0))</f>
        <v>0</v>
      </c>
      <c r="AA213" s="39" t="n">
        <f aca="false">IF(23&gt;='Inputs &amp; Assumptions'!$E$150,0,'Inputs &amp; Assumptions'!$G$59*MAX(AA180-AA191-AA202,0))</f>
        <v>0</v>
      </c>
      <c r="AB213" s="39" t="n">
        <f aca="false">IF(24&gt;='Inputs &amp; Assumptions'!$E$150,0,'Inputs &amp; Assumptions'!$G$59*MAX(AB180-AB191-AB202,0))</f>
        <v>0</v>
      </c>
      <c r="AC213" s="39" t="n">
        <f aca="false">IF(25&gt;='Inputs &amp; Assumptions'!$E$150,0,'Inputs &amp; Assumptions'!$G$59*MAX(AC180-AC191-AC202,0))</f>
        <v>0</v>
      </c>
      <c r="AD213" s="39" t="n">
        <f aca="false">IF(26&gt;='Inputs &amp; Assumptions'!$E$150,0,'Inputs &amp; Assumptions'!$G$59*MAX(AD180-AD191-AD202,0))</f>
        <v>0</v>
      </c>
      <c r="AE213" s="39" t="n">
        <f aca="false">IF(27&gt;='Inputs &amp; Assumptions'!$E$150,0,'Inputs &amp; Assumptions'!$G$59*MAX(AE180-AE191-AE202,0))</f>
        <v>0</v>
      </c>
      <c r="AF213" s="39" t="n">
        <f aca="false">IF(28&gt;='Inputs &amp; Assumptions'!$E$150,0,'Inputs &amp; Assumptions'!$G$59*MAX(AF180-AF191-AF202,0))</f>
        <v>0</v>
      </c>
      <c r="AG213" s="39" t="n">
        <f aca="false">IF(29&gt;='Inputs &amp; Assumptions'!$E$150,0,'Inputs &amp; Assumptions'!$G$59*MAX(AG180-AG191-AG202,0))</f>
        <v>0</v>
      </c>
      <c r="AH213" s="39" t="n">
        <f aca="false">IF(30&gt;='Inputs &amp; Assumptions'!$E$150,0,'Inputs &amp; Assumptions'!$G$59*MAX(AH180-AH191-AH202,0))</f>
        <v>0</v>
      </c>
      <c r="AI213" s="39" t="n">
        <f aca="false">IF(31&gt;='Inputs &amp; Assumptions'!$E$150,0,'Inputs &amp; Assumptions'!$G$59*MAX(AI180-AI191-AI202,0))</f>
        <v>0</v>
      </c>
      <c r="AJ213" s="39" t="n">
        <f aca="false">IF(32&gt;='Inputs &amp; Assumptions'!$E$150,0,'Inputs &amp; Assumptions'!$G$59*MAX(AJ180-AJ191-AJ202,0))</f>
        <v>0</v>
      </c>
      <c r="AK213" s="39" t="n">
        <f aca="false">IF(33&gt;='Inputs &amp; Assumptions'!$E$150,0,'Inputs &amp; Assumptions'!$G$59*MAX(AK180-AK191-AK202,0))</f>
        <v>0</v>
      </c>
      <c r="AL213" s="39" t="n">
        <f aca="false">IF(34&gt;='Inputs &amp; Assumptions'!$E$150,0,'Inputs &amp; Assumptions'!$G$59*MAX(AL180-AL191-AL202,0))</f>
        <v>0</v>
      </c>
      <c r="AM213" s="39" t="n">
        <f aca="false">IF(35&gt;='Inputs &amp; Assumptions'!$E$150,0,'Inputs &amp; Assumptions'!$G$59*MAX(AM180-AM191-AM202,0))</f>
        <v>0</v>
      </c>
      <c r="AN213" s="39" t="n">
        <f aca="false">IF(36&gt;='Inputs &amp; Assumptions'!$E$150,0,'Inputs &amp; Assumptions'!$G$59*MAX(AN180-AN191-AN202,0))</f>
        <v>0</v>
      </c>
    </row>
    <row r="214" customFormat="false" ht="15" hidden="false" customHeight="false" outlineLevel="0" collapsed="false">
      <c r="A214" s="14" t="s">
        <v>130</v>
      </c>
      <c r="B214" s="37" t="n">
        <v>1</v>
      </c>
      <c r="C214" s="38" t="n">
        <f aca="false">'Inputs &amp; Assumptions'!$C$140</f>
        <v>0</v>
      </c>
      <c r="D214" s="38" t="n">
        <f aca="false">'Inputs &amp; Assumptions'!$D$140</f>
        <v>1</v>
      </c>
      <c r="E214" s="39" t="n">
        <f aca="false">'Inputs &amp; Assumptions'!E$51/4*(E170-E181)</f>
        <v>362560.8875</v>
      </c>
      <c r="F214" s="39" t="n">
        <f aca="false">'Inputs &amp; Assumptions'!F$51/4*(F170-F181)</f>
        <v>351552.766109758</v>
      </c>
      <c r="G214" s="39" t="n">
        <f aca="false">'Inputs &amp; Assumptions'!G$51/4*(G170-G181)</f>
        <v>340878.874750168</v>
      </c>
      <c r="H214" s="39" t="n">
        <f aca="false">'Inputs &amp; Assumptions'!H$51/4*(H170-H181)</f>
        <v>330529.065485045</v>
      </c>
      <c r="I214" s="39" t="n">
        <f aca="false">'Inputs &amp; Assumptions'!I$51/4*(I170-I181)</f>
        <v>319380.744093284</v>
      </c>
      <c r="J214" s="39" t="n">
        <f aca="false">'Inputs &amp; Assumptions'!J$51/4*(J170-J181)</f>
        <v>299350.188043083</v>
      </c>
      <c r="K214" s="39" t="n">
        <f aca="false">'Inputs &amp; Assumptions'!K$51/4*(K170-K181)</f>
        <v>280575.885486871</v>
      </c>
      <c r="L214" s="39" t="n">
        <f aca="false">'Inputs &amp; Assumptions'!L$51/4*(L170-L181)</f>
        <v>262979.048155506</v>
      </c>
      <c r="M214" s="39" t="n">
        <f aca="false">'Inputs &amp; Assumptions'!M$51/4*(M170-M181)</f>
        <v>246860.570035635</v>
      </c>
      <c r="N214" s="39" t="n">
        <f aca="false">'Inputs &amp; Assumptions'!N$51/4*(N170-N181)</f>
        <v>231730.02361117</v>
      </c>
      <c r="O214" s="39" t="n">
        <f aca="false">'Inputs &amp; Assumptions'!O$51/4*(O170-O181)</f>
        <v>217526.856699237</v>
      </c>
      <c r="P214" s="39" t="n">
        <f aca="false">'Inputs &amp; Assumptions'!P$51/4*(P170-P181)</f>
        <v>204194.228473593</v>
      </c>
      <c r="Q214" s="39" t="n">
        <f aca="false">'Inputs &amp; Assumptions'!Q$51/4*(Q170-Q181)</f>
        <v>192139.490003535</v>
      </c>
      <c r="R214" s="39" t="n">
        <f aca="false">'Inputs &amp; Assumptions'!R$51/4*(R170-R181)</f>
        <v>180796.410823103</v>
      </c>
      <c r="S214" s="39" t="n">
        <f aca="false">'Inputs &amp; Assumptions'!S$51/4*(S170-S181)</f>
        <v>170122.977665419</v>
      </c>
      <c r="T214" s="39" t="n">
        <f aca="false">'Inputs &amp; Assumptions'!T$51/4*(T170-T181)</f>
        <v>160079.65754401</v>
      </c>
      <c r="U214" s="39" t="n">
        <f aca="false">'Inputs &amp; Assumptions'!U$51/4*(U170-U181)</f>
        <v>150947.656168813</v>
      </c>
      <c r="V214" s="39" t="n">
        <f aca="false">'Inputs &amp; Assumptions'!V$51/4*(V170-V181)</f>
        <v>142336.604490761</v>
      </c>
      <c r="W214" s="39" t="n">
        <f aca="false">'Inputs &amp; Assumptions'!W$51/4*(W170-W181)</f>
        <v>134216.78409701</v>
      </c>
      <c r="X214" s="39" t="n">
        <f aca="false">'Inputs &amp; Assumptions'!X$51/4*(X170-X181)</f>
        <v>126560.171909346</v>
      </c>
      <c r="Y214" s="39" t="n">
        <f aca="false">'Inputs &amp; Assumptions'!Y$51/4*(Y170-Y181)</f>
        <v>119509.418037612</v>
      </c>
      <c r="Z214" s="39" t="n">
        <f aca="false">'Inputs &amp; Assumptions'!Z$51/4*(Z170-Z181)</f>
        <v>112851.466493892</v>
      </c>
      <c r="AA214" s="39" t="n">
        <f aca="false">'Inputs &amp; Assumptions'!AA$51/4*(AA170-AA181)</f>
        <v>106564.433991418</v>
      </c>
      <c r="AB214" s="39" t="n">
        <f aca="false">'Inputs &amp; Assumptions'!AB$51/4*(AB170-AB181)</f>
        <v>100627.656376322</v>
      </c>
      <c r="AC214" s="39" t="n">
        <f aca="false">'Inputs &amp; Assumptions'!AC$51/4*(AC170-AC181)</f>
        <v>95144.1020484702</v>
      </c>
      <c r="AD214" s="39" t="n">
        <f aca="false">'Inputs &amp; Assumptions'!AD$51/4*(AD170-AD181)</f>
        <v>89959.3658502395</v>
      </c>
      <c r="AE214" s="39" t="n">
        <f aca="false">'Inputs &amp; Assumptions'!AE$51/4*(AE170-AE181)</f>
        <v>85057.1641325124</v>
      </c>
      <c r="AF214" s="39" t="n">
        <f aca="false">'Inputs &amp; Assumptions'!AF$51/4*(AF170-AF181)</f>
        <v>80422.1005993885</v>
      </c>
      <c r="AG214" s="39" t="n">
        <f aca="false">'Inputs &amp; Assumptions'!AG$51/4*(AG170-AG181)</f>
        <v>0</v>
      </c>
      <c r="AH214" s="39" t="n">
        <f aca="false">'Inputs &amp; Assumptions'!AH$51/4*(AH170-AH181)</f>
        <v>0</v>
      </c>
      <c r="AI214" s="39" t="n">
        <f aca="false">'Inputs &amp; Assumptions'!AI$51/4*(AI170-AI181)</f>
        <v>0</v>
      </c>
      <c r="AJ214" s="39" t="n">
        <f aca="false">'Inputs &amp; Assumptions'!AJ$51/4*(AJ170-AJ181)</f>
        <v>0</v>
      </c>
      <c r="AK214" s="39" t="n">
        <f aca="false">'Inputs &amp; Assumptions'!AK$51/4*(AK170-AK181)</f>
        <v>0</v>
      </c>
      <c r="AL214" s="39" t="n">
        <f aca="false">'Inputs &amp; Assumptions'!AL$51/4*(AL170-AL181)</f>
        <v>0</v>
      </c>
      <c r="AM214" s="39" t="n">
        <f aca="false">'Inputs &amp; Assumptions'!AM$51/4*(AM170-AM181)</f>
        <v>0</v>
      </c>
      <c r="AN214" s="39" t="n">
        <f aca="false">'Inputs &amp; Assumptions'!AN$51/4*(AN170-AN181)</f>
        <v>0</v>
      </c>
    </row>
    <row r="215" customFormat="false" ht="15" hidden="false" customHeight="false" outlineLevel="0" collapsed="false">
      <c r="B215" s="37" t="n">
        <v>2</v>
      </c>
      <c r="C215" s="38" t="n">
        <f aca="false">'Inputs &amp; Assumptions'!$C$141</f>
        <v>1</v>
      </c>
      <c r="D215" s="38" t="n">
        <f aca="false">'Inputs &amp; Assumptions'!$D$141</f>
        <v>3</v>
      </c>
      <c r="E215" s="39" t="n">
        <f aca="false">'Inputs &amp; Assumptions'!E$51/4*(E171-E182)</f>
        <v>1087682.6625</v>
      </c>
      <c r="F215" s="39" t="n">
        <f aca="false">'Inputs &amp; Assumptions'!F$51/4*(F171-F182)</f>
        <v>1054658.29832927</v>
      </c>
      <c r="G215" s="39" t="n">
        <f aca="false">'Inputs &amp; Assumptions'!G$51/4*(G171-G182)</f>
        <v>1022636.62425051</v>
      </c>
      <c r="H215" s="39" t="n">
        <f aca="false">'Inputs &amp; Assumptions'!H$51/4*(H171-H182)</f>
        <v>988144.402704423</v>
      </c>
      <c r="I215" s="39" t="n">
        <f aca="false">'Inputs &amp; Assumptions'!I$51/4*(I171-I182)</f>
        <v>926171.092759716</v>
      </c>
      <c r="J215" s="39" t="n">
        <f aca="false">'Inputs &amp; Assumptions'!J$51/4*(J171-J182)</f>
        <v>868084.553953916</v>
      </c>
      <c r="K215" s="39" t="n">
        <f aca="false">'Inputs &amp; Assumptions'!K$51/4*(K171-K182)</f>
        <v>813641.020222246</v>
      </c>
      <c r="L215" s="39" t="n">
        <f aca="false">'Inputs &amp; Assumptions'!L$51/4*(L171-L182)</f>
        <v>763771.439075512</v>
      </c>
      <c r="M215" s="39" t="n">
        <f aca="false">'Inputs &amp; Assumptions'!M$51/4*(M171-M182)</f>
        <v>716958.457905842</v>
      </c>
      <c r="N215" s="39" t="n">
        <f aca="false">'Inputs &amp; Assumptions'!N$51/4*(N171-N182)</f>
        <v>673014.731979135</v>
      </c>
      <c r="O215" s="39" t="n">
        <f aca="false">'Inputs &amp; Assumptions'!O$51/4*(O171-O182)</f>
        <v>631764.39927072</v>
      </c>
      <c r="P215" s="39" t="n">
        <f aca="false">'Inputs &amp; Assumptions'!P$51/4*(P171-P182)</f>
        <v>594467.778965474</v>
      </c>
      <c r="Q215" s="39" t="n">
        <f aca="false">'Inputs &amp; Assumptions'!Q$51/4*(Q171-Q182)</f>
        <v>559372.988785191</v>
      </c>
      <c r="R215" s="39" t="n">
        <f aca="false">'Inputs &amp; Assumptions'!R$51/4*(R171-R182)</f>
        <v>526350.042263014</v>
      </c>
      <c r="S215" s="39" t="n">
        <f aca="false">'Inputs &amp; Assumptions'!S$51/4*(S171-S182)</f>
        <v>495276.626767308</v>
      </c>
      <c r="T215" s="39" t="n">
        <f aca="false">'Inputs &amp; Assumptions'!T$51/4*(T171-T182)</f>
        <v>467022.77549018</v>
      </c>
      <c r="U215" s="39" t="n">
        <f aca="false">'Inputs &amp; Assumptions'!U$51/4*(U171-U182)</f>
        <v>440380.710574141</v>
      </c>
      <c r="V215" s="39" t="n">
        <f aca="false">'Inputs &amp; Assumptions'!V$51/4*(V171-V182)</f>
        <v>415258.485075453</v>
      </c>
      <c r="W215" s="39" t="n">
        <f aca="false">'Inputs &amp; Assumptions'!W$51/4*(W171-W182)</f>
        <v>391569.397311576</v>
      </c>
      <c r="X215" s="39" t="n">
        <f aca="false">'Inputs &amp; Assumptions'!X$51/4*(X171-X182)</f>
        <v>369754.797959382</v>
      </c>
      <c r="Y215" s="39" t="n">
        <f aca="false">'Inputs &amp; Assumptions'!Y$51/4*(Y171-Y182)</f>
        <v>349155.504880263</v>
      </c>
      <c r="Z215" s="39" t="n">
        <f aca="false">'Inputs &amp; Assumptions'!Z$51/4*(Z171-Z182)</f>
        <v>329703.812529251</v>
      </c>
      <c r="AA215" s="39" t="n">
        <f aca="false">'Inputs &amp; Assumptions'!AA$51/4*(AA171-AA182)</f>
        <v>311335.787283668</v>
      </c>
      <c r="AB215" s="39" t="n">
        <f aca="false">'Inputs &amp; Assumptions'!AB$51/4*(AB171-AB182)</f>
        <v>294370.00704737</v>
      </c>
      <c r="AC215" s="39" t="n">
        <f aca="false">'Inputs &amp; Assumptions'!AC$51/4*(AC171-AC182)</f>
        <v>278328.751747757</v>
      </c>
      <c r="AD215" s="39" t="n">
        <f aca="false">'Inputs &amp; Assumptions'!AD$51/4*(AD171-AD182)</f>
        <v>263161.640774763</v>
      </c>
      <c r="AE215" s="39" t="n">
        <f aca="false">'Inputs &amp; Assumptions'!AE$51/4*(AE171-AE182)</f>
        <v>248821.038934666</v>
      </c>
      <c r="AF215" s="39" t="n">
        <f aca="false">'Inputs &amp; Assumptions'!AF$51/4*(AF171-AF182)</f>
        <v>0</v>
      </c>
      <c r="AG215" s="39" t="n">
        <f aca="false">'Inputs &amp; Assumptions'!AG$51/4*(AG171-AG182)</f>
        <v>0</v>
      </c>
      <c r="AH215" s="39" t="n">
        <f aca="false">'Inputs &amp; Assumptions'!AH$51/4*(AH171-AH182)</f>
        <v>0</v>
      </c>
      <c r="AI215" s="39" t="n">
        <f aca="false">'Inputs &amp; Assumptions'!AI$51/4*(AI171-AI182)</f>
        <v>0</v>
      </c>
      <c r="AJ215" s="39" t="n">
        <f aca="false">'Inputs &amp; Assumptions'!AJ$51/4*(AJ171-AJ182)</f>
        <v>0</v>
      </c>
      <c r="AK215" s="39" t="n">
        <f aca="false">'Inputs &amp; Assumptions'!AK$51/4*(AK171-AK182)</f>
        <v>0</v>
      </c>
      <c r="AL215" s="39" t="n">
        <f aca="false">'Inputs &amp; Assumptions'!AL$51/4*(AL171-AL182)</f>
        <v>0</v>
      </c>
      <c r="AM215" s="39" t="n">
        <f aca="false">'Inputs &amp; Assumptions'!AM$51/4*(AM171-AM182)</f>
        <v>0</v>
      </c>
      <c r="AN215" s="39" t="n">
        <f aca="false">'Inputs &amp; Assumptions'!AN$51/4*(AN171-AN182)</f>
        <v>0</v>
      </c>
    </row>
    <row r="216" customFormat="false" ht="15" hidden="false" customHeight="false" outlineLevel="0" collapsed="false">
      <c r="B216" s="37" t="n">
        <v>3</v>
      </c>
      <c r="C216" s="38" t="n">
        <f aca="false">'Inputs &amp; Assumptions'!$C$142</f>
        <v>2</v>
      </c>
      <c r="D216" s="38" t="n">
        <f aca="false">'Inputs &amp; Assumptions'!$D$142</f>
        <v>3</v>
      </c>
      <c r="E216" s="39" t="n">
        <f aca="false">'Inputs &amp; Assumptions'!E$51/4*(E172-E183)</f>
        <v>1087682.6625</v>
      </c>
      <c r="F216" s="39" t="n">
        <f aca="false">'Inputs &amp; Assumptions'!F$51/4*(F172-F183)</f>
        <v>1054658.29832927</v>
      </c>
      <c r="G216" s="39" t="n">
        <f aca="false">'Inputs &amp; Assumptions'!G$51/4*(G172-G183)</f>
        <v>1019086.0267924</v>
      </c>
      <c r="H216" s="39" t="n">
        <f aca="false">'Inputs &amp; Assumptions'!H$51/4*(H172-H183)</f>
        <v>955172.155473723</v>
      </c>
      <c r="I216" s="39" t="n">
        <f aca="false">'Inputs &amp; Assumptions'!I$51/4*(I172-I183)</f>
        <v>895266.761201675</v>
      </c>
      <c r="J216" s="39" t="n">
        <f aca="false">'Inputs &amp; Assumptions'!J$51/4*(J172-J183)</f>
        <v>839118.444899628</v>
      </c>
      <c r="K216" s="39" t="n">
        <f aca="false">'Inputs &amp; Assumptions'!K$51/4*(K172-K183)</f>
        <v>787687.304704394</v>
      </c>
      <c r="L216" s="39" t="n">
        <f aca="false">'Inputs &amp; Assumptions'!L$51/4*(L172-L183)</f>
        <v>739408.475363318</v>
      </c>
      <c r="M216" s="39" t="n">
        <f aca="false">'Inputs &amp; Assumptions'!M$51/4*(M172-M183)</f>
        <v>694088.745843484</v>
      </c>
      <c r="N216" s="39" t="n">
        <f aca="false">'Inputs &amp; Assumptions'!N$51/4*(N172-N183)</f>
        <v>651546.747377843</v>
      </c>
      <c r="O216" s="39" t="n">
        <f aca="false">'Inputs &amp; Assumptions'!O$51/4*(O172-O183)</f>
        <v>613082.263345313</v>
      </c>
      <c r="P216" s="39" t="n">
        <f aca="false">'Inputs &amp; Assumptions'!P$51/4*(P172-P183)</f>
        <v>576888.555028943</v>
      </c>
      <c r="Q216" s="39" t="n">
        <f aca="false">'Inputs &amp; Assumptions'!Q$51/4*(Q172-Q183)</f>
        <v>542831.565714265</v>
      </c>
      <c r="R216" s="39" t="n">
        <f aca="false">'Inputs &amp; Assumptions'!R$51/4*(R172-R183)</f>
        <v>510785.152811737</v>
      </c>
      <c r="S216" s="39" t="n">
        <f aca="false">'Inputs &amp; Assumptions'!S$51/4*(S172-S183)</f>
        <v>481646.592738139</v>
      </c>
      <c r="T216" s="39" t="n">
        <f aca="false">'Inputs &amp; Assumptions'!T$51/4*(T172-T183)</f>
        <v>454170.288660998</v>
      </c>
      <c r="U216" s="39" t="n">
        <f aca="false">'Inputs &amp; Assumptions'!U$51/4*(U172-U183)</f>
        <v>428261.414515102</v>
      </c>
      <c r="V216" s="39" t="n">
        <f aca="false">'Inputs &amp; Assumptions'!V$51/4*(V172-V183)</f>
        <v>403830.553740549</v>
      </c>
      <c r="W216" s="39" t="n">
        <f aca="false">'Inputs &amp; Assumptions'!W$51/4*(W172-W183)</f>
        <v>381332.876964713</v>
      </c>
      <c r="X216" s="39" t="n">
        <f aca="false">'Inputs &amp; Assumptions'!X$51/4*(X172-X183)</f>
        <v>360088.561173135</v>
      </c>
      <c r="Y216" s="39" t="n">
        <f aca="false">'Inputs &amp; Assumptions'!Y$51/4*(Y172-Y183)</f>
        <v>340027.780766822</v>
      </c>
      <c r="Z216" s="39" t="n">
        <f aca="false">'Inputs &amp; Assumptions'!Z$51/4*(Z172-Z183)</f>
        <v>321084.600178729</v>
      </c>
      <c r="AA216" s="39" t="n">
        <f aca="false">'Inputs &amp; Assumptions'!AA$51/4*(AA172-AA183)</f>
        <v>303587.572896964</v>
      </c>
      <c r="AB216" s="39" t="n">
        <f aca="false">'Inputs &amp; Assumptions'!AB$51/4*(AB172-AB183)</f>
        <v>287044.02006875</v>
      </c>
      <c r="AC216" s="39" t="n">
        <f aca="false">'Inputs &amp; Assumptions'!AC$51/4*(AC172-AC183)</f>
        <v>271401.983523196</v>
      </c>
      <c r="AD216" s="39" t="n">
        <f aca="false">'Inputs &amp; Assumptions'!AD$51/4*(AD172-AD183)</f>
        <v>256612.336472583</v>
      </c>
      <c r="AE216" s="39" t="n">
        <f aca="false">'Inputs &amp; Assumptions'!AE$51/4*(AE172-AE183)</f>
        <v>0</v>
      </c>
      <c r="AF216" s="39" t="n">
        <f aca="false">'Inputs &amp; Assumptions'!AF$51/4*(AF172-AF183)</f>
        <v>0</v>
      </c>
      <c r="AG216" s="39" t="n">
        <f aca="false">'Inputs &amp; Assumptions'!AG$51/4*(AG172-AG183)</f>
        <v>0</v>
      </c>
      <c r="AH216" s="39" t="n">
        <f aca="false">'Inputs &amp; Assumptions'!AH$51/4*(AH172-AH183)</f>
        <v>0</v>
      </c>
      <c r="AI216" s="39" t="n">
        <f aca="false">'Inputs &amp; Assumptions'!AI$51/4*(AI172-AI183)</f>
        <v>0</v>
      </c>
      <c r="AJ216" s="39" t="n">
        <f aca="false">'Inputs &amp; Assumptions'!AJ$51/4*(AJ172-AJ183)</f>
        <v>0</v>
      </c>
      <c r="AK216" s="39" t="n">
        <f aca="false">'Inputs &amp; Assumptions'!AK$51/4*(AK172-AK183)</f>
        <v>0</v>
      </c>
      <c r="AL216" s="39" t="n">
        <f aca="false">'Inputs &amp; Assumptions'!AL$51/4*(AL172-AL183)</f>
        <v>0</v>
      </c>
      <c r="AM216" s="39" t="n">
        <f aca="false">'Inputs &amp; Assumptions'!AM$51/4*(AM172-AM183)</f>
        <v>0</v>
      </c>
      <c r="AN216" s="39" t="n">
        <f aca="false">'Inputs &amp; Assumptions'!AN$51/4*(AN172-AN183)</f>
        <v>0</v>
      </c>
    </row>
    <row r="217" customFormat="false" ht="15" hidden="false" customHeight="false" outlineLevel="0" collapsed="false">
      <c r="B217" s="37" t="n">
        <v>4</v>
      </c>
      <c r="C217" s="38" t="n">
        <f aca="false">'Inputs &amp; Assumptions'!$C$143</f>
        <v>3</v>
      </c>
      <c r="D217" s="38" t="n">
        <f aca="false">'Inputs &amp; Assumptions'!$D$143</f>
        <v>3</v>
      </c>
      <c r="E217" s="39" t="n">
        <f aca="false">'Inputs &amp; Assumptions'!E$51/4*(E173-E184)</f>
        <v>1087682.6625</v>
      </c>
      <c r="F217" s="39" t="n">
        <f aca="false">'Inputs &amp; Assumptions'!F$51/4*(F173-F184)</f>
        <v>1050996.52152174</v>
      </c>
      <c r="G217" s="39" t="n">
        <f aca="false">'Inputs &amp; Assumptions'!G$51/4*(G173-G184)</f>
        <v>985081.324308853</v>
      </c>
      <c r="H217" s="39" t="n">
        <f aca="false">'Inputs &amp; Assumptions'!H$51/4*(H173-H184)</f>
        <v>923300.121009971</v>
      </c>
      <c r="I217" s="39" t="n">
        <f aca="false">'Inputs &amp; Assumptions'!I$51/4*(I173-I184)</f>
        <v>865393.640525204</v>
      </c>
      <c r="J217" s="39" t="n">
        <f aca="false">'Inputs &amp; Assumptions'!J$51/4*(J173-J184)</f>
        <v>812352.044406744</v>
      </c>
      <c r="K217" s="39" t="n">
        <f aca="false">'Inputs &amp; Assumptions'!K$51/4*(K173-K184)</f>
        <v>762561.467000516</v>
      </c>
      <c r="L217" s="39" t="n">
        <f aca="false">'Inputs &amp; Assumptions'!L$51/4*(L173-L184)</f>
        <v>715822.647284215</v>
      </c>
      <c r="M217" s="39" t="n">
        <f aca="false">'Inputs &amp; Assumptions'!M$51/4*(M173-M184)</f>
        <v>671948.537316578</v>
      </c>
      <c r="N217" s="39" t="n">
        <f aca="false">'Inputs &amp; Assumptions'!N$51/4*(N173-N184)</f>
        <v>632279.620407218</v>
      </c>
      <c r="O217" s="39" t="n">
        <f aca="false">'Inputs &amp; Assumptions'!O$51/4*(O173-O184)</f>
        <v>594952.583688632</v>
      </c>
      <c r="P217" s="39" t="n">
        <f aca="false">'Inputs &amp; Assumptions'!P$51/4*(P173-P184)</f>
        <v>559829.172747663</v>
      </c>
      <c r="Q217" s="39" t="n">
        <f aca="false">'Inputs &amp; Assumptions'!Q$51/4*(Q173-Q184)</f>
        <v>526779.295109935</v>
      </c>
      <c r="R217" s="39" t="n">
        <f aca="false">'Inputs &amp; Assumptions'!R$51/4*(R173-R184)</f>
        <v>496728.323480096</v>
      </c>
      <c r="S217" s="39" t="n">
        <f aca="false">'Inputs &amp; Assumptions'!S$51/4*(S173-S184)</f>
        <v>468391.657830543</v>
      </c>
      <c r="T217" s="39" t="n">
        <f aca="false">'Inputs &amp; Assumptions'!T$51/4*(T173-T184)</f>
        <v>441671.502821069</v>
      </c>
      <c r="U217" s="39" t="n">
        <f aca="false">'Inputs &amp; Assumptions'!U$51/4*(U173-U184)</f>
        <v>416475.642003847</v>
      </c>
      <c r="V217" s="39" t="n">
        <f aca="false">'Inputs &amp; Assumptions'!V$51/4*(V173-V184)</f>
        <v>393273.498698883</v>
      </c>
      <c r="W217" s="39" t="n">
        <f aca="false">'Inputs &amp; Assumptions'!W$51/4*(W173-W184)</f>
        <v>371363.962691079</v>
      </c>
      <c r="X217" s="39" t="n">
        <f aca="false">'Inputs &amp; Assumptions'!X$51/4*(X173-X184)</f>
        <v>350675.021942467</v>
      </c>
      <c r="Y217" s="39" t="n">
        <f aca="false">'Inputs &amp; Assumptions'!Y$51/4*(Y173-Y184)</f>
        <v>331138.676255039</v>
      </c>
      <c r="Z217" s="39" t="n">
        <f aca="false">'Inputs &amp; Assumptions'!Z$51/4*(Z173-Z184)</f>
        <v>313093.767065197</v>
      </c>
      <c r="AA217" s="39" t="n">
        <f aca="false">'Inputs &amp; Assumptions'!AA$51/4*(AA173-AA184)</f>
        <v>296032.188337843</v>
      </c>
      <c r="AB217" s="39" t="n">
        <f aca="false">'Inputs &amp; Assumptions'!AB$51/4*(AB173-AB184)</f>
        <v>279900.354943328</v>
      </c>
      <c r="AC217" s="39" t="n">
        <f aca="false">'Inputs &amp; Assumptions'!AC$51/4*(AC173-AC184)</f>
        <v>264647.601793869</v>
      </c>
      <c r="AD217" s="39" t="n">
        <f aca="false">'Inputs &amp; Assumptions'!AD$51/4*(AD173-AD184)</f>
        <v>0</v>
      </c>
      <c r="AE217" s="39" t="n">
        <f aca="false">'Inputs &amp; Assumptions'!AE$51/4*(AE173-AE184)</f>
        <v>0</v>
      </c>
      <c r="AF217" s="39" t="n">
        <f aca="false">'Inputs &amp; Assumptions'!AF$51/4*(AF173-AF184)</f>
        <v>0</v>
      </c>
      <c r="AG217" s="39" t="n">
        <f aca="false">'Inputs &amp; Assumptions'!AG$51/4*(AG173-AG184)</f>
        <v>0</v>
      </c>
      <c r="AH217" s="39" t="n">
        <f aca="false">'Inputs &amp; Assumptions'!AH$51/4*(AH173-AH184)</f>
        <v>0</v>
      </c>
      <c r="AI217" s="39" t="n">
        <f aca="false">'Inputs &amp; Assumptions'!AI$51/4*(AI173-AI184)</f>
        <v>0</v>
      </c>
      <c r="AJ217" s="39" t="n">
        <f aca="false">'Inputs &amp; Assumptions'!AJ$51/4*(AJ173-AJ184)</f>
        <v>0</v>
      </c>
      <c r="AK217" s="39" t="n">
        <f aca="false">'Inputs &amp; Assumptions'!AK$51/4*(AK173-AK184)</f>
        <v>0</v>
      </c>
      <c r="AL217" s="39" t="n">
        <f aca="false">'Inputs &amp; Assumptions'!AL$51/4*(AL173-AL184)</f>
        <v>0</v>
      </c>
      <c r="AM217" s="39" t="n">
        <f aca="false">'Inputs &amp; Assumptions'!AM$51/4*(AM173-AM184)</f>
        <v>0</v>
      </c>
      <c r="AN217" s="39" t="n">
        <f aca="false">'Inputs &amp; Assumptions'!AN$51/4*(AN173-AN184)</f>
        <v>0</v>
      </c>
    </row>
    <row r="218" customFormat="false" ht="15" hidden="false" customHeight="false" outlineLevel="0" collapsed="false">
      <c r="B218" s="37" t="n">
        <v>5</v>
      </c>
      <c r="C218" s="38" t="n">
        <f aca="false">'Inputs &amp; Assumptions'!$C$144</f>
        <v>4</v>
      </c>
      <c r="D218" s="38" t="n">
        <f aca="false">'Inputs &amp; Assumptions'!$D$144</f>
        <v>3</v>
      </c>
      <c r="E218" s="39" t="n">
        <f aca="false">'Inputs &amp; Assumptions'!E$51/4*(E174-E185)</f>
        <v>1083906.225</v>
      </c>
      <c r="F218" s="39" t="n">
        <f aca="false">'Inputs &amp; Assumptions'!F$51/4*(F174-F185)</f>
        <v>1015927.03466195</v>
      </c>
      <c r="G218" s="39" t="n">
        <f aca="false">'Inputs &amp; Assumptions'!G$51/4*(G174-G185)</f>
        <v>952211.285396968</v>
      </c>
      <c r="H218" s="39" t="n">
        <f aca="false">'Inputs &amp; Assumptions'!H$51/4*(H174-H185)</f>
        <v>892491.587586358</v>
      </c>
      <c r="I218" s="39" t="n">
        <f aca="false">'Inputs &amp; Assumptions'!I$51/4*(I174-I185)</f>
        <v>837789.107569116</v>
      </c>
      <c r="J218" s="39" t="n">
        <f aca="false">'Inputs &amp; Assumptions'!J$51/4*(J174-J185)</f>
        <v>786439.444947194</v>
      </c>
      <c r="K218" s="39" t="n">
        <f aca="false">'Inputs &amp; Assumptions'!K$51/4*(K174-K185)</f>
        <v>738237.099266449</v>
      </c>
      <c r="L218" s="39" t="n">
        <f aca="false">'Inputs &amp; Assumptions'!L$51/4*(L174-L185)</f>
        <v>692989.165580237</v>
      </c>
      <c r="M218" s="39" t="n">
        <f aca="false">'Inputs &amp; Assumptions'!M$51/4*(M174-M185)</f>
        <v>652078.10155996</v>
      </c>
      <c r="N218" s="39" t="n">
        <f aca="false">'Inputs &amp; Assumptions'!N$51/4*(N174-N185)</f>
        <v>613582.248689298</v>
      </c>
      <c r="O218" s="39" t="n">
        <f aca="false">'Inputs &amp; Assumptions'!O$51/4*(O174-O185)</f>
        <v>577359.023414464</v>
      </c>
      <c r="P218" s="39" t="n">
        <f aca="false">'Inputs &amp; Assumptions'!P$51/4*(P174-P185)</f>
        <v>543274.259694073</v>
      </c>
      <c r="Q218" s="39" t="n">
        <f aca="false">'Inputs &amp; Assumptions'!Q$51/4*(Q174-Q185)</f>
        <v>512282.306295674</v>
      </c>
      <c r="R218" s="39" t="n">
        <f aca="false">'Inputs &amp; Assumptions'!R$51/4*(R174-R185)</f>
        <v>483058.338695074</v>
      </c>
      <c r="S218" s="39" t="n">
        <f aca="false">'Inputs &amp; Assumptions'!S$51/4*(S174-S185)</f>
        <v>455501.499300593</v>
      </c>
      <c r="T218" s="39" t="n">
        <f aca="false">'Inputs &amp; Assumptions'!T$51/4*(T174-T185)</f>
        <v>429516.684103985</v>
      </c>
      <c r="U218" s="39" t="n">
        <f aca="false">'Inputs &amp; Assumptions'!U$51/4*(U174-U185)</f>
        <v>405588.01541041</v>
      </c>
      <c r="V218" s="39" t="n">
        <f aca="false">'Inputs &amp; Assumptions'!V$51/4*(V174-V185)</f>
        <v>382992.429241072</v>
      </c>
      <c r="W218" s="39" t="n">
        <f aca="false">'Inputs &amp; Assumptions'!W$51/4*(W174-W185)</f>
        <v>361655.658655373</v>
      </c>
      <c r="X218" s="39" t="n">
        <f aca="false">'Inputs &amp; Assumptions'!X$51/4*(X174-X185)</f>
        <v>341507.57417485</v>
      </c>
      <c r="Y218" s="39" t="n">
        <f aca="false">'Inputs &amp; Assumptions'!Y$51/4*(Y174-Y185)</f>
        <v>322897.627329251</v>
      </c>
      <c r="Z218" s="39" t="n">
        <f aca="false">'Inputs &amp; Assumptions'!Z$51/4*(Z174-Z185)</f>
        <v>305301.801832008</v>
      </c>
      <c r="AA218" s="39" t="n">
        <f aca="false">'Inputs &amp; Assumptions'!AA$51/4*(AA174-AA185)</f>
        <v>288664.834649985</v>
      </c>
      <c r="AB218" s="39" t="n">
        <f aca="false">'Inputs &amp; Assumptions'!AB$51/4*(AB174-AB185)</f>
        <v>272934.474226765</v>
      </c>
      <c r="AC218" s="39" t="n">
        <f aca="false">'Inputs &amp; Assumptions'!AC$51/4*(AC174-AC185)</f>
        <v>0</v>
      </c>
      <c r="AD218" s="39" t="n">
        <f aca="false">'Inputs &amp; Assumptions'!AD$51/4*(AD174-AD185)</f>
        <v>0</v>
      </c>
      <c r="AE218" s="39" t="n">
        <f aca="false">'Inputs &amp; Assumptions'!AE$51/4*(AE174-AE185)</f>
        <v>0</v>
      </c>
      <c r="AF218" s="39" t="n">
        <f aca="false">'Inputs &amp; Assumptions'!AF$51/4*(AF174-AF185)</f>
        <v>0</v>
      </c>
      <c r="AG218" s="39" t="n">
        <f aca="false">'Inputs &amp; Assumptions'!AG$51/4*(AG174-AG185)</f>
        <v>0</v>
      </c>
      <c r="AH218" s="39" t="n">
        <f aca="false">'Inputs &amp; Assumptions'!AH$51/4*(AH174-AH185)</f>
        <v>0</v>
      </c>
      <c r="AI218" s="39" t="n">
        <f aca="false">'Inputs &amp; Assumptions'!AI$51/4*(AI174-AI185)</f>
        <v>0</v>
      </c>
      <c r="AJ218" s="39" t="n">
        <f aca="false">'Inputs &amp; Assumptions'!AJ$51/4*(AJ174-AJ185)</f>
        <v>0</v>
      </c>
      <c r="AK218" s="39" t="n">
        <f aca="false">'Inputs &amp; Assumptions'!AK$51/4*(AK174-AK185)</f>
        <v>0</v>
      </c>
      <c r="AL218" s="39" t="n">
        <f aca="false">'Inputs &amp; Assumptions'!AL$51/4*(AL174-AL185)</f>
        <v>0</v>
      </c>
      <c r="AM218" s="39" t="n">
        <f aca="false">'Inputs &amp; Assumptions'!AM$51/4*(AM174-AM185)</f>
        <v>0</v>
      </c>
      <c r="AN218" s="39" t="n">
        <f aca="false">'Inputs &amp; Assumptions'!AN$51/4*(AN174-AN185)</f>
        <v>0</v>
      </c>
    </row>
    <row r="219" customFormat="false" ht="15" hidden="false" customHeight="false" outlineLevel="0" collapsed="false">
      <c r="B219" s="37" t="n">
        <v>6</v>
      </c>
      <c r="C219" s="38" t="n">
        <f aca="false">'Inputs &amp; Assumptions'!$C$145</f>
        <v>5</v>
      </c>
      <c r="D219" s="38" t="n">
        <f aca="false">'Inputs &amp; Assumptions'!$D$145</f>
        <v>3</v>
      </c>
      <c r="E219" s="39" t="n">
        <f aca="false">'Inputs &amp; Assumptions'!E$51/4*(E175-E186)</f>
        <v>1051389.03825</v>
      </c>
      <c r="F219" s="39" t="n">
        <f aca="false">'Inputs &amp; Assumptions'!F$51/4*(F175-F186)</f>
        <v>985449.223622093</v>
      </c>
      <c r="G219" s="39" t="n">
        <f aca="false">'Inputs &amp; Assumptions'!G$51/4*(G175-G186)</f>
        <v>923644.946835059</v>
      </c>
      <c r="H219" s="39" t="n">
        <f aca="false">'Inputs &amp; Assumptions'!H$51/4*(H175-H186)</f>
        <v>867033.019114919</v>
      </c>
      <c r="I219" s="39" t="n">
        <f aca="false">'Inputs &amp; Assumptions'!I$51/4*(I175-I186)</f>
        <v>813890.942414018</v>
      </c>
      <c r="J219" s="39" t="n">
        <f aca="false">'Inputs &amp; Assumptions'!J$51/4*(J175-J186)</f>
        <v>764006.043068332</v>
      </c>
      <c r="K219" s="39" t="n">
        <f aca="false">'Inputs &amp; Assumptions'!K$51/4*(K175-K186)</f>
        <v>717178.682580798</v>
      </c>
      <c r="L219" s="39" t="n">
        <f aca="false">'Inputs &amp; Assumptions'!L$51/4*(L175-L186)</f>
        <v>674839.574764482</v>
      </c>
      <c r="M219" s="39" t="n">
        <f aca="false">'Inputs &amp; Assumptions'!M$51/4*(M175-M186)</f>
        <v>634999.983587773</v>
      </c>
      <c r="N219" s="39" t="n">
        <f aca="false">'Inputs &amp; Assumptions'!N$51/4*(N175-N186)</f>
        <v>597512.348467703</v>
      </c>
      <c r="O219" s="39" t="n">
        <f aca="false">'Inputs &amp; Assumptions'!O$51/4*(O175-O186)</f>
        <v>562237.82015585</v>
      </c>
      <c r="P219" s="39" t="n">
        <f aca="false">'Inputs &amp; Assumptions'!P$51/4*(P175-P186)</f>
        <v>530164.059969053</v>
      </c>
      <c r="Q219" s="39" t="n">
        <f aca="false">'Inputs &amp; Assumptions'!Q$51/4*(Q175-Q186)</f>
        <v>499919.998987185</v>
      </c>
      <c r="R219" s="39" t="n">
        <f aca="false">'Inputs &amp; Assumptions'!R$51/4*(R175-R186)</f>
        <v>471401.259078059</v>
      </c>
      <c r="S219" s="39" t="n">
        <f aca="false">'Inputs &amp; Assumptions'!S$51/4*(S175-S186)</f>
        <v>444509.416527815</v>
      </c>
      <c r="T219" s="39" t="n">
        <f aca="false">'Inputs &amp; Assumptions'!T$51/4*(T175-T186)</f>
        <v>419745.492440775</v>
      </c>
      <c r="U219" s="39" t="n">
        <f aca="false">'Inputs &amp; Assumptions'!U$51/4*(U175-U186)</f>
        <v>396361.183528097</v>
      </c>
      <c r="V219" s="39" t="n">
        <f aca="false">'Inputs &amp; Assumptions'!V$51/4*(V175-V186)</f>
        <v>374279.630483372</v>
      </c>
      <c r="W219" s="39" t="n">
        <f aca="false">'Inputs &amp; Assumptions'!W$51/4*(W175-W186)</f>
        <v>353428.255884796</v>
      </c>
      <c r="X219" s="39" t="n">
        <f aca="false">'Inputs &amp; Assumptions'!X$51/4*(X175-X186)</f>
        <v>334168.709235967</v>
      </c>
      <c r="Y219" s="39" t="n">
        <f aca="false">'Inputs &amp; Assumptions'!Y$51/4*(Y175-Y186)</f>
        <v>315958.6829097</v>
      </c>
      <c r="Z219" s="39" t="n">
        <f aca="false">'Inputs &amp; Assumptions'!Z$51/4*(Z175-Z186)</f>
        <v>298740.984858456</v>
      </c>
      <c r="AA219" s="39" t="n">
        <f aca="false">'Inputs &amp; Assumptions'!AA$51/4*(AA175-AA186)</f>
        <v>282461.539630189</v>
      </c>
      <c r="AB219" s="39" t="n">
        <f aca="false">'Inputs &amp; Assumptions'!AB$51/4*(AB175-AB186)</f>
        <v>0</v>
      </c>
      <c r="AC219" s="39" t="n">
        <f aca="false">'Inputs &amp; Assumptions'!AC$51/4*(AC175-AC186)</f>
        <v>0</v>
      </c>
      <c r="AD219" s="39" t="n">
        <f aca="false">'Inputs &amp; Assumptions'!AD$51/4*(AD175-AD186)</f>
        <v>0</v>
      </c>
      <c r="AE219" s="39" t="n">
        <f aca="false">'Inputs &amp; Assumptions'!AE$51/4*(AE175-AE186)</f>
        <v>0</v>
      </c>
      <c r="AF219" s="39" t="n">
        <f aca="false">'Inputs &amp; Assumptions'!AF$51/4*(AF175-AF186)</f>
        <v>0</v>
      </c>
      <c r="AG219" s="39" t="n">
        <f aca="false">'Inputs &amp; Assumptions'!AG$51/4*(AG175-AG186)</f>
        <v>0</v>
      </c>
      <c r="AH219" s="39" t="n">
        <f aca="false">'Inputs &amp; Assumptions'!AH$51/4*(AH175-AH186)</f>
        <v>0</v>
      </c>
      <c r="AI219" s="39" t="n">
        <f aca="false">'Inputs &amp; Assumptions'!AI$51/4*(AI175-AI186)</f>
        <v>0</v>
      </c>
      <c r="AJ219" s="39" t="n">
        <f aca="false">'Inputs &amp; Assumptions'!AJ$51/4*(AJ175-AJ186)</f>
        <v>0</v>
      </c>
      <c r="AK219" s="39" t="n">
        <f aca="false">'Inputs &amp; Assumptions'!AK$51/4*(AK175-AK186)</f>
        <v>0</v>
      </c>
      <c r="AL219" s="39" t="n">
        <f aca="false">'Inputs &amp; Assumptions'!AL$51/4*(AL175-AL186)</f>
        <v>0</v>
      </c>
      <c r="AM219" s="39" t="n">
        <f aca="false">'Inputs &amp; Assumptions'!AM$51/4*(AM175-AM186)</f>
        <v>0</v>
      </c>
      <c r="AN219" s="39" t="n">
        <f aca="false">'Inputs &amp; Assumptions'!AN$51/4*(AN175-AN186)</f>
        <v>0</v>
      </c>
    </row>
    <row r="220" customFormat="false" ht="15" hidden="false" customHeight="false" outlineLevel="0" collapsed="false">
      <c r="B220" s="37" t="n">
        <v>7</v>
      </c>
      <c r="C220" s="38" t="n">
        <f aca="false">'Inputs &amp; Assumptions'!$C$146</f>
        <v>6</v>
      </c>
      <c r="D220" s="38" t="n">
        <f aca="false">'Inputs &amp; Assumptions'!$D$146</f>
        <v>3</v>
      </c>
      <c r="E220" s="39" t="n">
        <f aca="false">'Inputs &amp; Assumptions'!E$51/4*(E176-E187)</f>
        <v>1019847.3671025</v>
      </c>
      <c r="F220" s="39" t="n">
        <f aca="false">'Inputs &amp; Assumptions'!F$51/4*(F176-F187)</f>
        <v>955885.74691343</v>
      </c>
      <c r="G220" s="39" t="n">
        <f aca="false">'Inputs &amp; Assumptions'!G$51/4*(G176-G187)</f>
        <v>897297.720206412</v>
      </c>
      <c r="H220" s="39" t="n">
        <f aca="false">'Inputs &amp; Assumptions'!H$51/4*(H176-H187)</f>
        <v>842300.663324507</v>
      </c>
      <c r="I220" s="39" t="n">
        <f aca="false">'Inputs &amp; Assumptions'!I$51/4*(I176-I187)</f>
        <v>790674.479005363</v>
      </c>
      <c r="J220" s="39" t="n">
        <f aca="false">'Inputs &amp; Assumptions'!J$51/4*(J176-J187)</f>
        <v>742212.560159826</v>
      </c>
      <c r="K220" s="39" t="n">
        <f aca="false">'Inputs &amp; Assumptions'!K$51/4*(K176-K187)</f>
        <v>698395.561174096</v>
      </c>
      <c r="L220" s="39" t="n">
        <f aca="false">'Inputs &amp; Assumptions'!L$51/4*(L176-L187)</f>
        <v>657165.327089921</v>
      </c>
      <c r="M220" s="39" t="n">
        <f aca="false">'Inputs &amp; Assumptions'!M$51/4*(M176-M187)</f>
        <v>618369.146566709</v>
      </c>
      <c r="N220" s="39" t="n">
        <f aca="false">'Inputs &amp; Assumptions'!N$51/4*(N176-N187)</f>
        <v>581863.323676719</v>
      </c>
      <c r="O220" s="39" t="n">
        <f aca="false">'Inputs &amp; Assumptions'!O$51/4*(O176-O187)</f>
        <v>548669.995095716</v>
      </c>
      <c r="P220" s="39" t="n">
        <f aca="false">'Inputs &amp; Assumptions'!P$51/4*(P176-P187)</f>
        <v>517370.233298275</v>
      </c>
      <c r="Q220" s="39" t="n">
        <f aca="false">'Inputs &amp; Assumptions'!Q$51/4*(Q176-Q187)</f>
        <v>487856.016723524</v>
      </c>
      <c r="R220" s="39" t="n">
        <f aca="false">'Inputs &amp; Assumptions'!R$51/4*(R176-R187)</f>
        <v>460025.486074165</v>
      </c>
      <c r="S220" s="39" t="n">
        <f aca="false">'Inputs &amp; Assumptions'!S$51/4*(S176-S187)</f>
        <v>434397.151124074</v>
      </c>
      <c r="T220" s="39" t="n">
        <f aca="false">'Inputs &amp; Assumptions'!T$51/4*(T176-T187)</f>
        <v>410196.588269654</v>
      </c>
      <c r="U220" s="39" t="n">
        <f aca="false">'Inputs &amp; Assumptions'!U$51/4*(U176-U187)</f>
        <v>387344.25534942</v>
      </c>
      <c r="V220" s="39" t="n">
        <f aca="false">'Inputs &amp; Assumptions'!V$51/4*(V176-V187)</f>
        <v>365765.041550191</v>
      </c>
      <c r="W220" s="39" t="n">
        <f aca="false">'Inputs &amp; Assumptions'!W$51/4*(W176-W187)</f>
        <v>345833.220132543</v>
      </c>
      <c r="X220" s="39" t="n">
        <f aca="false">'Inputs &amp; Assumptions'!X$51/4*(X176-X187)</f>
        <v>326987.553650153</v>
      </c>
      <c r="Y220" s="39" t="n">
        <f aca="false">'Inputs &amp; Assumptions'!Y$51/4*(Y176-Y187)</f>
        <v>309168.853706807</v>
      </c>
      <c r="Z220" s="39" t="n">
        <f aca="false">'Inputs &amp; Assumptions'!Z$51/4*(Z176-Z187)</f>
        <v>292321.157289823</v>
      </c>
      <c r="AA220" s="39" t="n">
        <f aca="false">'Inputs &amp; Assumptions'!AA$51/4*(AA176-AA187)</f>
        <v>0</v>
      </c>
      <c r="AB220" s="39" t="n">
        <f aca="false">'Inputs &amp; Assumptions'!AB$51/4*(AB176-AB187)</f>
        <v>0</v>
      </c>
      <c r="AC220" s="39" t="n">
        <f aca="false">'Inputs &amp; Assumptions'!AC$51/4*(AC176-AC187)</f>
        <v>0</v>
      </c>
      <c r="AD220" s="39" t="n">
        <f aca="false">'Inputs &amp; Assumptions'!AD$51/4*(AD176-AD187)</f>
        <v>0</v>
      </c>
      <c r="AE220" s="39" t="n">
        <f aca="false">'Inputs &amp; Assumptions'!AE$51/4*(AE176-AE187)</f>
        <v>0</v>
      </c>
      <c r="AF220" s="39" t="n">
        <f aca="false">'Inputs &amp; Assumptions'!AF$51/4*(AF176-AF187)</f>
        <v>0</v>
      </c>
      <c r="AG220" s="39" t="n">
        <f aca="false">'Inputs &amp; Assumptions'!AG$51/4*(AG176-AG187)</f>
        <v>0</v>
      </c>
      <c r="AH220" s="39" t="n">
        <f aca="false">'Inputs &amp; Assumptions'!AH$51/4*(AH176-AH187)</f>
        <v>0</v>
      </c>
      <c r="AI220" s="39" t="n">
        <f aca="false">'Inputs &amp; Assumptions'!AI$51/4*(AI176-AI187)</f>
        <v>0</v>
      </c>
      <c r="AJ220" s="39" t="n">
        <f aca="false">'Inputs &amp; Assumptions'!AJ$51/4*(AJ176-AJ187)</f>
        <v>0</v>
      </c>
      <c r="AK220" s="39" t="n">
        <f aca="false">'Inputs &amp; Assumptions'!AK$51/4*(AK176-AK187)</f>
        <v>0</v>
      </c>
      <c r="AL220" s="39" t="n">
        <f aca="false">'Inputs &amp; Assumptions'!AL$51/4*(AL176-AL187)</f>
        <v>0</v>
      </c>
      <c r="AM220" s="39" t="n">
        <f aca="false">'Inputs &amp; Assumptions'!AM$51/4*(AM176-AM187)</f>
        <v>0</v>
      </c>
      <c r="AN220" s="39" t="n">
        <f aca="false">'Inputs &amp; Assumptions'!AN$51/4*(AN176-AN187)</f>
        <v>0</v>
      </c>
    </row>
    <row r="221" customFormat="false" ht="15" hidden="false" customHeight="false" outlineLevel="0" collapsed="false">
      <c r="B221" s="37" t="n">
        <v>8</v>
      </c>
      <c r="C221" s="38" t="n">
        <f aca="false">'Inputs &amp; Assumptions'!$C$147</f>
        <v>7</v>
      </c>
      <c r="D221" s="38" t="n">
        <f aca="false">'Inputs &amp; Assumptions'!$D$147</f>
        <v>3</v>
      </c>
      <c r="E221" s="39" t="n">
        <f aca="false">'Inputs &amp; Assumptions'!E$51/4*(E177-E188)</f>
        <v>989251.946089425</v>
      </c>
      <c r="F221" s="39" t="n">
        <f aca="false">'Inputs &amp; Assumptions'!F$51/4*(F177-F188)</f>
        <v>928618.842578252</v>
      </c>
      <c r="G221" s="39" t="n">
        <f aca="false">'Inputs &amp; Assumptions'!G$51/4*(G177-G188)</f>
        <v>871702.055477605</v>
      </c>
      <c r="H221" s="39" t="n">
        <f aca="false">'Inputs &amp; Assumptions'!H$51/4*(H177-H188)</f>
        <v>818273.804798279</v>
      </c>
      <c r="I221" s="39" t="n">
        <f aca="false">'Inputs &amp; Assumptions'!I$51/4*(I177-I188)</f>
        <v>768120.271612983</v>
      </c>
      <c r="J221" s="39" t="n">
        <f aca="false">'Inputs &amp; Assumptions'!J$51/4*(J177-J188)</f>
        <v>722773.794109371</v>
      </c>
      <c r="K221" s="39" t="n">
        <f aca="false">'Inputs &amp; Assumptions'!K$51/4*(K177-K188)</f>
        <v>680104.37526178</v>
      </c>
      <c r="L221" s="39" t="n">
        <f aca="false">'Inputs &amp; Assumptions'!L$51/4*(L177-L188)</f>
        <v>639953.973179364</v>
      </c>
      <c r="M221" s="39" t="n">
        <f aca="false">'Inputs &amp; Assumptions'!M$51/4*(M177-M188)</f>
        <v>602173.876076619</v>
      </c>
      <c r="N221" s="39" t="n">
        <f aca="false">'Inputs &amp; Assumptions'!N$51/4*(N177-N188)</f>
        <v>567821.899386966</v>
      </c>
      <c r="O221" s="39" t="n">
        <f aca="false">'Inputs &amp; Assumptions'!O$51/4*(O177-O188)</f>
        <v>535429.586424632</v>
      </c>
      <c r="P221" s="39" t="n">
        <f aca="false">'Inputs &amp; Assumptions'!P$51/4*(P177-P188)</f>
        <v>504885.145022346</v>
      </c>
      <c r="Q221" s="39" t="n">
        <f aca="false">'Inputs &amp; Assumptions'!Q$51/4*(Q177-Q188)</f>
        <v>476083.160376713</v>
      </c>
      <c r="R221" s="39" t="n">
        <f aca="false">'Inputs &amp; Assumptions'!R$51/4*(R177-R188)</f>
        <v>449560.2413916</v>
      </c>
      <c r="S221" s="39" t="n">
        <f aca="false">'Inputs &amp; Assumptions'!S$51/4*(S177-S188)</f>
        <v>424514.932391546</v>
      </c>
      <c r="T221" s="39" t="n">
        <f aca="false">'Inputs &amp; Assumptions'!T$51/4*(T177-T188)</f>
        <v>400864.914712109</v>
      </c>
      <c r="U221" s="39" t="n">
        <f aca="false">'Inputs &amp; Assumptions'!U$51/4*(U177-U188)</f>
        <v>378532.455718032</v>
      </c>
      <c r="V221" s="39" t="n">
        <f aca="false">'Inputs &amp; Assumptions'!V$51/4*(V177-V188)</f>
        <v>357904.893072408</v>
      </c>
      <c r="W221" s="39" t="n">
        <f aca="false">'Inputs &amp; Assumptions'!W$51/4*(W177-W188)</f>
        <v>338401.398744498</v>
      </c>
      <c r="X221" s="39" t="n">
        <f aca="false">'Inputs &amp; Assumptions'!X$51/4*(X177-X188)</f>
        <v>319960.718304751</v>
      </c>
      <c r="Y221" s="39" t="n">
        <f aca="false">'Inputs &amp; Assumptions'!Y$51/4*(Y177-Y188)</f>
        <v>302524.935292564</v>
      </c>
      <c r="Z221" s="39" t="n">
        <f aca="false">'Inputs &amp; Assumptions'!Z$51/4*(Z177-Z188)</f>
        <v>0</v>
      </c>
      <c r="AA221" s="39" t="n">
        <f aca="false">'Inputs &amp; Assumptions'!AA$51/4*(AA177-AA188)</f>
        <v>0</v>
      </c>
      <c r="AB221" s="39" t="n">
        <f aca="false">'Inputs &amp; Assumptions'!AB$51/4*(AB177-AB188)</f>
        <v>0</v>
      </c>
      <c r="AC221" s="39" t="n">
        <f aca="false">'Inputs &amp; Assumptions'!AC$51/4*(AC177-AC188)</f>
        <v>0</v>
      </c>
      <c r="AD221" s="39" t="n">
        <f aca="false">'Inputs &amp; Assumptions'!AD$51/4*(AD177-AD188)</f>
        <v>0</v>
      </c>
      <c r="AE221" s="39" t="n">
        <f aca="false">'Inputs &amp; Assumptions'!AE$51/4*(AE177-AE188)</f>
        <v>0</v>
      </c>
      <c r="AF221" s="39" t="n">
        <f aca="false">'Inputs &amp; Assumptions'!AF$51/4*(AF177-AF188)</f>
        <v>0</v>
      </c>
      <c r="AG221" s="39" t="n">
        <f aca="false">'Inputs &amp; Assumptions'!AG$51/4*(AG177-AG188)</f>
        <v>0</v>
      </c>
      <c r="AH221" s="39" t="n">
        <f aca="false">'Inputs &amp; Assumptions'!AH$51/4*(AH177-AH188)</f>
        <v>0</v>
      </c>
      <c r="AI221" s="39" t="n">
        <f aca="false">'Inputs &amp; Assumptions'!AI$51/4*(AI177-AI188)</f>
        <v>0</v>
      </c>
      <c r="AJ221" s="39" t="n">
        <f aca="false">'Inputs &amp; Assumptions'!AJ$51/4*(AJ177-AJ188)</f>
        <v>0</v>
      </c>
      <c r="AK221" s="39" t="n">
        <f aca="false">'Inputs &amp; Assumptions'!AK$51/4*(AK177-AK188)</f>
        <v>0</v>
      </c>
      <c r="AL221" s="39" t="n">
        <f aca="false">'Inputs &amp; Assumptions'!AL$51/4*(AL177-AL188)</f>
        <v>0</v>
      </c>
      <c r="AM221" s="39" t="n">
        <f aca="false">'Inputs &amp; Assumptions'!AM$51/4*(AM177-AM188)</f>
        <v>0</v>
      </c>
      <c r="AN221" s="39" t="n">
        <f aca="false">'Inputs &amp; Assumptions'!AN$51/4*(AN177-AN188)</f>
        <v>0</v>
      </c>
    </row>
    <row r="222" customFormat="false" ht="15" hidden="false" customHeight="false" outlineLevel="0" collapsed="false">
      <c r="B222" s="37" t="n">
        <v>9</v>
      </c>
      <c r="C222" s="38" t="n">
        <f aca="false">'Inputs &amp; Assumptions'!$C$148</f>
        <v>8</v>
      </c>
      <c r="D222" s="38" t="n">
        <f aca="false">'Inputs &amp; Assumptions'!$D$148</f>
        <v>3</v>
      </c>
      <c r="E222" s="39" t="n">
        <f aca="false">'Inputs &amp; Assumptions'!E$51/4*(E178-E189)</f>
        <v>961033.261728341</v>
      </c>
      <c r="F222" s="39" t="n">
        <f aca="false">'Inputs &amp; Assumptions'!F$51/4*(F178-F189)</f>
        <v>902129.73420292</v>
      </c>
      <c r="G222" s="39" t="n">
        <f aca="false">'Inputs &amp; Assumptions'!G$51/4*(G178-G189)</f>
        <v>846836.514138344</v>
      </c>
      <c r="H222" s="39" t="n">
        <f aca="false">'Inputs &amp; Assumptions'!H$51/4*(H178-H189)</f>
        <v>794932.319032369</v>
      </c>
      <c r="I222" s="39" t="n">
        <f aca="false">'Inputs &amp; Assumptions'!I$51/4*(I178-I189)</f>
        <v>748002.974951658</v>
      </c>
      <c r="J222" s="39" t="n">
        <f aca="false">'Inputs &amp; Assumptions'!J$51/4*(J178-J189)</f>
        <v>703844.135080068</v>
      </c>
      <c r="K222" s="39" t="n">
        <f aca="false">'Inputs &amp; Assumptions'!K$51/4*(K178-K189)</f>
        <v>662292.240908034</v>
      </c>
      <c r="L222" s="39" t="n">
        <f aca="false">'Inputs &amp; Assumptions'!L$51/4*(L178-L189)</f>
        <v>623193.389708486</v>
      </c>
      <c r="M222" s="39" t="n">
        <f aca="false">'Inputs &amp; Assumptions'!M$51/4*(M178-M189)</f>
        <v>587642.321077126</v>
      </c>
      <c r="N222" s="39" t="n">
        <f aca="false">'Inputs &amp; Assumptions'!N$51/4*(N178-N189)</f>
        <v>554119.320300309</v>
      </c>
      <c r="O222" s="39" t="n">
        <f aca="false">'Inputs &amp; Assumptions'!O$51/4*(O178-O189)</f>
        <v>522508.692987375</v>
      </c>
      <c r="P222" s="39" t="n">
        <f aca="false">'Inputs &amp; Assumptions'!P$51/4*(P178-P189)</f>
        <v>492701.344720145</v>
      </c>
      <c r="Q222" s="39" t="n">
        <f aca="false">'Inputs &amp; Assumptions'!Q$51/4*(Q178-Q189)</f>
        <v>465252.615301679</v>
      </c>
      <c r="R222" s="39" t="n">
        <f aca="false">'Inputs &amp; Assumptions'!R$51/4*(R178-R189)</f>
        <v>439333.073401701</v>
      </c>
      <c r="S222" s="39" t="n">
        <f aca="false">'Inputs &amp; Assumptions'!S$51/4*(S178-S189)</f>
        <v>414857.526936051</v>
      </c>
      <c r="T222" s="39" t="n">
        <f aca="false">'Inputs &amp; Assumptions'!T$51/4*(T178-T189)</f>
        <v>391745.529929934</v>
      </c>
      <c r="U222" s="39" t="n">
        <f aca="false">'Inputs &amp; Assumptions'!U$51/4*(U178-U189)</f>
        <v>370397.940475697</v>
      </c>
      <c r="V222" s="39" t="n">
        <f aca="false">'Inputs &amp; Assumptions'!V$51/4*(V178-V189)</f>
        <v>350213.656128191</v>
      </c>
      <c r="W222" s="39" t="n">
        <f aca="false">'Inputs &amp; Assumptions'!W$51/4*(W178-W189)</f>
        <v>331129.28430746</v>
      </c>
      <c r="X222" s="39" t="n">
        <f aca="false">'Inputs &amp; Assumptions'!X$51/4*(X178-X189)</f>
        <v>313084.886917819</v>
      </c>
      <c r="Y222" s="39" t="n">
        <f aca="false">'Inputs &amp; Assumptions'!Y$51/4*(Y178-Y189)</f>
        <v>0</v>
      </c>
      <c r="Z222" s="39" t="n">
        <f aca="false">'Inputs &amp; Assumptions'!Z$51/4*(Z178-Z189)</f>
        <v>0</v>
      </c>
      <c r="AA222" s="39" t="n">
        <f aca="false">'Inputs &amp; Assumptions'!AA$51/4*(AA178-AA189)</f>
        <v>0</v>
      </c>
      <c r="AB222" s="39" t="n">
        <f aca="false">'Inputs &amp; Assumptions'!AB$51/4*(AB178-AB189)</f>
        <v>0</v>
      </c>
      <c r="AC222" s="39" t="n">
        <f aca="false">'Inputs &amp; Assumptions'!AC$51/4*(AC178-AC189)</f>
        <v>0</v>
      </c>
      <c r="AD222" s="39" t="n">
        <f aca="false">'Inputs &amp; Assumptions'!AD$51/4*(AD178-AD189)</f>
        <v>0</v>
      </c>
      <c r="AE222" s="39" t="n">
        <f aca="false">'Inputs &amp; Assumptions'!AE$51/4*(AE178-AE189)</f>
        <v>0</v>
      </c>
      <c r="AF222" s="39" t="n">
        <f aca="false">'Inputs &amp; Assumptions'!AF$51/4*(AF178-AF189)</f>
        <v>0</v>
      </c>
      <c r="AG222" s="39" t="n">
        <f aca="false">'Inputs &amp; Assumptions'!AG$51/4*(AG178-AG189)</f>
        <v>0</v>
      </c>
      <c r="AH222" s="39" t="n">
        <f aca="false">'Inputs &amp; Assumptions'!AH$51/4*(AH178-AH189)</f>
        <v>0</v>
      </c>
      <c r="AI222" s="39" t="n">
        <f aca="false">'Inputs &amp; Assumptions'!AI$51/4*(AI178-AI189)</f>
        <v>0</v>
      </c>
      <c r="AJ222" s="39" t="n">
        <f aca="false">'Inputs &amp; Assumptions'!AJ$51/4*(AJ178-AJ189)</f>
        <v>0</v>
      </c>
      <c r="AK222" s="39" t="n">
        <f aca="false">'Inputs &amp; Assumptions'!AK$51/4*(AK178-AK189)</f>
        <v>0</v>
      </c>
      <c r="AL222" s="39" t="n">
        <f aca="false">'Inputs &amp; Assumptions'!AL$51/4*(AL178-AL189)</f>
        <v>0</v>
      </c>
      <c r="AM222" s="39" t="n">
        <f aca="false">'Inputs &amp; Assumptions'!AM$51/4*(AM178-AM189)</f>
        <v>0</v>
      </c>
      <c r="AN222" s="39" t="n">
        <f aca="false">'Inputs &amp; Assumptions'!AN$51/4*(AN178-AN189)</f>
        <v>0</v>
      </c>
    </row>
    <row r="223" customFormat="false" ht="15" hidden="false" customHeight="false" outlineLevel="0" collapsed="false">
      <c r="B223" s="37" t="n">
        <v>10</v>
      </c>
      <c r="C223" s="38" t="n">
        <f aca="false">'Inputs &amp; Assumptions'!$C$149</f>
        <v>9</v>
      </c>
      <c r="D223" s="38" t="n">
        <f aca="false">'Inputs &amp; Assumptions'!$D$149</f>
        <v>3</v>
      </c>
      <c r="E223" s="39" t="n">
        <f aca="false">'Inputs &amp; Assumptions'!E$51/4*(E179-E190)</f>
        <v>932202.263876491</v>
      </c>
      <c r="F223" s="39" t="n">
        <f aca="false">'Inputs &amp; Assumptions'!F$51/4*(F179-F190)</f>
        <v>875065.842176833</v>
      </c>
      <c r="G223" s="39" t="n">
        <f aca="false">'Inputs &amp; Assumptions'!G$51/4*(G179-G190)</f>
        <v>821431.418714194</v>
      </c>
      <c r="H223" s="39" t="n">
        <f aca="false">'Inputs &amp; Assumptions'!H$51/4*(H179-H190)</f>
        <v>772937.683128667</v>
      </c>
      <c r="I223" s="39" t="n">
        <f aca="false">'Inputs &amp; Assumptions'!I$51/4*(I179-I190)</f>
        <v>727306.806617512</v>
      </c>
      <c r="J223" s="39" t="n">
        <f aca="false">'Inputs &amp; Assumptions'!J$51/4*(J179-J190)</f>
        <v>684369.778441901</v>
      </c>
      <c r="K223" s="39" t="n">
        <f aca="false">'Inputs &amp; Assumptions'!K$51/4*(K179-K190)</f>
        <v>643967.565521392</v>
      </c>
      <c r="L223" s="39" t="n">
        <f aca="false">'Inputs &amp; Assumptions'!L$51/4*(L179-L190)</f>
        <v>607231.400638561</v>
      </c>
      <c r="M223" s="39" t="n">
        <f aca="false">'Inputs &amp; Assumptions'!M$51/4*(M179-M190)</f>
        <v>572590.909330853</v>
      </c>
      <c r="N223" s="39" t="n">
        <f aca="false">'Inputs &amp; Assumptions'!N$51/4*(N179-N190)</f>
        <v>539926.540530606</v>
      </c>
      <c r="O223" s="39" t="n">
        <f aca="false">'Inputs &amp; Assumptions'!O$51/4*(O179-O190)</f>
        <v>509125.563152981</v>
      </c>
      <c r="P223" s="39" t="n">
        <f aca="false">'Inputs &amp; Assumptions'!P$51/4*(P179-P190)</f>
        <v>480761.829274909</v>
      </c>
      <c r="Q223" s="39" t="n">
        <f aca="false">'Inputs &amp; Assumptions'!Q$51/4*(Q179-Q190)</f>
        <v>453978.258440555</v>
      </c>
      <c r="R223" s="39" t="n">
        <f aca="false">'Inputs &amp; Assumptions'!R$51/4*(R179-R190)</f>
        <v>428686.818684328</v>
      </c>
      <c r="S223" s="39" t="n">
        <f aca="false">'Inputs &amp; Assumptions'!S$51/4*(S179-S190)</f>
        <v>404804.382361747</v>
      </c>
      <c r="T223" s="39" t="n">
        <f aca="false">'Inputs &amp; Assumptions'!T$51/4*(T179-T190)</f>
        <v>382745.170185209</v>
      </c>
      <c r="U223" s="39" t="n">
        <f aca="false">'Inputs &amp; Assumptions'!U$51/4*(U179-U190)</f>
        <v>361888.041936247</v>
      </c>
      <c r="V223" s="39" t="n">
        <f aca="false">'Inputs &amp; Assumptions'!V$51/4*(V179-V190)</f>
        <v>342167.491840795</v>
      </c>
      <c r="W223" s="39" t="n">
        <f aca="false">'Inputs &amp; Assumptions'!W$51/4*(W179-W190)</f>
        <v>323521.583764422</v>
      </c>
      <c r="X223" s="39" t="n">
        <f aca="false">'Inputs &amp; Assumptions'!X$51/4*(X179-X190)</f>
        <v>0</v>
      </c>
      <c r="Y223" s="39" t="n">
        <f aca="false">'Inputs &amp; Assumptions'!Y$51/4*(Y179-Y190)</f>
        <v>0</v>
      </c>
      <c r="Z223" s="39" t="n">
        <f aca="false">'Inputs &amp; Assumptions'!Z$51/4*(Z179-Z190)</f>
        <v>0</v>
      </c>
      <c r="AA223" s="39" t="n">
        <f aca="false">'Inputs &amp; Assumptions'!AA$51/4*(AA179-AA190)</f>
        <v>0</v>
      </c>
      <c r="AB223" s="39" t="n">
        <f aca="false">'Inputs &amp; Assumptions'!AB$51/4*(AB179-AB190)</f>
        <v>0</v>
      </c>
      <c r="AC223" s="39" t="n">
        <f aca="false">'Inputs &amp; Assumptions'!AC$51/4*(AC179-AC190)</f>
        <v>0</v>
      </c>
      <c r="AD223" s="39" t="n">
        <f aca="false">'Inputs &amp; Assumptions'!AD$51/4*(AD179-AD190)</f>
        <v>0</v>
      </c>
      <c r="AE223" s="39" t="n">
        <f aca="false">'Inputs &amp; Assumptions'!AE$51/4*(AE179-AE190)</f>
        <v>0</v>
      </c>
      <c r="AF223" s="39" t="n">
        <f aca="false">'Inputs &amp; Assumptions'!AF$51/4*(AF179-AF190)</f>
        <v>0</v>
      </c>
      <c r="AG223" s="39" t="n">
        <f aca="false">'Inputs &amp; Assumptions'!AG$51/4*(AG179-AG190)</f>
        <v>0</v>
      </c>
      <c r="AH223" s="39" t="n">
        <f aca="false">'Inputs &amp; Assumptions'!AH$51/4*(AH179-AH190)</f>
        <v>0</v>
      </c>
      <c r="AI223" s="39" t="n">
        <f aca="false">'Inputs &amp; Assumptions'!AI$51/4*(AI179-AI190)</f>
        <v>0</v>
      </c>
      <c r="AJ223" s="39" t="n">
        <f aca="false">'Inputs &amp; Assumptions'!AJ$51/4*(AJ179-AJ190)</f>
        <v>0</v>
      </c>
      <c r="AK223" s="39" t="n">
        <f aca="false">'Inputs &amp; Assumptions'!AK$51/4*(AK179-AK190)</f>
        <v>0</v>
      </c>
      <c r="AL223" s="39" t="n">
        <f aca="false">'Inputs &amp; Assumptions'!AL$51/4*(AL179-AL190)</f>
        <v>0</v>
      </c>
      <c r="AM223" s="39" t="n">
        <f aca="false">'Inputs &amp; Assumptions'!AM$51/4*(AM179-AM190)</f>
        <v>0</v>
      </c>
      <c r="AN223" s="39" t="n">
        <f aca="false">'Inputs &amp; Assumptions'!AN$51/4*(AN179-AN190)</f>
        <v>0</v>
      </c>
    </row>
    <row r="224" customFormat="false" ht="15" hidden="false" customHeight="false" outlineLevel="0" collapsed="false">
      <c r="B224" s="37" t="n">
        <v>11</v>
      </c>
      <c r="C224" s="38" t="n">
        <f aca="false">'Inputs &amp; Assumptions'!$C$150</f>
        <v>10</v>
      </c>
      <c r="D224" s="38" t="n">
        <f aca="false">'Inputs &amp; Assumptions'!$D$150</f>
        <v>2</v>
      </c>
      <c r="E224" s="39" t="n">
        <f aca="false">'Inputs &amp; Assumptions'!E$51/4*(E180-E191)</f>
        <v>602824.130640131</v>
      </c>
      <c r="F224" s="39" t="n">
        <f aca="false">'Inputs &amp; Assumptions'!F$51/4*(F180-F191)</f>
        <v>565875.911274352</v>
      </c>
      <c r="G224" s="39" t="n">
        <f aca="false">'Inputs &amp; Assumptions'!G$51/4*(G180-G191)</f>
        <v>532469.060513138</v>
      </c>
      <c r="H224" s="39" t="n">
        <f aca="false">'Inputs &amp; Assumptions'!H$51/4*(H180-H191)</f>
        <v>501034.40481368</v>
      </c>
      <c r="I224" s="39" t="n">
        <f aca="false">'Inputs &amp; Assumptions'!I$51/4*(I180-I191)</f>
        <v>471455.51436374</v>
      </c>
      <c r="J224" s="39" t="n">
        <f aca="false">'Inputs &amp; Assumptions'!J$51/4*(J180-J191)</f>
        <v>443622.832860419</v>
      </c>
      <c r="K224" s="39" t="n">
        <f aca="false">'Inputs &amp; Assumptions'!K$51/4*(K180-K191)</f>
        <v>418315.655284552</v>
      </c>
      <c r="L224" s="39" t="n">
        <f aca="false">'Inputs &amp; Assumptions'!L$51/4*(L180-L191)</f>
        <v>394452.166332029</v>
      </c>
      <c r="M224" s="39" t="n">
        <f aca="false">'Inputs &amp; Assumptions'!M$51/4*(M180-M191)</f>
        <v>371950.008464761</v>
      </c>
      <c r="N224" s="39" t="n">
        <f aca="false">'Inputs &amp; Assumptions'!N$51/4*(N180-N191)</f>
        <v>350731.522362796</v>
      </c>
      <c r="O224" s="39" t="n">
        <f aca="false">'Inputs &amp; Assumptions'!O$51/4*(O180-O191)</f>
        <v>331192.028998248</v>
      </c>
      <c r="P224" s="39" t="n">
        <f aca="false">'Inputs &amp; Assumptions'!P$51/4*(P180-P191)</f>
        <v>312741.094193739</v>
      </c>
      <c r="Q224" s="39" t="n">
        <f aca="false">'Inputs &amp; Assumptions'!Q$51/4*(Q180-Q191)</f>
        <v>295318.073606216</v>
      </c>
      <c r="R224" s="39" t="n">
        <f aca="false">'Inputs &amp; Assumptions'!R$51/4*(R180-R191)</f>
        <v>278865.701430525</v>
      </c>
      <c r="S224" s="39" t="n">
        <f aca="false">'Inputs &amp; Assumptions'!S$51/4*(S180-S191)</f>
        <v>263669.330183936</v>
      </c>
      <c r="T224" s="39" t="n">
        <f aca="false">'Inputs &amp; Assumptions'!T$51/4*(T180-T191)</f>
        <v>249301.062565293</v>
      </c>
      <c r="U224" s="39" t="n">
        <f aca="false">'Inputs &amp; Assumptions'!U$51/4*(U180-U191)</f>
        <v>235715.772300205</v>
      </c>
      <c r="V224" s="39" t="n">
        <f aca="false">'Inputs &amp; Assumptions'!V$51/4*(V180-V191)</f>
        <v>222870.792203423</v>
      </c>
      <c r="W224" s="39" t="n">
        <f aca="false">'Inputs &amp; Assumptions'!W$51/4*(W180-W191)</f>
        <v>0</v>
      </c>
      <c r="X224" s="39" t="n">
        <f aca="false">'Inputs &amp; Assumptions'!X$51/4*(X180-X191)</f>
        <v>0</v>
      </c>
      <c r="Y224" s="39" t="n">
        <f aca="false">'Inputs &amp; Assumptions'!Y$51/4*(Y180-Y191)</f>
        <v>0</v>
      </c>
      <c r="Z224" s="39" t="n">
        <f aca="false">'Inputs &amp; Assumptions'!Z$51/4*(Z180-Z191)</f>
        <v>0</v>
      </c>
      <c r="AA224" s="39" t="n">
        <f aca="false">'Inputs &amp; Assumptions'!AA$51/4*(AA180-AA191)</f>
        <v>0</v>
      </c>
      <c r="AB224" s="39" t="n">
        <f aca="false">'Inputs &amp; Assumptions'!AB$51/4*(AB180-AB191)</f>
        <v>0</v>
      </c>
      <c r="AC224" s="39" t="n">
        <f aca="false">'Inputs &amp; Assumptions'!AC$51/4*(AC180-AC191)</f>
        <v>0</v>
      </c>
      <c r="AD224" s="39" t="n">
        <f aca="false">'Inputs &amp; Assumptions'!AD$51/4*(AD180-AD191)</f>
        <v>0</v>
      </c>
      <c r="AE224" s="39" t="n">
        <f aca="false">'Inputs &amp; Assumptions'!AE$51/4*(AE180-AE191)</f>
        <v>0</v>
      </c>
      <c r="AF224" s="39" t="n">
        <f aca="false">'Inputs &amp; Assumptions'!AF$51/4*(AF180-AF191)</f>
        <v>0</v>
      </c>
      <c r="AG224" s="39" t="n">
        <f aca="false">'Inputs &amp; Assumptions'!AG$51/4*(AG180-AG191)</f>
        <v>0</v>
      </c>
      <c r="AH224" s="39" t="n">
        <f aca="false">'Inputs &amp; Assumptions'!AH$51/4*(AH180-AH191)</f>
        <v>0</v>
      </c>
      <c r="AI224" s="39" t="n">
        <f aca="false">'Inputs &amp; Assumptions'!AI$51/4*(AI180-AI191)</f>
        <v>0</v>
      </c>
      <c r="AJ224" s="39" t="n">
        <f aca="false">'Inputs &amp; Assumptions'!AJ$51/4*(AJ180-AJ191)</f>
        <v>0</v>
      </c>
      <c r="AK224" s="39" t="n">
        <f aca="false">'Inputs &amp; Assumptions'!AK$51/4*(AK180-AK191)</f>
        <v>0</v>
      </c>
      <c r="AL224" s="39" t="n">
        <f aca="false">'Inputs &amp; Assumptions'!AL$51/4*(AL180-AL191)</f>
        <v>0</v>
      </c>
      <c r="AM224" s="39" t="n">
        <f aca="false">'Inputs &amp; Assumptions'!AM$51/4*(AM180-AM191)</f>
        <v>0</v>
      </c>
      <c r="AN224" s="39" t="n">
        <f aca="false">'Inputs &amp; Assumptions'!AN$51/4*(AN180-AN191)</f>
        <v>0</v>
      </c>
    </row>
    <row r="225" customFormat="false" ht="15" hidden="false" customHeight="false" outlineLevel="0" collapsed="false">
      <c r="A225" s="12" t="s">
        <v>131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customFormat="false" ht="15" hidden="false" customHeight="false" outlineLevel="0" collapsed="false">
      <c r="A226" s="5" t="s">
        <v>132</v>
      </c>
      <c r="E226" s="39" t="n">
        <f aca="false">SUM(E170:E180)</f>
        <v>567374870.33916</v>
      </c>
      <c r="F226" s="39" t="n">
        <f aca="false">SUM(F170:F180)</f>
        <v>538458438.745494</v>
      </c>
      <c r="G226" s="39" t="n">
        <f aca="false">SUM(G170:G180)</f>
        <v>509337830.435551</v>
      </c>
      <c r="H226" s="39" t="n">
        <f aca="false">SUM(H170:H180)</f>
        <v>480206150.774029</v>
      </c>
      <c r="I226" s="39" t="n">
        <f aca="false">SUM(I170:I180)</f>
        <v>451199328.479354</v>
      </c>
      <c r="J226" s="39" t="n">
        <f aca="false">SUM(J170:J180)</f>
        <v>423549533.877165</v>
      </c>
      <c r="K226" s="39" t="n">
        <f aca="false">SUM(K170:K180)</f>
        <v>397748919.792568</v>
      </c>
      <c r="L226" s="39" t="n">
        <f aca="false">SUM(L170:L180)</f>
        <v>373715542.671948</v>
      </c>
      <c r="M226" s="39" t="n">
        <f aca="false">SUM(M170:M180)</f>
        <v>351345902.96272</v>
      </c>
      <c r="N226" s="39" t="n">
        <f aca="false">SUM(N170:N180)</f>
        <v>330481111.642879</v>
      </c>
      <c r="O226" s="39" t="n">
        <f aca="false">SUM(O170:O180)</f>
        <v>310997131.433141</v>
      </c>
      <c r="P226" s="39" t="n">
        <f aca="false">SUM(P170:P180)</f>
        <v>292823359.038408</v>
      </c>
      <c r="Q226" s="39" t="n">
        <f aca="false">SUM(Q170:Q180)</f>
        <v>275879664.566804</v>
      </c>
      <c r="R226" s="39" t="n">
        <f aca="false">SUM(R170:R180)</f>
        <v>260031087.185284</v>
      </c>
      <c r="S226" s="39" t="n">
        <f aca="false">SUM(S170:S180)</f>
        <v>245180803.275074</v>
      </c>
      <c r="T226" s="39" t="n">
        <f aca="false">SUM(T170:T180)</f>
        <v>231281243.645798</v>
      </c>
      <c r="U226" s="39" t="n">
        <f aca="false">SUM(U170:U180)</f>
        <v>218277523.734582</v>
      </c>
      <c r="V226" s="39" t="n">
        <f aca="false">SUM(V170:V180)</f>
        <v>206076228.164848</v>
      </c>
      <c r="W226" s="39" t="n">
        <f aca="false">SUM(W170:W180)</f>
        <v>183046599.978926</v>
      </c>
      <c r="X226" s="39" t="n">
        <f aca="false">SUM(X170:X180)</f>
        <v>156114251.902457</v>
      </c>
      <c r="Y226" s="39" t="n">
        <f aca="false">SUM(Y170:Y180)</f>
        <v>131250178.038099</v>
      </c>
      <c r="Z226" s="39" t="n">
        <f aca="false">SUM(Z170:Z180)</f>
        <v>108325574.727902</v>
      </c>
      <c r="AA226" s="39" t="n">
        <f aca="false">SUM(AA170:AA180)</f>
        <v>87204781.2013006</v>
      </c>
      <c r="AB226" s="39" t="n">
        <f aca="false">SUM(AB170:AB180)</f>
        <v>67769608.7090281</v>
      </c>
      <c r="AC226" s="39" t="n">
        <f aca="false">SUM(AC170:AC180)</f>
        <v>49909044.0258713</v>
      </c>
      <c r="AD226" s="39" t="n">
        <f aca="false">SUM(AD170:AD180)</f>
        <v>33458446.9343791</v>
      </c>
      <c r="AE226" s="39" t="n">
        <f aca="false">SUM(AE170:AE180)</f>
        <v>18321199.367444</v>
      </c>
      <c r="AF226" s="39" t="n">
        <f aca="false">SUM(AF170:AF180)</f>
        <v>4413074.36392778</v>
      </c>
      <c r="AG226" s="39" t="n">
        <f aca="false">SUM(AG170:AG180)</f>
        <v>0</v>
      </c>
      <c r="AH226" s="39" t="n">
        <f aca="false">SUM(AH170:AH180)</f>
        <v>0</v>
      </c>
      <c r="AI226" s="39" t="n">
        <f aca="false">SUM(AI170:AI180)</f>
        <v>0</v>
      </c>
      <c r="AJ226" s="39" t="n">
        <f aca="false">SUM(AJ170:AJ180)</f>
        <v>0</v>
      </c>
      <c r="AK226" s="39" t="n">
        <f aca="false">SUM(AK170:AK180)</f>
        <v>0</v>
      </c>
      <c r="AL226" s="39" t="n">
        <f aca="false">SUM(AL170:AL180)</f>
        <v>0</v>
      </c>
      <c r="AM226" s="39" t="n">
        <f aca="false">SUM(AM170:AM180)</f>
        <v>0</v>
      </c>
      <c r="AN226" s="39" t="n">
        <f aca="false">SUM(AN170:AN180)</f>
        <v>0</v>
      </c>
    </row>
    <row r="227" customFormat="false" ht="15" hidden="false" customHeight="false" outlineLevel="0" collapsed="false">
      <c r="A227" s="5" t="s">
        <v>133</v>
      </c>
      <c r="E227" s="39" t="n">
        <f aca="false">SUM(E192:E202)</f>
        <v>10880045.1655165</v>
      </c>
      <c r="F227" s="39" t="n">
        <f aca="false">SUM(F192:F202)</f>
        <v>11927824.4515864</v>
      </c>
      <c r="G227" s="39" t="n">
        <f aca="false">SUM(G192:G202)</f>
        <v>12861431.4894314</v>
      </c>
      <c r="H227" s="39" t="n">
        <f aca="false">SUM(H192:H202)</f>
        <v>13690256.954102</v>
      </c>
      <c r="I227" s="39" t="n">
        <f aca="false">SUM(I192:I202)</f>
        <v>13375399.7844581</v>
      </c>
      <c r="J227" s="39" t="n">
        <f aca="false">SUM(J192:J202)</f>
        <v>12560634.3309183</v>
      </c>
      <c r="K227" s="39" t="n">
        <f aca="false">SUM(K192:K202)</f>
        <v>11801676.9919352</v>
      </c>
      <c r="L227" s="39" t="n">
        <f aca="false">SUM(L192:L202)</f>
        <v>11095259.3236018</v>
      </c>
      <c r="M227" s="39" t="n">
        <f aca="false">SUM(M192:M202)</f>
        <v>10436363.7210792</v>
      </c>
      <c r="N227" s="39" t="n">
        <f aca="false">SUM(N192:N202)</f>
        <v>9821073.17333112</v>
      </c>
      <c r="O227" s="39" t="n">
        <f aca="false">SUM(O192:O202)</f>
        <v>9247158.07738913</v>
      </c>
      <c r="P227" s="39" t="n">
        <f aca="false">SUM(P192:P202)</f>
        <v>8712087.98698233</v>
      </c>
      <c r="Q227" s="39" t="n">
        <f aca="false">SUM(Q192:Q202)</f>
        <v>8211600.93284184</v>
      </c>
      <c r="R227" s="39" t="n">
        <f aca="false">SUM(R192:R202)</f>
        <v>7742639.29240863</v>
      </c>
      <c r="S227" s="39" t="n">
        <f aca="false">SUM(S192:S202)</f>
        <v>7303700.86372556</v>
      </c>
      <c r="T227" s="39" t="n">
        <f aca="false">SUM(T192:T202)</f>
        <v>6893052.43045857</v>
      </c>
      <c r="U227" s="39" t="n">
        <f aca="false">SUM(U192:U202)</f>
        <v>6507743.99996725</v>
      </c>
      <c r="V227" s="39" t="n">
        <f aca="false">SUM(V192:V202)</f>
        <v>17952564.7587697</v>
      </c>
      <c r="W227" s="39" t="n">
        <f aca="false">SUM(W192:W202)</f>
        <v>22599099.3406933</v>
      </c>
      <c r="X227" s="39" t="n">
        <f aca="false">SUM(X192:X202)</f>
        <v>21243909.3483518</v>
      </c>
      <c r="Y227" s="39" t="n">
        <f aca="false">SUM(Y192:Y202)</f>
        <v>19943234.9322299</v>
      </c>
      <c r="Z227" s="39" t="n">
        <f aca="false">SUM(Z192:Z202)</f>
        <v>18718975.9846285</v>
      </c>
      <c r="AA227" s="39" t="n">
        <f aca="false">SUM(AA192:AA202)</f>
        <v>17566744.0821947</v>
      </c>
      <c r="AB227" s="39" t="n">
        <f aca="false">SUM(AB192:AB202)</f>
        <v>16482399.5292101</v>
      </c>
      <c r="AC227" s="39" t="n">
        <f aca="false">SUM(AC192:AC202)</f>
        <v>15510313.8674741</v>
      </c>
      <c r="AD227" s="39" t="n">
        <f aca="false">SUM(AD192:AD202)</f>
        <v>14593444.384016</v>
      </c>
      <c r="AE227" s="39" t="n">
        <f aca="false">SUM(AE192:AE202)</f>
        <v>13728714.0283256</v>
      </c>
      <c r="AF227" s="39" t="n">
        <f aca="false">SUM(AF192:AF202)</f>
        <v>4392250.16927299</v>
      </c>
      <c r="AG227" s="39" t="n">
        <f aca="false">SUM(AG192:AG202)</f>
        <v>0</v>
      </c>
      <c r="AH227" s="39" t="n">
        <f aca="false">SUM(AH192:AH202)</f>
        <v>0</v>
      </c>
      <c r="AI227" s="39" t="n">
        <f aca="false">SUM(AI192:AI202)</f>
        <v>0</v>
      </c>
      <c r="AJ227" s="39" t="n">
        <f aca="false">SUM(AJ192:AJ202)</f>
        <v>0</v>
      </c>
      <c r="AK227" s="39" t="n">
        <f aca="false">SUM(AK192:AK202)</f>
        <v>0</v>
      </c>
      <c r="AL227" s="39" t="n">
        <f aca="false">SUM(AL192:AL202)</f>
        <v>0</v>
      </c>
      <c r="AM227" s="39" t="n">
        <f aca="false">SUM(AM192:AM202)</f>
        <v>0</v>
      </c>
      <c r="AN227" s="39" t="n">
        <f aca="false">SUM(AN192:AN202)</f>
        <v>0</v>
      </c>
    </row>
    <row r="228" customFormat="false" ht="15" hidden="false" customHeight="false" outlineLevel="0" collapsed="false">
      <c r="A228" s="5" t="s">
        <v>129</v>
      </c>
      <c r="E228" s="39" t="n">
        <f aca="false">SUM(E203:E213)</f>
        <v>11342188.2728718</v>
      </c>
      <c r="F228" s="39" t="n">
        <f aca="false">SUM(F203:F213)</f>
        <v>10728786.3864766</v>
      </c>
      <c r="G228" s="39" t="n">
        <f aca="false">SUM(G203:G213)</f>
        <v>10115151.2910813</v>
      </c>
      <c r="H228" s="39" t="n">
        <f aca="false">SUM(H203:H213)</f>
        <v>9504146.21438409</v>
      </c>
      <c r="I228" s="39" t="n">
        <f aca="false">SUM(I203:I213)</f>
        <v>8921725.82031448</v>
      </c>
      <c r="J228" s="39" t="n">
        <f aca="false">SUM(J203:J213)</f>
        <v>8378256.9071241</v>
      </c>
      <c r="K228" s="39" t="n">
        <f aca="false">SUM(K203:K213)</f>
        <v>7872013.40062415</v>
      </c>
      <c r="L228" s="39" t="n">
        <f aca="false">SUM(L203:L213)</f>
        <v>7400815.16707155</v>
      </c>
      <c r="M228" s="39" t="n">
        <f aca="false">SUM(M203:M213)</f>
        <v>6961315.33868151</v>
      </c>
      <c r="N228" s="39" t="n">
        <f aca="false">SUM(N203:N213)</f>
        <v>6550901.17123224</v>
      </c>
      <c r="O228" s="39" t="n">
        <f aca="false">SUM(O203:O213)</f>
        <v>6168085.46384056</v>
      </c>
      <c r="P228" s="39" t="n">
        <f aca="false">SUM(P203:P213)</f>
        <v>5811180.3456244</v>
      </c>
      <c r="Q228" s="39" t="n">
        <f aca="false">SUM(Q203:Q213)</f>
        <v>5477342.9766026</v>
      </c>
      <c r="R228" s="39" t="n">
        <f aca="false">SUM(R203:R213)</f>
        <v>5164533.8461382</v>
      </c>
      <c r="S228" s="39" t="n">
        <f aca="false">SUM(S203:S213)</f>
        <v>4871750.94799557</v>
      </c>
      <c r="T228" s="39" t="n">
        <f aca="false">SUM(T203:T213)</f>
        <v>4597838.18357809</v>
      </c>
      <c r="U228" s="39" t="n">
        <f aca="false">SUM(U203:U213)</f>
        <v>4340827.83409353</v>
      </c>
      <c r="V228" s="39" t="n">
        <f aca="false">SUM(V203:V213)</f>
        <v>3855727.48104212</v>
      </c>
      <c r="W228" s="39" t="n">
        <f aca="false">SUM(W203:W213)</f>
        <v>3288419.51345686</v>
      </c>
      <c r="X228" s="39" t="n">
        <f aca="false">SUM(X203:X213)</f>
        <v>2764678.05690698</v>
      </c>
      <c r="Y228" s="39" t="n">
        <f aca="false">SUM(Y203:Y213)</f>
        <v>2281789.96728778</v>
      </c>
      <c r="Z228" s="39" t="n">
        <f aca="false">SUM(Z203:Z213)</f>
        <v>1836897.66100452</v>
      </c>
      <c r="AA228" s="39" t="n">
        <f aca="false">SUM(AA203:AA213)</f>
        <v>1427511.58835484</v>
      </c>
      <c r="AB228" s="39" t="n">
        <f aca="false">SUM(AB203:AB213)</f>
        <v>1051293.3462039</v>
      </c>
      <c r="AC228" s="39" t="n">
        <f aca="false">SUM(AC203:AC213)</f>
        <v>704774.92252097</v>
      </c>
      <c r="AD228" s="39" t="n">
        <f aca="false">SUM(AD203:AD213)</f>
        <v>385921.13644743</v>
      </c>
      <c r="AE228" s="39" t="n">
        <f aca="false">SUM(AE203:AE213)</f>
        <v>92957.8156755588</v>
      </c>
      <c r="AF228" s="39" t="n">
        <f aca="false">SUM(AF203:AF213)</f>
        <v>0</v>
      </c>
      <c r="AG228" s="39" t="n">
        <f aca="false">SUM(AG203:AG213)</f>
        <v>0</v>
      </c>
      <c r="AH228" s="39" t="n">
        <f aca="false">SUM(AH203:AH213)</f>
        <v>0</v>
      </c>
      <c r="AI228" s="39" t="n">
        <f aca="false">SUM(AI203:AI213)</f>
        <v>0</v>
      </c>
      <c r="AJ228" s="39" t="n">
        <f aca="false">SUM(AJ203:AJ213)</f>
        <v>0</v>
      </c>
      <c r="AK228" s="39" t="n">
        <f aca="false">SUM(AK203:AK213)</f>
        <v>0</v>
      </c>
      <c r="AL228" s="39" t="n">
        <f aca="false">SUM(AL203:AL213)</f>
        <v>0</v>
      </c>
      <c r="AM228" s="39" t="n">
        <f aca="false">SUM(AM203:AM213)</f>
        <v>0</v>
      </c>
      <c r="AN228" s="39" t="n">
        <f aca="false">SUM(AN203:AN213)</f>
        <v>0</v>
      </c>
    </row>
    <row r="229" customFormat="false" ht="15" hidden="false" customHeight="false" outlineLevel="0" collapsed="false">
      <c r="A229" s="5" t="s">
        <v>128</v>
      </c>
      <c r="E229" s="39" t="n">
        <f aca="false">SUM(E181:E191)</f>
        <v>6694198.15527753</v>
      </c>
      <c r="F229" s="39" t="n">
        <f aca="false">SUM(F181:F191)</f>
        <v>6463997.47187975</v>
      </c>
      <c r="G229" s="39" t="n">
        <f aca="false">SUM(G181:G191)</f>
        <v>6155096.88101026</v>
      </c>
      <c r="H229" s="39" t="n">
        <f aca="false">SUM(H181:H191)</f>
        <v>5812419.12618893</v>
      </c>
      <c r="I229" s="39" t="n">
        <f aca="false">SUM(I181:I191)</f>
        <v>5352668.99741641</v>
      </c>
      <c r="J229" s="39" t="n">
        <f aca="false">SUM(J181:J191)</f>
        <v>4861722.84655381</v>
      </c>
      <c r="K229" s="39" t="n">
        <f aca="false">SUM(K181:K191)</f>
        <v>4359686.72806111</v>
      </c>
      <c r="L229" s="39" t="n">
        <f aca="false">SUM(L181:L191)</f>
        <v>3873565.21855457</v>
      </c>
      <c r="M229" s="39" t="n">
        <f aca="false">SUM(M181:M191)</f>
        <v>3467112.26007986</v>
      </c>
      <c r="N229" s="39" t="n">
        <f aca="false">SUM(N181:N191)</f>
        <v>3112005.86517519</v>
      </c>
      <c r="O229" s="39" t="n">
        <f aca="false">SUM(O181:O191)</f>
        <v>2758528.85350296</v>
      </c>
      <c r="P229" s="39" t="n">
        <f aca="false">SUM(P181:P191)</f>
        <v>2420426.13899731</v>
      </c>
      <c r="Q229" s="39" t="n">
        <f aca="false">SUM(Q181:Q191)</f>
        <v>2159633.47207596</v>
      </c>
      <c r="R229" s="39" t="n">
        <f aca="false">SUM(R181:R191)</f>
        <v>1943110.77166259</v>
      </c>
      <c r="S229" s="39" t="n">
        <f aca="false">SUM(S181:S191)</f>
        <v>1724107.81755545</v>
      </c>
      <c r="T229" s="39" t="n">
        <f aca="false">SUM(T181:T191)</f>
        <v>1512829.29717859</v>
      </c>
      <c r="U229" s="39" t="n">
        <f aca="false">SUM(U181:U191)</f>
        <v>1352723.73567411</v>
      </c>
      <c r="V229" s="39" t="n">
        <f aca="false">SUM(V181:V191)</f>
        <v>1221335.94610934</v>
      </c>
      <c r="W229" s="39" t="n">
        <f aca="false">SUM(W181:W191)</f>
        <v>1044829.22231957</v>
      </c>
      <c r="X229" s="39" t="n">
        <f aca="false">SUM(X181:X191)</f>
        <v>855486.459099336</v>
      </c>
      <c r="Y229" s="39" t="n">
        <f aca="false">SUM(Y181:Y191)</f>
        <v>699578.41067877</v>
      </c>
      <c r="Z229" s="39" t="n">
        <f aca="false">SUM(Z181:Z191)</f>
        <v>564919.880968545</v>
      </c>
      <c r="AA229" s="39" t="n">
        <f aca="false">SUM(AA181:AA191)</f>
        <v>440916.821722881</v>
      </c>
      <c r="AB229" s="39" t="n">
        <f aca="false">SUM(AB181:AB191)</f>
        <v>326871.807742805</v>
      </c>
      <c r="AC229" s="39" t="n">
        <f aca="false">SUM(AC181:AC191)</f>
        <v>235508.30149708</v>
      </c>
      <c r="AD229" s="39" t="n">
        <f aca="false">SUM(AD181:AD191)</f>
        <v>157882.046471601</v>
      </c>
      <c r="AE229" s="39" t="n">
        <f aca="false">SUM(AE181:AE191)</f>
        <v>86453.1595151266</v>
      </c>
      <c r="AF229" s="39" t="n">
        <f aca="false">SUM(AF181:AF191)</f>
        <v>20824.1946547842</v>
      </c>
      <c r="AG229" s="39" t="n">
        <f aca="false">SUM(AG181:AG191)</f>
        <v>0</v>
      </c>
      <c r="AH229" s="39" t="n">
        <f aca="false">SUM(AH181:AH191)</f>
        <v>0</v>
      </c>
      <c r="AI229" s="39" t="n">
        <f aca="false">SUM(AI181:AI191)</f>
        <v>0</v>
      </c>
      <c r="AJ229" s="39" t="n">
        <f aca="false">SUM(AJ181:AJ191)</f>
        <v>0</v>
      </c>
      <c r="AK229" s="39" t="n">
        <f aca="false">SUM(AK181:AK191)</f>
        <v>0</v>
      </c>
      <c r="AL229" s="39" t="n">
        <f aca="false">SUM(AL181:AL191)</f>
        <v>0</v>
      </c>
      <c r="AM229" s="39" t="n">
        <f aca="false">SUM(AM181:AM191)</f>
        <v>0</v>
      </c>
      <c r="AN229" s="39" t="n">
        <f aca="false">SUM(AN181:AN191)</f>
        <v>0</v>
      </c>
    </row>
    <row r="230" customFormat="false" ht="15" hidden="false" customHeight="false" outlineLevel="0" collapsed="false">
      <c r="A230" s="5" t="s">
        <v>134</v>
      </c>
      <c r="E230" s="39" t="n">
        <v>0</v>
      </c>
      <c r="F230" s="39" t="n">
        <v>0</v>
      </c>
      <c r="G230" s="39" t="n">
        <v>0</v>
      </c>
      <c r="H230" s="39" t="n">
        <v>0</v>
      </c>
      <c r="I230" s="39" t="n">
        <v>0</v>
      </c>
      <c r="J230" s="39" t="n">
        <v>0</v>
      </c>
      <c r="K230" s="39" t="n">
        <v>0</v>
      </c>
      <c r="L230" s="39" t="n">
        <v>0</v>
      </c>
      <c r="M230" s="39" t="n">
        <f aca="false">'Inputs &amp; Assumptions'!$E$59*E229</f>
        <v>3347099.07763876</v>
      </c>
      <c r="N230" s="39" t="n">
        <f aca="false">'Inputs &amp; Assumptions'!$E$59*F229</f>
        <v>3231998.73593987</v>
      </c>
      <c r="O230" s="39" t="n">
        <f aca="false">'Inputs &amp; Assumptions'!$E$59*G229</f>
        <v>3077548.44050513</v>
      </c>
      <c r="P230" s="39" t="n">
        <f aca="false">'Inputs &amp; Assumptions'!$E$59*H229</f>
        <v>2906209.56309446</v>
      </c>
      <c r="Q230" s="39" t="n">
        <f aca="false">'Inputs &amp; Assumptions'!$E$59*I229</f>
        <v>2676334.4987082</v>
      </c>
      <c r="R230" s="39" t="n">
        <f aca="false">'Inputs &amp; Assumptions'!$E$59*J229</f>
        <v>2430861.4232769</v>
      </c>
      <c r="S230" s="39" t="n">
        <f aca="false">'Inputs &amp; Assumptions'!$E$59*K229</f>
        <v>2179843.36403055</v>
      </c>
      <c r="T230" s="39" t="n">
        <f aca="false">'Inputs &amp; Assumptions'!$E$59*L229</f>
        <v>1936782.60927728</v>
      </c>
      <c r="U230" s="39" t="n">
        <f aca="false">'Inputs &amp; Assumptions'!$E$59*M229</f>
        <v>1733556.13003993</v>
      </c>
      <c r="V230" s="39" t="n">
        <f aca="false">'Inputs &amp; Assumptions'!$E$59*N229</f>
        <v>1556002.93258759</v>
      </c>
      <c r="W230" s="39" t="n">
        <f aca="false">'Inputs &amp; Assumptions'!$E$59*O229</f>
        <v>1379264.42675148</v>
      </c>
      <c r="X230" s="39" t="n">
        <f aca="false">'Inputs &amp; Assumptions'!$E$59*P229</f>
        <v>1210213.06949865</v>
      </c>
      <c r="Y230" s="39" t="n">
        <f aca="false">'Inputs &amp; Assumptions'!$E$59*Q229</f>
        <v>1079816.73603798</v>
      </c>
      <c r="Z230" s="39" t="n">
        <f aca="false">'Inputs &amp; Assumptions'!$E$59*R229</f>
        <v>971555.385831295</v>
      </c>
      <c r="AA230" s="39" t="n">
        <f aca="false">'Inputs &amp; Assumptions'!$E$59*S229</f>
        <v>862053.908777725</v>
      </c>
      <c r="AB230" s="39" t="n">
        <f aca="false">'Inputs &amp; Assumptions'!$E$59*T229</f>
        <v>756414.648589296</v>
      </c>
      <c r="AC230" s="39" t="n">
        <f aca="false">'Inputs &amp; Assumptions'!$E$59*U229</f>
        <v>676361.867837056</v>
      </c>
      <c r="AD230" s="39" t="n">
        <f aca="false">'Inputs &amp; Assumptions'!$E$59*V229</f>
        <v>610667.973054672</v>
      </c>
      <c r="AE230" s="39" t="n">
        <f aca="false">'Inputs &amp; Assumptions'!$E$59*W229</f>
        <v>522414.611159787</v>
      </c>
      <c r="AF230" s="39" t="n">
        <f aca="false">'Inputs &amp; Assumptions'!$E$59*X229</f>
        <v>427743.229549668</v>
      </c>
      <c r="AG230" s="39" t="n">
        <f aca="false">'Inputs &amp; Assumptions'!$E$59*Y229</f>
        <v>349789.205339385</v>
      </c>
      <c r="AH230" s="39" t="n">
        <f aca="false">'Inputs &amp; Assumptions'!$E$59*Z229</f>
        <v>282459.940484273</v>
      </c>
      <c r="AI230" s="39" t="n">
        <f aca="false">'Inputs &amp; Assumptions'!$E$59*AA229</f>
        <v>220458.410861441</v>
      </c>
      <c r="AJ230" s="39" t="n">
        <f aca="false">'Inputs &amp; Assumptions'!$E$59*AB229</f>
        <v>163435.903871403</v>
      </c>
      <c r="AK230" s="39" t="n">
        <f aca="false">'Inputs &amp; Assumptions'!$E$59*AC229</f>
        <v>117754.15074854</v>
      </c>
      <c r="AL230" s="39" t="n">
        <f aca="false">'Inputs &amp; Assumptions'!$E$59*AD229</f>
        <v>78941.0232358007</v>
      </c>
      <c r="AM230" s="39" t="n">
        <f aca="false">'Inputs &amp; Assumptions'!$E$59*AE229</f>
        <v>43226.5797575633</v>
      </c>
      <c r="AN230" s="39" t="n">
        <f aca="false">'Inputs &amp; Assumptions'!$E$59*AF229</f>
        <v>10412.0973273921</v>
      </c>
    </row>
    <row r="231" customFormat="false" ht="15" hidden="false" customHeight="false" outlineLevel="0" collapsed="false">
      <c r="A231" s="14" t="s">
        <v>135</v>
      </c>
      <c r="E231" s="40" t="n">
        <f aca="false">E227+E228+E230</f>
        <v>22222233.4383883</v>
      </c>
      <c r="F231" s="40" t="n">
        <f aca="false">F227+F228+F230</f>
        <v>22656610.838063</v>
      </c>
      <c r="G231" s="40" t="n">
        <f aca="false">G227+G228+G230</f>
        <v>22976582.7805127</v>
      </c>
      <c r="H231" s="40" t="n">
        <f aca="false">H227+H228+H230</f>
        <v>23194403.1684861</v>
      </c>
      <c r="I231" s="40" t="n">
        <f aca="false">I227+I228+I230</f>
        <v>22297125.6047726</v>
      </c>
      <c r="J231" s="40" t="n">
        <f aca="false">J227+J228+J230</f>
        <v>20938891.2380424</v>
      </c>
      <c r="K231" s="40" t="n">
        <f aca="false">K227+K228+K230</f>
        <v>19673690.3925594</v>
      </c>
      <c r="L231" s="40" t="n">
        <f aca="false">L227+L228+L230</f>
        <v>18496074.4906733</v>
      </c>
      <c r="M231" s="40" t="n">
        <f aca="false">M227+M228+M230</f>
        <v>20744778.1373995</v>
      </c>
      <c r="N231" s="40" t="n">
        <f aca="false">N227+N228+N230</f>
        <v>19603973.0805032</v>
      </c>
      <c r="O231" s="40" t="n">
        <f aca="false">O227+O228+O230</f>
        <v>18492791.9817348</v>
      </c>
      <c r="P231" s="40" t="n">
        <f aca="false">P227+P228+P230</f>
        <v>17429477.8957012</v>
      </c>
      <c r="Q231" s="40" t="n">
        <f aca="false">Q227+Q228+Q230</f>
        <v>16365278.4081526</v>
      </c>
      <c r="R231" s="40" t="n">
        <f aca="false">R227+R228+R230</f>
        <v>15338034.5618237</v>
      </c>
      <c r="S231" s="40" t="n">
        <f aca="false">S227+S228+S230</f>
        <v>14355295.1757517</v>
      </c>
      <c r="T231" s="40" t="n">
        <f aca="false">T227+T228+T230</f>
        <v>13427673.2233139</v>
      </c>
      <c r="U231" s="40" t="n">
        <f aca="false">U227+U228+U230</f>
        <v>12582127.9641007</v>
      </c>
      <c r="V231" s="40" t="n">
        <f aca="false">V227+V228+V230</f>
        <v>23364295.1723994</v>
      </c>
      <c r="W231" s="40" t="n">
        <f aca="false">W227+W228+W230</f>
        <v>27266783.2809016</v>
      </c>
      <c r="X231" s="40" t="n">
        <f aca="false">X227+X228+X230</f>
        <v>25218800.4747574</v>
      </c>
      <c r="Y231" s="40" t="n">
        <f aca="false">Y227+Y228+Y230</f>
        <v>23304841.6355556</v>
      </c>
      <c r="Z231" s="40" t="n">
        <f aca="false">Z227+Z228+Z230</f>
        <v>21527429.0314644</v>
      </c>
      <c r="AA231" s="40" t="n">
        <f aca="false">AA227+AA228+AA230</f>
        <v>19856309.5793273</v>
      </c>
      <c r="AB231" s="40" t="n">
        <f aca="false">AB227+AB228+AB230</f>
        <v>18290107.5240033</v>
      </c>
      <c r="AC231" s="40" t="n">
        <f aca="false">AC227+AC228+AC230</f>
        <v>16891450.6578322</v>
      </c>
      <c r="AD231" s="40" t="n">
        <f aca="false">AD227+AD228+AD230</f>
        <v>15590033.4935181</v>
      </c>
      <c r="AE231" s="40" t="n">
        <f aca="false">AE227+AE228+AE230</f>
        <v>14344086.4551609</v>
      </c>
      <c r="AF231" s="40" t="n">
        <f aca="false">AF227+AF228+AF230</f>
        <v>4819993.39882266</v>
      </c>
      <c r="AG231" s="40" t="n">
        <f aca="false">AG227+AG228+AG230</f>
        <v>349789.205339385</v>
      </c>
      <c r="AH231" s="40" t="n">
        <f aca="false">AH227+AH228+AH230</f>
        <v>282459.940484273</v>
      </c>
      <c r="AI231" s="40" t="n">
        <f aca="false">AI227+AI228+AI230</f>
        <v>220458.410861441</v>
      </c>
      <c r="AJ231" s="40" t="n">
        <f aca="false">AJ227+AJ228+AJ230</f>
        <v>163435.903871403</v>
      </c>
      <c r="AK231" s="40" t="n">
        <f aca="false">AK227+AK228+AK230</f>
        <v>117754.15074854</v>
      </c>
      <c r="AL231" s="40" t="n">
        <f aca="false">AL227+AL228+AL230</f>
        <v>78941.0232358007</v>
      </c>
      <c r="AM231" s="40" t="n">
        <f aca="false">AM227+AM228+AM230</f>
        <v>43226.5797575633</v>
      </c>
      <c r="AN231" s="40" t="n">
        <f aca="false">AN227+AN228+AN230</f>
        <v>10412.0973273921</v>
      </c>
    </row>
    <row r="232" customFormat="false" ht="15" hidden="false" customHeight="false" outlineLevel="0" collapsed="false">
      <c r="A232" s="14" t="s">
        <v>136</v>
      </c>
      <c r="E232" s="39" t="n">
        <f aca="false">SUM(E214:E224)</f>
        <v>10266063.1076869</v>
      </c>
      <c r="F232" s="39" t="n">
        <f aca="false">SUM(F214:F224)</f>
        <v>9740818.21971988</v>
      </c>
      <c r="G232" s="39" t="n">
        <f aca="false">SUM(G214:G224)</f>
        <v>9213275.85138365</v>
      </c>
      <c r="H232" s="39" t="n">
        <f aca="false">SUM(H214:H224)</f>
        <v>8686149.22647194</v>
      </c>
      <c r="I232" s="39" t="n">
        <f aca="false">SUM(I214:I224)</f>
        <v>8163452.33511427</v>
      </c>
      <c r="J232" s="39" t="n">
        <f aca="false">SUM(J214:J224)</f>
        <v>7666173.81997048</v>
      </c>
      <c r="K232" s="39" t="n">
        <f aca="false">SUM(K214:K224)</f>
        <v>7202956.85741113</v>
      </c>
      <c r="L232" s="39" t="n">
        <f aca="false">SUM(L214:L224)</f>
        <v>6771806.60717163</v>
      </c>
      <c r="M232" s="39" t="n">
        <f aca="false">SUM(M214:M224)</f>
        <v>6369660.65776534</v>
      </c>
      <c r="N232" s="39" t="n">
        <f aca="false">SUM(N214:N224)</f>
        <v>5994128.32678976</v>
      </c>
      <c r="O232" s="39" t="n">
        <f aca="false">SUM(O214:O224)</f>
        <v>5643848.81323317</v>
      </c>
      <c r="P232" s="39" t="n">
        <f aca="false">SUM(P214:P224)</f>
        <v>5317277.70138821</v>
      </c>
      <c r="Q232" s="39" t="n">
        <f aca="false">SUM(Q214:Q224)</f>
        <v>5011813.76934447</v>
      </c>
      <c r="R232" s="39" t="n">
        <f aca="false">SUM(R214:R224)</f>
        <v>4725590.8481334</v>
      </c>
      <c r="S232" s="39" t="n">
        <f aca="false">SUM(S214:S224)</f>
        <v>4457692.09382717</v>
      </c>
      <c r="T232" s="39" t="n">
        <f aca="false">SUM(T214:T224)</f>
        <v>4207059.66672322</v>
      </c>
      <c r="U232" s="39" t="n">
        <f aca="false">SUM(U214:U224)</f>
        <v>3971893.08798001</v>
      </c>
      <c r="V232" s="39" t="n">
        <f aca="false">SUM(V214:V224)</f>
        <v>3750893.0765251</v>
      </c>
      <c r="W232" s="39" t="n">
        <f aca="false">SUM(W214:W224)</f>
        <v>3332452.42255347</v>
      </c>
      <c r="X232" s="39" t="n">
        <f aca="false">SUM(X214:X224)</f>
        <v>2842787.99526787</v>
      </c>
      <c r="Y232" s="39" t="n">
        <f aca="false">SUM(Y214:Y224)</f>
        <v>2390381.47917806</v>
      </c>
      <c r="Z232" s="39" t="n">
        <f aca="false">SUM(Z214:Z224)</f>
        <v>1973097.59024735</v>
      </c>
      <c r="AA232" s="39" t="n">
        <f aca="false">SUM(AA214:AA224)</f>
        <v>1588646.35679007</v>
      </c>
      <c r="AB232" s="39" t="n">
        <f aca="false">SUM(AB214:AB224)</f>
        <v>1234876.51266253</v>
      </c>
      <c r="AC232" s="39" t="n">
        <f aca="false">SUM(AC214:AC224)</f>
        <v>909522.439113291</v>
      </c>
      <c r="AD232" s="39" t="n">
        <f aca="false">SUM(AD214:AD224)</f>
        <v>609733.343097586</v>
      </c>
      <c r="AE232" s="39" t="n">
        <f aca="false">SUM(AE214:AE224)</f>
        <v>333878.203067178</v>
      </c>
      <c r="AF232" s="39" t="n">
        <f aca="false">SUM(AF214:AF224)</f>
        <v>80422.1005993885</v>
      </c>
      <c r="AG232" s="39" t="n">
        <f aca="false">SUM(AG214:AG224)</f>
        <v>0</v>
      </c>
      <c r="AH232" s="39" t="n">
        <f aca="false">SUM(AH214:AH224)</f>
        <v>0</v>
      </c>
      <c r="AI232" s="39" t="n">
        <f aca="false">SUM(AI214:AI224)</f>
        <v>0</v>
      </c>
      <c r="AJ232" s="39" t="n">
        <f aca="false">SUM(AJ214:AJ224)</f>
        <v>0</v>
      </c>
      <c r="AK232" s="39" t="n">
        <f aca="false">SUM(AK214:AK224)</f>
        <v>0</v>
      </c>
      <c r="AL232" s="39" t="n">
        <f aca="false">SUM(AL214:AL224)</f>
        <v>0</v>
      </c>
      <c r="AM232" s="39" t="n">
        <f aca="false">SUM(AM214:AM224)</f>
        <v>0</v>
      </c>
      <c r="AN232" s="39" t="n">
        <f aca="false">SUM(AN214:AN224)</f>
        <v>0</v>
      </c>
    </row>
    <row r="233" customFormat="false" ht="15" hidden="false" customHeight="false" outlineLevel="0" collapsed="false">
      <c r="A233" s="14" t="s">
        <v>137</v>
      </c>
      <c r="E233" s="40" t="n">
        <f aca="false">E231+E232</f>
        <v>32488296.5460752</v>
      </c>
      <c r="F233" s="40" t="n">
        <f aca="false">F231+F232</f>
        <v>32397429.0577829</v>
      </c>
      <c r="G233" s="40" t="n">
        <f aca="false">G231+G232</f>
        <v>32189858.6318964</v>
      </c>
      <c r="H233" s="40" t="n">
        <f aca="false">H231+H232</f>
        <v>31880552.394958</v>
      </c>
      <c r="I233" s="40" t="n">
        <f aca="false">I231+I232</f>
        <v>30460577.9398869</v>
      </c>
      <c r="J233" s="40" t="n">
        <f aca="false">J231+J232</f>
        <v>28605065.0580129</v>
      </c>
      <c r="K233" s="40" t="n">
        <f aca="false">K231+K232</f>
        <v>26876647.2499705</v>
      </c>
      <c r="L233" s="40" t="n">
        <f aca="false">L231+L232</f>
        <v>25267881.097845</v>
      </c>
      <c r="M233" s="40" t="n">
        <f aca="false">M231+M232</f>
        <v>27114438.7951648</v>
      </c>
      <c r="N233" s="40" t="n">
        <f aca="false">N231+N232</f>
        <v>25598101.407293</v>
      </c>
      <c r="O233" s="40" t="n">
        <f aca="false">O231+O232</f>
        <v>24136640.794968</v>
      </c>
      <c r="P233" s="40" t="n">
        <f aca="false">P231+P232</f>
        <v>22746755.5970894</v>
      </c>
      <c r="Q233" s="40" t="n">
        <f aca="false">Q231+Q232</f>
        <v>21377092.1774971</v>
      </c>
      <c r="R233" s="40" t="n">
        <f aca="false">R231+R232</f>
        <v>20063625.4099571</v>
      </c>
      <c r="S233" s="40" t="n">
        <f aca="false">S231+S232</f>
        <v>18812987.2695789</v>
      </c>
      <c r="T233" s="40" t="n">
        <f aca="false">T231+T232</f>
        <v>17634732.8900372</v>
      </c>
      <c r="U233" s="40" t="n">
        <f aca="false">U231+U232</f>
        <v>16554021.0520807</v>
      </c>
      <c r="V233" s="40" t="n">
        <f aca="false">V231+V232</f>
        <v>27115188.2489245</v>
      </c>
      <c r="W233" s="40" t="n">
        <f aca="false">W231+W232</f>
        <v>30599235.7034551</v>
      </c>
      <c r="X233" s="40" t="n">
        <f aca="false">X231+X232</f>
        <v>28061588.4700253</v>
      </c>
      <c r="Y233" s="40" t="n">
        <f aca="false">Y231+Y232</f>
        <v>25695223.1147337</v>
      </c>
      <c r="Z233" s="40" t="n">
        <f aca="false">Z231+Z232</f>
        <v>23500526.6217117</v>
      </c>
      <c r="AA233" s="40" t="n">
        <f aca="false">AA231+AA232</f>
        <v>21444955.9361174</v>
      </c>
      <c r="AB233" s="40" t="n">
        <f aca="false">AB231+AB232</f>
        <v>19524984.0366659</v>
      </c>
      <c r="AC233" s="40" t="n">
        <f aca="false">AC231+AC232</f>
        <v>17800973.0969454</v>
      </c>
      <c r="AD233" s="40" t="n">
        <f aca="false">AD231+AD232</f>
        <v>16199766.8366157</v>
      </c>
      <c r="AE233" s="40" t="n">
        <f aca="false">AE231+AE232</f>
        <v>14677964.6582281</v>
      </c>
      <c r="AF233" s="40" t="n">
        <f aca="false">AF231+AF232</f>
        <v>4900415.49942205</v>
      </c>
      <c r="AG233" s="40" t="n">
        <f aca="false">AG231+AG232</f>
        <v>349789.205339385</v>
      </c>
      <c r="AH233" s="40" t="n">
        <f aca="false">AH231+AH232</f>
        <v>282459.940484273</v>
      </c>
      <c r="AI233" s="40" t="n">
        <f aca="false">AI231+AI232</f>
        <v>220458.410861441</v>
      </c>
      <c r="AJ233" s="40" t="n">
        <f aca="false">AJ231+AJ232</f>
        <v>163435.903871403</v>
      </c>
      <c r="AK233" s="40" t="n">
        <f aca="false">AK231+AK232</f>
        <v>117754.15074854</v>
      </c>
      <c r="AL233" s="40" t="n">
        <f aca="false">AL231+AL232</f>
        <v>78941.0232358007</v>
      </c>
      <c r="AM233" s="40" t="n">
        <f aca="false">AM231+AM232</f>
        <v>43226.5797575633</v>
      </c>
      <c r="AN233" s="40" t="n">
        <f aca="false">AN231+AN232</f>
        <v>10412.0973273921</v>
      </c>
    </row>
    <row r="234" customFormat="false" ht="15" hidden="false" customHeight="false" outlineLevel="0" collapsed="false">
      <c r="A234" s="5" t="s">
        <v>138</v>
      </c>
      <c r="E234" s="43" t="n">
        <f aca="false">SUMPRODUCT(('Inputs &amp; Assumptions'!$E$140:$E$150&gt;=1)*'Inputs &amp; Assumptions'!$D$140:$D$150)</f>
        <v>30</v>
      </c>
      <c r="F234" s="43" t="n">
        <f aca="false">SUMPRODUCT(('Inputs &amp; Assumptions'!$E$140:$E$150&gt;=2)*'Inputs &amp; Assumptions'!$D$140:$D$150)</f>
        <v>30</v>
      </c>
      <c r="G234" s="43" t="n">
        <f aca="false">SUMPRODUCT(('Inputs &amp; Assumptions'!$E$140:$E$150&gt;=3)*'Inputs &amp; Assumptions'!$D$140:$D$150)</f>
        <v>30</v>
      </c>
      <c r="H234" s="43" t="n">
        <f aca="false">SUMPRODUCT(('Inputs &amp; Assumptions'!$E$140:$E$150&gt;=4)*'Inputs &amp; Assumptions'!$D$140:$D$150)</f>
        <v>30</v>
      </c>
      <c r="I234" s="43" t="n">
        <f aca="false">SUMPRODUCT(('Inputs &amp; Assumptions'!$E$140:$E$150&gt;=5)*'Inputs &amp; Assumptions'!$D$140:$D$150)</f>
        <v>30</v>
      </c>
      <c r="J234" s="43" t="n">
        <f aca="false">SUMPRODUCT(('Inputs &amp; Assumptions'!$E$140:$E$150&gt;=6)*'Inputs &amp; Assumptions'!$D$140:$D$150)</f>
        <v>30</v>
      </c>
      <c r="K234" s="43" t="n">
        <f aca="false">SUMPRODUCT(('Inputs &amp; Assumptions'!$E$140:$E$150&gt;=7)*'Inputs &amp; Assumptions'!$D$140:$D$150)</f>
        <v>30</v>
      </c>
      <c r="L234" s="43" t="n">
        <f aca="false">SUMPRODUCT(('Inputs &amp; Assumptions'!$E$140:$E$150&gt;=8)*'Inputs &amp; Assumptions'!$D$140:$D$150)</f>
        <v>30</v>
      </c>
      <c r="M234" s="43" t="n">
        <f aca="false">SUMPRODUCT(('Inputs &amp; Assumptions'!$E$140:$E$150&gt;=9)*'Inputs &amp; Assumptions'!$D$140:$D$150)</f>
        <v>30</v>
      </c>
      <c r="N234" s="43" t="n">
        <f aca="false">SUMPRODUCT(('Inputs &amp; Assumptions'!$E$140:$E$150&gt;=10)*'Inputs &amp; Assumptions'!$D$140:$D$150)</f>
        <v>30</v>
      </c>
      <c r="O234" s="43" t="n">
        <f aca="false">SUMPRODUCT(('Inputs &amp; Assumptions'!$E$140:$E$150&gt;=11)*'Inputs &amp; Assumptions'!$D$140:$D$150)</f>
        <v>30</v>
      </c>
      <c r="P234" s="43" t="n">
        <f aca="false">SUMPRODUCT(('Inputs &amp; Assumptions'!$E$140:$E$150&gt;=12)*'Inputs &amp; Assumptions'!$D$140:$D$150)</f>
        <v>30</v>
      </c>
      <c r="Q234" s="43" t="n">
        <f aca="false">SUMPRODUCT(('Inputs &amp; Assumptions'!$E$140:$E$150&gt;=13)*'Inputs &amp; Assumptions'!$D$140:$D$150)</f>
        <v>30</v>
      </c>
      <c r="R234" s="43" t="n">
        <f aca="false">SUMPRODUCT(('Inputs &amp; Assumptions'!$E$140:$E$150&gt;=14)*'Inputs &amp; Assumptions'!$D$140:$D$150)</f>
        <v>30</v>
      </c>
      <c r="S234" s="43" t="n">
        <f aca="false">SUMPRODUCT(('Inputs &amp; Assumptions'!$E$140:$E$150&gt;=15)*'Inputs &amp; Assumptions'!$D$140:$D$150)</f>
        <v>30</v>
      </c>
      <c r="T234" s="43" t="n">
        <f aca="false">SUMPRODUCT(('Inputs &amp; Assumptions'!$E$140:$E$150&gt;=16)*'Inputs &amp; Assumptions'!$D$140:$D$150)</f>
        <v>30</v>
      </c>
      <c r="U234" s="43" t="n">
        <f aca="false">SUMPRODUCT(('Inputs &amp; Assumptions'!$E$140:$E$150&gt;=17)*'Inputs &amp; Assumptions'!$D$140:$D$150)</f>
        <v>30</v>
      </c>
      <c r="V234" s="43" t="n">
        <f aca="false">SUMPRODUCT(('Inputs &amp; Assumptions'!$E$140:$E$150&gt;=18)*'Inputs &amp; Assumptions'!$D$140:$D$150)</f>
        <v>30</v>
      </c>
      <c r="W234" s="43" t="n">
        <f aca="false">SUMPRODUCT(('Inputs &amp; Assumptions'!$E$140:$E$150&gt;=19)*'Inputs &amp; Assumptions'!$D$140:$D$150)</f>
        <v>28</v>
      </c>
      <c r="X234" s="43" t="n">
        <f aca="false">SUMPRODUCT(('Inputs &amp; Assumptions'!$E$140:$E$150&gt;=20)*'Inputs &amp; Assumptions'!$D$140:$D$150)</f>
        <v>25</v>
      </c>
      <c r="Y234" s="43" t="n">
        <f aca="false">SUMPRODUCT(('Inputs &amp; Assumptions'!$E$140:$E$150&gt;=21)*'Inputs &amp; Assumptions'!$D$140:$D$150)</f>
        <v>22</v>
      </c>
      <c r="Z234" s="43" t="n">
        <f aca="false">SUMPRODUCT(('Inputs &amp; Assumptions'!$E$140:$E$150&gt;=22)*'Inputs &amp; Assumptions'!$D$140:$D$150)</f>
        <v>19</v>
      </c>
      <c r="AA234" s="43" t="n">
        <f aca="false">SUMPRODUCT(('Inputs &amp; Assumptions'!$E$140:$E$150&gt;=23)*'Inputs &amp; Assumptions'!$D$140:$D$150)</f>
        <v>16</v>
      </c>
      <c r="AB234" s="43" t="n">
        <f aca="false">SUMPRODUCT(('Inputs &amp; Assumptions'!$E$140:$E$150&gt;=24)*'Inputs &amp; Assumptions'!$D$140:$D$150)</f>
        <v>13</v>
      </c>
      <c r="AC234" s="43" t="n">
        <f aca="false">SUMPRODUCT(('Inputs &amp; Assumptions'!$E$140:$E$150&gt;=25)*'Inputs &amp; Assumptions'!$D$140:$D$150)</f>
        <v>10</v>
      </c>
      <c r="AD234" s="43" t="n">
        <f aca="false">SUMPRODUCT(('Inputs &amp; Assumptions'!$E$140:$E$150&gt;=26)*'Inputs &amp; Assumptions'!$D$140:$D$150)</f>
        <v>7</v>
      </c>
      <c r="AE234" s="43" t="n">
        <f aca="false">SUMPRODUCT(('Inputs &amp; Assumptions'!$E$140:$E$150&gt;=27)*'Inputs &amp; Assumptions'!$D$140:$D$150)</f>
        <v>4</v>
      </c>
      <c r="AF234" s="43" t="n">
        <f aca="false">SUMPRODUCT(('Inputs &amp; Assumptions'!$E$140:$E$150&gt;=28)*'Inputs &amp; Assumptions'!$D$140:$D$150)</f>
        <v>1</v>
      </c>
      <c r="AG234" s="43" t="n">
        <f aca="false">SUMPRODUCT(('Inputs &amp; Assumptions'!$E$140:$E$150&gt;=29)*'Inputs &amp; Assumptions'!$D$140:$D$150)</f>
        <v>0</v>
      </c>
      <c r="AH234" s="43" t="n">
        <f aca="false">SUMPRODUCT(('Inputs &amp; Assumptions'!$E$140:$E$150&gt;=30)*'Inputs &amp; Assumptions'!$D$140:$D$150)</f>
        <v>0</v>
      </c>
      <c r="AI234" s="43" t="n">
        <f aca="false">SUMPRODUCT(('Inputs &amp; Assumptions'!$E$140:$E$150&gt;=31)*'Inputs &amp; Assumptions'!$D$140:$D$150)</f>
        <v>0</v>
      </c>
      <c r="AJ234" s="43" t="n">
        <f aca="false">SUMPRODUCT(('Inputs &amp; Assumptions'!$E$140:$E$150&gt;=32)*'Inputs &amp; Assumptions'!$D$140:$D$150)</f>
        <v>0</v>
      </c>
      <c r="AK234" s="43" t="n">
        <f aca="false">SUMPRODUCT(('Inputs &amp; Assumptions'!$E$140:$E$150&gt;=33)*'Inputs &amp; Assumptions'!$D$140:$D$150)</f>
        <v>0</v>
      </c>
      <c r="AL234" s="43" t="n">
        <f aca="false">SUMPRODUCT(('Inputs &amp; Assumptions'!$E$140:$E$150&gt;=34)*'Inputs &amp; Assumptions'!$D$140:$D$150)</f>
        <v>0</v>
      </c>
      <c r="AM234" s="43" t="n">
        <f aca="false">SUMPRODUCT(('Inputs &amp; Assumptions'!$E$140:$E$150&gt;=35)*'Inputs &amp; Assumptions'!$D$140:$D$150)</f>
        <v>0</v>
      </c>
      <c r="AN234" s="43" t="n">
        <f aca="false">SUMPRODUCT(('Inputs &amp; Assumptions'!$E$140:$E$150&gt;=36)*'Inputs &amp; Assumptions'!$D$140:$D$150)</f>
        <v>0</v>
      </c>
    </row>
    <row r="235" customFormat="false" ht="15" hidden="false" customHeight="false" outlineLevel="0" collapsed="false">
      <c r="A235" s="5" t="s">
        <v>139</v>
      </c>
      <c r="E235" s="39" t="n">
        <f aca="false">E226-E227-E229-E228</f>
        <v>538458438.745494</v>
      </c>
      <c r="F235" s="39" t="n">
        <f aca="false">F226-F227-F229-F228</f>
        <v>509337830.435551</v>
      </c>
      <c r="G235" s="39" t="n">
        <f aca="false">G226-G227-G229-G228</f>
        <v>480206150.774029</v>
      </c>
      <c r="H235" s="39" t="n">
        <f aca="false">H226-H227-H229-H228</f>
        <v>451199328.479354</v>
      </c>
      <c r="I235" s="39" t="n">
        <f aca="false">I226-I227-I229-I228</f>
        <v>423549533.877165</v>
      </c>
      <c r="J235" s="39" t="n">
        <f aca="false">J226-J227-J229-J228</f>
        <v>397748919.792568</v>
      </c>
      <c r="K235" s="39" t="n">
        <f aca="false">K226-K227-K229-K228</f>
        <v>373715542.671948</v>
      </c>
      <c r="L235" s="39" t="n">
        <f aca="false">L226-L227-L229-L228</f>
        <v>351345902.96272</v>
      </c>
      <c r="M235" s="39" t="n">
        <f aca="false">M226-M227-M229-M228</f>
        <v>330481111.642879</v>
      </c>
      <c r="N235" s="39" t="n">
        <f aca="false">N226-N227-N229-N228</f>
        <v>310997131.433141</v>
      </c>
      <c r="O235" s="39" t="n">
        <f aca="false">O226-O227-O229-O228</f>
        <v>292823359.038408</v>
      </c>
      <c r="P235" s="39" t="n">
        <f aca="false">P226-P227-P229-P228</f>
        <v>275879664.566804</v>
      </c>
      <c r="Q235" s="39" t="n">
        <f aca="false">Q226-Q227-Q229-Q228</f>
        <v>260031087.185284</v>
      </c>
      <c r="R235" s="39" t="n">
        <f aca="false">R226-R227-R229-R228</f>
        <v>245180803.275074</v>
      </c>
      <c r="S235" s="39" t="n">
        <f aca="false">S226-S227-S229-S228</f>
        <v>231281243.645798</v>
      </c>
      <c r="T235" s="39" t="n">
        <f aca="false">T226-T227-T229-T228</f>
        <v>218277523.734582</v>
      </c>
      <c r="U235" s="39" t="n">
        <f aca="false">U226-U227-U229-U228</f>
        <v>206076228.164848</v>
      </c>
      <c r="V235" s="39" t="n">
        <f aca="false">V226-V227-V229-V228</f>
        <v>183046599.978926</v>
      </c>
      <c r="W235" s="39" t="n">
        <f aca="false">W226-W227-W229-W228</f>
        <v>156114251.902457</v>
      </c>
      <c r="X235" s="39" t="n">
        <f aca="false">X226-X227-X229-X228</f>
        <v>131250178.038099</v>
      </c>
      <c r="Y235" s="39" t="n">
        <f aca="false">Y226-Y227-Y229-Y228</f>
        <v>108325574.727902</v>
      </c>
      <c r="Z235" s="39" t="n">
        <f aca="false">Z226-Z227-Z229-Z228</f>
        <v>87204781.2013006</v>
      </c>
      <c r="AA235" s="39" t="n">
        <f aca="false">AA226-AA227-AA229-AA228</f>
        <v>67769608.7090281</v>
      </c>
      <c r="AB235" s="39" t="n">
        <f aca="false">AB226-AB227-AB229-AB228</f>
        <v>49909044.0258713</v>
      </c>
      <c r="AC235" s="39" t="n">
        <f aca="false">AC226-AC227-AC229-AC228</f>
        <v>33458446.9343791</v>
      </c>
      <c r="AD235" s="39" t="n">
        <f aca="false">AD226-AD227-AD229-AD228</f>
        <v>18321199.367444</v>
      </c>
      <c r="AE235" s="39" t="n">
        <f aca="false">AE226-AE227-AE229-AE228</f>
        <v>4413074.36392778</v>
      </c>
      <c r="AF235" s="39" t="n">
        <f aca="false">AF226-AF227-AF229-AF228</f>
        <v>0</v>
      </c>
      <c r="AG235" s="39" t="n">
        <f aca="false">AG226-AG227-AG229-AG228</f>
        <v>0</v>
      </c>
      <c r="AH235" s="39" t="n">
        <f aca="false">AH226-AH227-AH229-AH228</f>
        <v>0</v>
      </c>
      <c r="AI235" s="39" t="n">
        <f aca="false">AI226-AI227-AI229-AI228</f>
        <v>0</v>
      </c>
      <c r="AJ235" s="39" t="n">
        <f aca="false">AJ226-AJ227-AJ229-AJ228</f>
        <v>0</v>
      </c>
      <c r="AK235" s="39" t="n">
        <f aca="false">AK226-AK227-AK229-AK228</f>
        <v>0</v>
      </c>
      <c r="AL235" s="39" t="n">
        <f aca="false">AL226-AL227-AL229-AL228</f>
        <v>0</v>
      </c>
      <c r="AM235" s="39" t="n">
        <f aca="false">AM226-AM227-AM229-AM228</f>
        <v>0</v>
      </c>
      <c r="AN235" s="39" t="n">
        <f aca="false">AN226-AN227-AN229-AN228</f>
        <v>0</v>
      </c>
    </row>
    <row r="236" customFormat="false" ht="15" hidden="false" customHeight="false" outlineLevel="0" collapsed="false">
      <c r="A236" s="5" t="s">
        <v>121</v>
      </c>
      <c r="E236" s="18" t="n">
        <f aca="false">E235/'Inputs &amp; Assumptions'!$C$7</f>
        <v>0.89743073124249</v>
      </c>
      <c r="F236" s="18" t="n">
        <f aca="false">F235/'Inputs &amp; Assumptions'!$C$7</f>
        <v>0.848896384059252</v>
      </c>
      <c r="G236" s="18" t="n">
        <f aca="false">G235/'Inputs &amp; Assumptions'!$C$7</f>
        <v>0.800343584623381</v>
      </c>
      <c r="H236" s="18" t="n">
        <f aca="false">H235/'Inputs &amp; Assumptions'!$C$7</f>
        <v>0.751998880798923</v>
      </c>
      <c r="I236" s="18" t="n">
        <f aca="false">I235/'Inputs &amp; Assumptions'!$C$7</f>
        <v>0.705915889795274</v>
      </c>
      <c r="J236" s="18" t="n">
        <f aca="false">J235/'Inputs &amp; Assumptions'!$C$7</f>
        <v>0.662914866320947</v>
      </c>
      <c r="K236" s="18" t="n">
        <f aca="false">K235/'Inputs &amp; Assumptions'!$C$7</f>
        <v>0.62285923778658</v>
      </c>
      <c r="L236" s="18" t="n">
        <f aca="false">L235/'Inputs &amp; Assumptions'!$C$7</f>
        <v>0.585576504937867</v>
      </c>
      <c r="M236" s="18" t="n">
        <f aca="false">M235/'Inputs &amp; Assumptions'!$C$7</f>
        <v>0.550801852738132</v>
      </c>
      <c r="N236" s="18" t="n">
        <f aca="false">N235/'Inputs &amp; Assumptions'!$C$7</f>
        <v>0.518328552388568</v>
      </c>
      <c r="O236" s="18" t="n">
        <f aca="false">O235/'Inputs &amp; Assumptions'!$C$7</f>
        <v>0.48803893173068</v>
      </c>
      <c r="P236" s="18" t="n">
        <f aca="false">P235/'Inputs &amp; Assumptions'!$C$7</f>
        <v>0.459799440944674</v>
      </c>
      <c r="Q236" s="18" t="n">
        <f aca="false">Q235/'Inputs &amp; Assumptions'!$C$7</f>
        <v>0.433385145308806</v>
      </c>
      <c r="R236" s="18" t="n">
        <f aca="false">R235/'Inputs &amp; Assumptions'!$C$7</f>
        <v>0.408634672125124</v>
      </c>
      <c r="S236" s="18" t="n">
        <f aca="false">S235/'Inputs &amp; Assumptions'!$C$7</f>
        <v>0.385468739409663</v>
      </c>
      <c r="T236" s="18" t="n">
        <f aca="false">T235/'Inputs &amp; Assumptions'!$C$7</f>
        <v>0.363795872890971</v>
      </c>
      <c r="U236" s="18" t="n">
        <f aca="false">U235/'Inputs &amp; Assumptions'!$C$7</f>
        <v>0.343460380274746</v>
      </c>
      <c r="V236" s="18" t="n">
        <f aca="false">V235/'Inputs &amp; Assumptions'!$C$7</f>
        <v>0.305077666631544</v>
      </c>
      <c r="W236" s="18" t="n">
        <f aca="false">W235/'Inputs &amp; Assumptions'!$C$7</f>
        <v>0.260190419837428</v>
      </c>
      <c r="X236" s="18" t="n">
        <f aca="false">X235/'Inputs &amp; Assumptions'!$C$7</f>
        <v>0.218750296730164</v>
      </c>
      <c r="Y236" s="18" t="n">
        <f aca="false">Y235/'Inputs &amp; Assumptions'!$C$7</f>
        <v>0.180542624546504</v>
      </c>
      <c r="Z236" s="18" t="n">
        <f aca="false">Z235/'Inputs &amp; Assumptions'!$C$7</f>
        <v>0.145341302002168</v>
      </c>
      <c r="AA236" s="18" t="n">
        <f aca="false">AA235/'Inputs &amp; Assumptions'!$C$7</f>
        <v>0.11294934784838</v>
      </c>
      <c r="AB236" s="18" t="n">
        <f aca="false">AB235/'Inputs &amp; Assumptions'!$C$7</f>
        <v>0.0831817400431188</v>
      </c>
      <c r="AC236" s="18" t="n">
        <f aca="false">AC235/'Inputs &amp; Assumptions'!$C$7</f>
        <v>0.0557640782239651</v>
      </c>
      <c r="AD236" s="18" t="n">
        <f aca="false">AD235/'Inputs &amp; Assumptions'!$C$7</f>
        <v>0.0305353322790734</v>
      </c>
      <c r="AE236" s="18" t="n">
        <f aca="false">AE235/'Inputs &amp; Assumptions'!$C$7</f>
        <v>0.00735512393987963</v>
      </c>
      <c r="AF236" s="18" t="n">
        <f aca="false">AF235/'Inputs &amp; Assumptions'!$C$7</f>
        <v>0</v>
      </c>
      <c r="AG236" s="18" t="n">
        <f aca="false">AG235/'Inputs &amp; Assumptions'!$C$7</f>
        <v>0</v>
      </c>
      <c r="AH236" s="18" t="n">
        <f aca="false">AH235/'Inputs &amp; Assumptions'!$C$7</f>
        <v>0</v>
      </c>
      <c r="AI236" s="18" t="n">
        <f aca="false">AI235/'Inputs &amp; Assumptions'!$C$7</f>
        <v>0</v>
      </c>
      <c r="AJ236" s="18" t="n">
        <f aca="false">AJ235/'Inputs &amp; Assumptions'!$C$7</f>
        <v>0</v>
      </c>
      <c r="AK236" s="18" t="n">
        <f aca="false">AK235/'Inputs &amp; Assumptions'!$C$7</f>
        <v>0</v>
      </c>
      <c r="AL236" s="18" t="n">
        <f aca="false">AL235/'Inputs &amp; Assumptions'!$C$7</f>
        <v>0</v>
      </c>
      <c r="AM236" s="18" t="n">
        <f aca="false">AM235/'Inputs &amp; Assumptions'!$C$7</f>
        <v>0</v>
      </c>
      <c r="AN236" s="18" t="n">
        <f aca="false">AN235/'Inputs &amp; Assumptions'!$C$7</f>
        <v>0</v>
      </c>
    </row>
    <row r="237" customFormat="false" ht="15" hidden="false" customHeight="false" outlineLevel="0" collapsed="false">
      <c r="A237" s="5" t="s">
        <v>140</v>
      </c>
      <c r="E237" s="39" t="n">
        <f aca="false">E229</f>
        <v>6694198.15527753</v>
      </c>
      <c r="F237" s="39" t="n">
        <f aca="false">E237+F229</f>
        <v>13158195.6271573</v>
      </c>
      <c r="G237" s="39" t="n">
        <f aca="false">F237+G229</f>
        <v>19313292.5081675</v>
      </c>
      <c r="H237" s="39" t="n">
        <f aca="false">G237+H229</f>
        <v>25125711.6343565</v>
      </c>
      <c r="I237" s="39" t="n">
        <f aca="false">H237+I229</f>
        <v>30478380.6317729</v>
      </c>
      <c r="J237" s="39" t="n">
        <f aca="false">I237+J229</f>
        <v>35340103.4783267</v>
      </c>
      <c r="K237" s="39" t="n">
        <f aca="false">J237+K229</f>
        <v>39699790.2063878</v>
      </c>
      <c r="L237" s="39" t="n">
        <f aca="false">K237+L229</f>
        <v>43573355.4249424</v>
      </c>
      <c r="M237" s="39" t="n">
        <f aca="false">L237+M229</f>
        <v>47040467.6850222</v>
      </c>
      <c r="N237" s="39" t="n">
        <f aca="false">M237+N229</f>
        <v>50152473.5501974</v>
      </c>
      <c r="O237" s="39" t="n">
        <f aca="false">N237+O229</f>
        <v>52911002.4037004</v>
      </c>
      <c r="P237" s="39" t="n">
        <f aca="false">O237+P229</f>
        <v>55331428.5426977</v>
      </c>
      <c r="Q237" s="39" t="n">
        <f aca="false">P237+Q229</f>
        <v>57491062.0147736</v>
      </c>
      <c r="R237" s="39" t="n">
        <f aca="false">Q237+R229</f>
        <v>59434172.7864362</v>
      </c>
      <c r="S237" s="39" t="n">
        <f aca="false">R237+S229</f>
        <v>61158280.6039917</v>
      </c>
      <c r="T237" s="39" t="n">
        <f aca="false">S237+T229</f>
        <v>62671109.9011703</v>
      </c>
      <c r="U237" s="39" t="n">
        <f aca="false">T237+U229</f>
        <v>64023833.6368444</v>
      </c>
      <c r="V237" s="39" t="n">
        <f aca="false">U237+V229</f>
        <v>65245169.5829537</v>
      </c>
      <c r="W237" s="39" t="n">
        <f aca="false">V237+W229</f>
        <v>66289998.8052733</v>
      </c>
      <c r="X237" s="39" t="n">
        <f aca="false">W237+X229</f>
        <v>67145485.2643726</v>
      </c>
      <c r="Y237" s="39" t="n">
        <f aca="false">X237+Y229</f>
        <v>67845063.6750514</v>
      </c>
      <c r="Z237" s="39" t="n">
        <f aca="false">Y237+Z229</f>
        <v>68409983.55602</v>
      </c>
      <c r="AA237" s="39" t="n">
        <f aca="false">Z237+AA229</f>
        <v>68850900.3777428</v>
      </c>
      <c r="AB237" s="39" t="n">
        <f aca="false">AA237+AB229</f>
        <v>69177772.1854856</v>
      </c>
      <c r="AC237" s="39" t="n">
        <f aca="false">AB237+AC229</f>
        <v>69413280.4869827</v>
      </c>
      <c r="AD237" s="39" t="n">
        <f aca="false">AC237+AD229</f>
        <v>69571162.5334543</v>
      </c>
      <c r="AE237" s="39" t="n">
        <f aca="false">AD237+AE229</f>
        <v>69657615.6929694</v>
      </c>
      <c r="AF237" s="39" t="n">
        <f aca="false">AE237+AF229</f>
        <v>69678439.8876242</v>
      </c>
      <c r="AG237" s="39" t="n">
        <f aca="false">AF237+AG229</f>
        <v>69678439.8876242</v>
      </c>
      <c r="AH237" s="39" t="n">
        <f aca="false">AG237+AH229</f>
        <v>69678439.8876242</v>
      </c>
      <c r="AI237" s="39" t="n">
        <f aca="false">AH237+AI229</f>
        <v>69678439.8876242</v>
      </c>
      <c r="AJ237" s="39" t="n">
        <f aca="false">AI237+AJ229</f>
        <v>69678439.8876242</v>
      </c>
      <c r="AK237" s="39" t="n">
        <f aca="false">AJ237+AK229</f>
        <v>69678439.8876242</v>
      </c>
      <c r="AL237" s="39" t="n">
        <f aca="false">AK237+AL229</f>
        <v>69678439.8876242</v>
      </c>
      <c r="AM237" s="39" t="n">
        <f aca="false">AL237+AM229</f>
        <v>69678439.8876242</v>
      </c>
      <c r="AN237" s="39" t="n">
        <f aca="false">AM237+AN229</f>
        <v>69678439.8876242</v>
      </c>
    </row>
    <row r="238" customFormat="false" ht="15" hidden="false" customHeight="false" outlineLevel="0" collapsed="false">
      <c r="A238" s="5" t="s">
        <v>141</v>
      </c>
      <c r="E238" s="39" t="n">
        <f aca="false">E230</f>
        <v>0</v>
      </c>
      <c r="F238" s="39" t="n">
        <f aca="false">E238+F230</f>
        <v>0</v>
      </c>
      <c r="G238" s="39" t="n">
        <f aca="false">F238+G230</f>
        <v>0</v>
      </c>
      <c r="H238" s="39" t="n">
        <f aca="false">G238+H230</f>
        <v>0</v>
      </c>
      <c r="I238" s="39" t="n">
        <f aca="false">H238+I230</f>
        <v>0</v>
      </c>
      <c r="J238" s="39" t="n">
        <f aca="false">I238+J230</f>
        <v>0</v>
      </c>
      <c r="K238" s="39" t="n">
        <f aca="false">J238+K230</f>
        <v>0</v>
      </c>
      <c r="L238" s="39" t="n">
        <f aca="false">K238+L230</f>
        <v>0</v>
      </c>
      <c r="M238" s="39" t="n">
        <f aca="false">L238+M230</f>
        <v>3347099.07763876</v>
      </c>
      <c r="N238" s="39" t="n">
        <f aca="false">M238+N230</f>
        <v>6579097.81357864</v>
      </c>
      <c r="O238" s="39" t="n">
        <f aca="false">N238+O230</f>
        <v>9656646.25408377</v>
      </c>
      <c r="P238" s="39" t="n">
        <f aca="false">O238+P230</f>
        <v>12562855.8171782</v>
      </c>
      <c r="Q238" s="39" t="n">
        <f aca="false">P238+Q230</f>
        <v>15239190.3158864</v>
      </c>
      <c r="R238" s="39" t="n">
        <f aca="false">Q238+R230</f>
        <v>17670051.7391633</v>
      </c>
      <c r="S238" s="39" t="n">
        <f aca="false">R238+S230</f>
        <v>19849895.1031939</v>
      </c>
      <c r="T238" s="39" t="n">
        <f aca="false">S238+T230</f>
        <v>21786677.7124712</v>
      </c>
      <c r="U238" s="39" t="n">
        <f aca="false">T238+U230</f>
        <v>23520233.8425111</v>
      </c>
      <c r="V238" s="39" t="n">
        <f aca="false">U238+V230</f>
        <v>25076236.7750987</v>
      </c>
      <c r="W238" s="39" t="n">
        <f aca="false">V238+W230</f>
        <v>26455501.2018502</v>
      </c>
      <c r="X238" s="39" t="n">
        <f aca="false">W238+X230</f>
        <v>27665714.2713488</v>
      </c>
      <c r="Y238" s="39" t="n">
        <f aca="false">X238+Y230</f>
        <v>28745531.0073868</v>
      </c>
      <c r="Z238" s="39" t="n">
        <f aca="false">Y238+Z230</f>
        <v>29717086.3932181</v>
      </c>
      <c r="AA238" s="39" t="n">
        <f aca="false">Z238+AA230</f>
        <v>30579140.3019958</v>
      </c>
      <c r="AB238" s="39" t="n">
        <f aca="false">AA238+AB230</f>
        <v>31335554.9505851</v>
      </c>
      <c r="AC238" s="39" t="n">
        <f aca="false">AB238+AC230</f>
        <v>32011916.8184222</v>
      </c>
      <c r="AD238" s="39" t="n">
        <f aca="false">AC238+AD230</f>
        <v>32622584.7914769</v>
      </c>
      <c r="AE238" s="39" t="n">
        <f aca="false">AD238+AE230</f>
        <v>33144999.4026366</v>
      </c>
      <c r="AF238" s="39" t="n">
        <f aca="false">AE238+AF230</f>
        <v>33572742.6321863</v>
      </c>
      <c r="AG238" s="39" t="n">
        <f aca="false">AF238+AG230</f>
        <v>33922531.8375257</v>
      </c>
      <c r="AH238" s="39" t="n">
        <f aca="false">AG238+AH230</f>
        <v>34204991.77801</v>
      </c>
      <c r="AI238" s="39" t="n">
        <f aca="false">AH238+AI230</f>
        <v>34425450.1888714</v>
      </c>
      <c r="AJ238" s="39" t="n">
        <f aca="false">AI238+AJ230</f>
        <v>34588886.0927428</v>
      </c>
      <c r="AK238" s="39" t="n">
        <f aca="false">AJ238+AK230</f>
        <v>34706640.2434914</v>
      </c>
      <c r="AL238" s="39" t="n">
        <f aca="false">AK238+AL230</f>
        <v>34785581.2667272</v>
      </c>
      <c r="AM238" s="39" t="n">
        <f aca="false">AL238+AM230</f>
        <v>34828807.8464847</v>
      </c>
      <c r="AN238" s="39" t="n">
        <f aca="false">AM238+AN230</f>
        <v>34839219.9438121</v>
      </c>
    </row>
    <row r="240" customFormat="false" ht="15" hidden="false" customHeight="false" outlineLevel="0" collapsed="false">
      <c r="A240" s="12" t="s">
        <v>217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customFormat="false" ht="15" hidden="false" customHeight="false" outlineLevel="0" collapsed="false">
      <c r="A241" s="14" t="s">
        <v>146</v>
      </c>
      <c r="E241" s="39" t="n">
        <f aca="false">'Inputs &amp; Assumptions'!$C$134</f>
        <v>340424922.203496</v>
      </c>
      <c r="F241" s="39" t="n">
        <f aca="false">E267</f>
        <v>324869358.796624</v>
      </c>
      <c r="G241" s="39" t="n">
        <f aca="false">F267</f>
        <v>309009731.20998</v>
      </c>
      <c r="H241" s="39" t="n">
        <f aca="false">G267</f>
        <v>292926123.263621</v>
      </c>
      <c r="I241" s="39" t="n">
        <f aca="false">H267</f>
        <v>276690041.045681</v>
      </c>
      <c r="J241" s="39" t="n">
        <f aca="false">I267</f>
        <v>261082053.12234</v>
      </c>
      <c r="K241" s="39" t="n">
        <f aca="false">J267</f>
        <v>246424829.255711</v>
      </c>
      <c r="L241" s="39" t="n">
        <f aca="false">K267</f>
        <v>232653245.980919</v>
      </c>
      <c r="M241" s="39" t="n">
        <f aca="false">L267</f>
        <v>219705993.837448</v>
      </c>
      <c r="N241" s="39" t="n">
        <f aca="false">M267</f>
        <v>205184649.141268</v>
      </c>
      <c r="O241" s="39" t="n">
        <f aca="false">N267</f>
        <v>191461867.984916</v>
      </c>
      <c r="P241" s="39" t="n">
        <f aca="false">O267</f>
        <v>178516913.597701</v>
      </c>
      <c r="Q241" s="39" t="n">
        <f aca="false">P267</f>
        <v>166316279.070711</v>
      </c>
      <c r="R241" s="39" t="n">
        <f aca="false">Q267</f>
        <v>154860584.185004</v>
      </c>
      <c r="S241" s="39" t="n">
        <f aca="false">R267</f>
        <v>144123959.991727</v>
      </c>
      <c r="T241" s="39" t="n">
        <f aca="false">S267</f>
        <v>134075253.368701</v>
      </c>
      <c r="U241" s="39" t="n">
        <f aca="false">T267</f>
        <v>124675882.112381</v>
      </c>
      <c r="V241" s="39" t="n">
        <f aca="false">U267</f>
        <v>115868392.537511</v>
      </c>
      <c r="W241" s="39" t="n">
        <f aca="false">V267</f>
        <v>99513385.9168311</v>
      </c>
      <c r="X241" s="39" t="n">
        <f aca="false">W267</f>
        <v>80426637.6201999</v>
      </c>
      <c r="Y241" s="39" t="n">
        <f aca="false">X267</f>
        <v>62773477.2878698</v>
      </c>
      <c r="Z241" s="39" t="n">
        <f aca="false">Y267</f>
        <v>46460088.1429808</v>
      </c>
      <c r="AA241" s="39" t="n">
        <f aca="false">Z267</f>
        <v>29238144.9178093</v>
      </c>
      <c r="AB241" s="39" t="n">
        <f aca="false">AA267</f>
        <v>13353097.2543475</v>
      </c>
      <c r="AC241" s="39" t="n">
        <f aca="false">AB267</f>
        <v>0</v>
      </c>
      <c r="AD241" s="39" t="n">
        <f aca="false">AC267</f>
        <v>0</v>
      </c>
      <c r="AE241" s="39" t="n">
        <f aca="false">AD267</f>
        <v>0</v>
      </c>
      <c r="AF241" s="39" t="n">
        <f aca="false">AE267</f>
        <v>0</v>
      </c>
      <c r="AG241" s="39" t="n">
        <f aca="false">AF267</f>
        <v>0</v>
      </c>
      <c r="AH241" s="39" t="n">
        <f aca="false">AG267</f>
        <v>0</v>
      </c>
      <c r="AI241" s="39" t="n">
        <f aca="false">AH267</f>
        <v>0</v>
      </c>
      <c r="AJ241" s="39" t="n">
        <f aca="false">AI267</f>
        <v>0</v>
      </c>
      <c r="AK241" s="39" t="n">
        <f aca="false">AJ267</f>
        <v>0</v>
      </c>
      <c r="AL241" s="39" t="n">
        <f aca="false">AK267</f>
        <v>0</v>
      </c>
      <c r="AM241" s="39" t="n">
        <f aca="false">AL267</f>
        <v>0</v>
      </c>
      <c r="AN241" s="39" t="n">
        <f aca="false">AM267</f>
        <v>0</v>
      </c>
    </row>
    <row r="242" customFormat="false" ht="15" hidden="false" customHeight="false" outlineLevel="0" collapsed="false">
      <c r="A242" s="14" t="s">
        <v>147</v>
      </c>
      <c r="E242" s="10" t="n">
        <f aca="false">'Inputs &amp; Assumptions'!E$52</f>
        <v>0.04324</v>
      </c>
      <c r="F242" s="10" t="n">
        <f aca="false">'Inputs &amp; Assumptions'!F$52</f>
        <v>0.04324</v>
      </c>
      <c r="G242" s="10" t="n">
        <f aca="false">'Inputs &amp; Assumptions'!G$52</f>
        <v>0.04324</v>
      </c>
      <c r="H242" s="10" t="n">
        <f aca="false">'Inputs &amp; Assumptions'!H$52</f>
        <v>0.04324</v>
      </c>
      <c r="I242" s="10" t="n">
        <f aca="false">'Inputs &amp; Assumptions'!I$52</f>
        <v>0.04324</v>
      </c>
      <c r="J242" s="10" t="n">
        <f aca="false">'Inputs &amp; Assumptions'!J$52</f>
        <v>0.04324</v>
      </c>
      <c r="K242" s="10" t="n">
        <f aca="false">'Inputs &amp; Assumptions'!K$52</f>
        <v>0.04324</v>
      </c>
      <c r="L242" s="10" t="n">
        <f aca="false">'Inputs &amp; Assumptions'!L$52</f>
        <v>0.04324</v>
      </c>
      <c r="M242" s="10" t="n">
        <f aca="false">'Inputs &amp; Assumptions'!M$52</f>
        <v>0.04324</v>
      </c>
      <c r="N242" s="10" t="n">
        <f aca="false">'Inputs &amp; Assumptions'!N$52</f>
        <v>0.04324</v>
      </c>
      <c r="O242" s="10" t="n">
        <f aca="false">'Inputs &amp; Assumptions'!O$52</f>
        <v>0.04324</v>
      </c>
      <c r="P242" s="10" t="n">
        <f aca="false">'Inputs &amp; Assumptions'!P$52</f>
        <v>0.04324</v>
      </c>
      <c r="Q242" s="10" t="n">
        <f aca="false">'Inputs &amp; Assumptions'!Q$52</f>
        <v>0.04324</v>
      </c>
      <c r="R242" s="10" t="n">
        <f aca="false">'Inputs &amp; Assumptions'!R$52</f>
        <v>0.04324</v>
      </c>
      <c r="S242" s="10" t="n">
        <f aca="false">'Inputs &amp; Assumptions'!S$52</f>
        <v>0.04324</v>
      </c>
      <c r="T242" s="10" t="n">
        <f aca="false">'Inputs &amp; Assumptions'!T$52</f>
        <v>0.04324</v>
      </c>
      <c r="U242" s="10" t="n">
        <f aca="false">'Inputs &amp; Assumptions'!U$52</f>
        <v>0.04324</v>
      </c>
      <c r="V242" s="10" t="n">
        <f aca="false">'Inputs &amp; Assumptions'!V$52</f>
        <v>0.04324</v>
      </c>
      <c r="W242" s="10" t="n">
        <f aca="false">'Inputs &amp; Assumptions'!W$52</f>
        <v>0.04324</v>
      </c>
      <c r="X242" s="10" t="n">
        <f aca="false">'Inputs &amp; Assumptions'!X$52</f>
        <v>0.04324</v>
      </c>
      <c r="Y242" s="10" t="n">
        <f aca="false">'Inputs &amp; Assumptions'!Y$52</f>
        <v>0.04324</v>
      </c>
      <c r="Z242" s="10" t="n">
        <f aca="false">'Inputs &amp; Assumptions'!Z$52</f>
        <v>0.04324</v>
      </c>
      <c r="AA242" s="10" t="n">
        <f aca="false">'Inputs &amp; Assumptions'!AA$52</f>
        <v>0.04324</v>
      </c>
      <c r="AB242" s="10" t="n">
        <f aca="false">'Inputs &amp; Assumptions'!AB$52</f>
        <v>0.04324</v>
      </c>
      <c r="AC242" s="10" t="n">
        <f aca="false">'Inputs &amp; Assumptions'!AC$52</f>
        <v>0.04324</v>
      </c>
      <c r="AD242" s="10" t="n">
        <f aca="false">'Inputs &amp; Assumptions'!AD$52</f>
        <v>0.04324</v>
      </c>
      <c r="AE242" s="10" t="n">
        <f aca="false">'Inputs &amp; Assumptions'!AE$52</f>
        <v>0.04324</v>
      </c>
      <c r="AF242" s="10" t="n">
        <f aca="false">'Inputs &amp; Assumptions'!AF$52</f>
        <v>0.04324</v>
      </c>
      <c r="AG242" s="10" t="n">
        <f aca="false">'Inputs &amp; Assumptions'!AG$52</f>
        <v>0.04324</v>
      </c>
      <c r="AH242" s="10" t="n">
        <f aca="false">'Inputs &amp; Assumptions'!AH$52</f>
        <v>0.04324</v>
      </c>
      <c r="AI242" s="10" t="n">
        <f aca="false">'Inputs &amp; Assumptions'!AI$52</f>
        <v>0.04324</v>
      </c>
      <c r="AJ242" s="10" t="n">
        <f aca="false">'Inputs &amp; Assumptions'!AJ$52</f>
        <v>0.04324</v>
      </c>
      <c r="AK242" s="10" t="n">
        <f aca="false">'Inputs &amp; Assumptions'!AK$52</f>
        <v>0.04324</v>
      </c>
      <c r="AL242" s="10" t="n">
        <f aca="false">'Inputs &amp; Assumptions'!AL$52</f>
        <v>0.04324</v>
      </c>
      <c r="AM242" s="10" t="n">
        <f aca="false">'Inputs &amp; Assumptions'!AM$52</f>
        <v>0.04324</v>
      </c>
      <c r="AN242" s="10" t="n">
        <f aca="false">'Inputs &amp; Assumptions'!AN$52</f>
        <v>0.04324</v>
      </c>
    </row>
    <row r="243" customFormat="false" ht="15" hidden="false" customHeight="false" outlineLevel="0" collapsed="false">
      <c r="A243" s="14" t="s">
        <v>148</v>
      </c>
      <c r="E243" s="39" t="n">
        <f aca="false">E242/4*E241</f>
        <v>3679993.40901979</v>
      </c>
      <c r="F243" s="39" t="n">
        <f aca="false">F242/4*F241</f>
        <v>3511837.76859151</v>
      </c>
      <c r="G243" s="39" t="n">
        <f aca="false">G242/4*G241</f>
        <v>3340395.19437989</v>
      </c>
      <c r="H243" s="39" t="n">
        <f aca="false">H242/4*H241</f>
        <v>3166531.39247975</v>
      </c>
      <c r="I243" s="39" t="n">
        <f aca="false">I242/4*I241</f>
        <v>2991019.34370381</v>
      </c>
      <c r="J243" s="39" t="n">
        <f aca="false">J242/4*J241</f>
        <v>2822296.9942525</v>
      </c>
      <c r="K243" s="39" t="n">
        <f aca="false">K242/4*K241</f>
        <v>2663852.40425423</v>
      </c>
      <c r="L243" s="39" t="n">
        <f aca="false">L242/4*L241</f>
        <v>2514981.58905373</v>
      </c>
      <c r="M243" s="39" t="n">
        <f aca="false">M242/4*M241</f>
        <v>2375021.79338281</v>
      </c>
      <c r="N243" s="39" t="n">
        <f aca="false">N242/4*N241</f>
        <v>2218046.05721711</v>
      </c>
      <c r="O243" s="39" t="n">
        <f aca="false">O242/4*O241</f>
        <v>2069702.79291694</v>
      </c>
      <c r="P243" s="39" t="n">
        <f aca="false">P242/4*P241</f>
        <v>1929767.83599115</v>
      </c>
      <c r="Q243" s="39" t="n">
        <f aca="false">Q242/4*Q241</f>
        <v>1797878.97675438</v>
      </c>
      <c r="R243" s="39" t="n">
        <f aca="false">R242/4*R241</f>
        <v>1674042.91503989</v>
      </c>
      <c r="S243" s="39" t="n">
        <f aca="false">S242/4*S241</f>
        <v>1557980.00751057</v>
      </c>
      <c r="T243" s="39" t="n">
        <f aca="false">T242/4*T241</f>
        <v>1449353.48891566</v>
      </c>
      <c r="U243" s="39" t="n">
        <f aca="false">U242/4*U241</f>
        <v>1347746.28563484</v>
      </c>
      <c r="V243" s="39" t="n">
        <f aca="false">V242/4*V241</f>
        <v>1252537.32333049</v>
      </c>
      <c r="W243" s="39" t="n">
        <f aca="false">W242/4*W241</f>
        <v>1075739.70176094</v>
      </c>
      <c r="X243" s="39" t="n">
        <f aca="false">X242/4*X241</f>
        <v>869411.952674361</v>
      </c>
      <c r="Y243" s="39" t="n">
        <f aca="false">Y242/4*Y241</f>
        <v>678581.289481872</v>
      </c>
      <c r="Z243" s="39" t="n">
        <f aca="false">Z242/4*Z241</f>
        <v>502233.552825623</v>
      </c>
      <c r="AA243" s="39" t="n">
        <f aca="false">AA242/4*AA241</f>
        <v>316064.346561519</v>
      </c>
      <c r="AB243" s="39" t="n">
        <f aca="false">AB242/4*AB241</f>
        <v>144346.981319496</v>
      </c>
      <c r="AC243" s="39" t="n">
        <f aca="false">AC242/4*AC241</f>
        <v>0</v>
      </c>
      <c r="AD243" s="39" t="n">
        <f aca="false">AD242/4*AD241</f>
        <v>0</v>
      </c>
      <c r="AE243" s="39" t="n">
        <f aca="false">AE242/4*AE241</f>
        <v>0</v>
      </c>
      <c r="AF243" s="39" t="n">
        <f aca="false">AF242/4*AF241</f>
        <v>0</v>
      </c>
      <c r="AG243" s="39" t="n">
        <f aca="false">AG242/4*AG241</f>
        <v>0</v>
      </c>
      <c r="AH243" s="39" t="n">
        <f aca="false">AH242/4*AH241</f>
        <v>0</v>
      </c>
      <c r="AI243" s="39" t="n">
        <f aca="false">AI242/4*AI241</f>
        <v>0</v>
      </c>
      <c r="AJ243" s="39" t="n">
        <f aca="false">AJ242/4*AJ241</f>
        <v>0</v>
      </c>
      <c r="AK243" s="39" t="n">
        <f aca="false">AK242/4*AK241</f>
        <v>0</v>
      </c>
      <c r="AL243" s="39" t="n">
        <f aca="false">AL242/4*AL241</f>
        <v>0</v>
      </c>
      <c r="AM243" s="39" t="n">
        <f aca="false">AM242/4*AM241</f>
        <v>0</v>
      </c>
      <c r="AN243" s="39" t="n">
        <f aca="false">AN242/4*AN241</f>
        <v>0</v>
      </c>
    </row>
    <row r="244" customFormat="false" ht="15" hidden="false" customHeight="false" outlineLevel="0" collapsed="false">
      <c r="A244" s="14" t="s">
        <v>149</v>
      </c>
      <c r="E244" s="39" t="n">
        <f aca="false">'Scenario Analysis'!E232</f>
        <v>10266063.1076869</v>
      </c>
      <c r="F244" s="39" t="n">
        <f aca="false">'Scenario Analysis'!F232</f>
        <v>9740818.21971988</v>
      </c>
      <c r="G244" s="39" t="n">
        <f aca="false">'Scenario Analysis'!G232</f>
        <v>9213275.85138365</v>
      </c>
      <c r="H244" s="39" t="n">
        <f aca="false">'Scenario Analysis'!H232</f>
        <v>8686149.22647194</v>
      </c>
      <c r="I244" s="39" t="n">
        <f aca="false">'Scenario Analysis'!I232</f>
        <v>8163452.33511427</v>
      </c>
      <c r="J244" s="39" t="n">
        <f aca="false">'Scenario Analysis'!J232</f>
        <v>7666173.81997048</v>
      </c>
      <c r="K244" s="39" t="n">
        <f aca="false">'Scenario Analysis'!K232</f>
        <v>7202956.85741113</v>
      </c>
      <c r="L244" s="39" t="n">
        <f aca="false">'Scenario Analysis'!L232</f>
        <v>6771806.60717163</v>
      </c>
      <c r="M244" s="39" t="n">
        <f aca="false">'Scenario Analysis'!M232</f>
        <v>6369660.65776534</v>
      </c>
      <c r="N244" s="39" t="n">
        <f aca="false">'Scenario Analysis'!N232</f>
        <v>5994128.32678976</v>
      </c>
      <c r="O244" s="39" t="n">
        <f aca="false">'Scenario Analysis'!O232</f>
        <v>5643848.81323317</v>
      </c>
      <c r="P244" s="39" t="n">
        <f aca="false">'Scenario Analysis'!P232</f>
        <v>5317277.70138821</v>
      </c>
      <c r="Q244" s="39" t="n">
        <f aca="false">'Scenario Analysis'!Q232</f>
        <v>5011813.76934447</v>
      </c>
      <c r="R244" s="39" t="n">
        <f aca="false">'Scenario Analysis'!R232</f>
        <v>4725590.8481334</v>
      </c>
      <c r="S244" s="39" t="n">
        <f aca="false">'Scenario Analysis'!S232</f>
        <v>4457692.09382717</v>
      </c>
      <c r="T244" s="39" t="n">
        <f aca="false">'Scenario Analysis'!T232</f>
        <v>4207059.66672322</v>
      </c>
      <c r="U244" s="39" t="n">
        <f aca="false">'Scenario Analysis'!U232</f>
        <v>3971893.08798001</v>
      </c>
      <c r="V244" s="39" t="n">
        <f aca="false">'Scenario Analysis'!V232</f>
        <v>3750893.0765251</v>
      </c>
      <c r="W244" s="39" t="n">
        <f aca="false">'Scenario Analysis'!W232</f>
        <v>3332452.42255347</v>
      </c>
      <c r="X244" s="39" t="n">
        <f aca="false">'Scenario Analysis'!X232</f>
        <v>2842787.99526787</v>
      </c>
      <c r="Y244" s="39" t="n">
        <f aca="false">'Scenario Analysis'!Y232</f>
        <v>2390381.47917806</v>
      </c>
      <c r="Z244" s="39" t="n">
        <f aca="false">'Scenario Analysis'!Z232</f>
        <v>1973097.59024735</v>
      </c>
      <c r="AA244" s="39" t="n">
        <f aca="false">'Scenario Analysis'!AA232</f>
        <v>1588646.35679007</v>
      </c>
      <c r="AB244" s="39" t="n">
        <f aca="false">'Scenario Analysis'!AB232</f>
        <v>1234876.51266253</v>
      </c>
      <c r="AC244" s="39" t="n">
        <f aca="false">'Scenario Analysis'!AC232</f>
        <v>909522.439113291</v>
      </c>
      <c r="AD244" s="39" t="n">
        <f aca="false">'Scenario Analysis'!AD232</f>
        <v>609733.343097586</v>
      </c>
      <c r="AE244" s="39" t="n">
        <f aca="false">'Scenario Analysis'!AE232</f>
        <v>333878.203067178</v>
      </c>
      <c r="AF244" s="39" t="n">
        <f aca="false">'Scenario Analysis'!AF232</f>
        <v>80422.1005993885</v>
      </c>
      <c r="AG244" s="39" t="n">
        <f aca="false">'Scenario Analysis'!AG232</f>
        <v>0</v>
      </c>
      <c r="AH244" s="39" t="n">
        <f aca="false">'Scenario Analysis'!AH232</f>
        <v>0</v>
      </c>
      <c r="AI244" s="39" t="n">
        <f aca="false">'Scenario Analysis'!AI232</f>
        <v>0</v>
      </c>
      <c r="AJ244" s="39" t="n">
        <f aca="false">'Scenario Analysis'!AJ232</f>
        <v>0</v>
      </c>
      <c r="AK244" s="39" t="n">
        <f aca="false">'Scenario Analysis'!AK232</f>
        <v>0</v>
      </c>
      <c r="AL244" s="39" t="n">
        <f aca="false">'Scenario Analysis'!AL232</f>
        <v>0</v>
      </c>
      <c r="AM244" s="39" t="n">
        <f aca="false">'Scenario Analysis'!AM232</f>
        <v>0</v>
      </c>
      <c r="AN244" s="39" t="n">
        <f aca="false">'Scenario Analysis'!AN232</f>
        <v>0</v>
      </c>
    </row>
    <row r="245" customFormat="false" ht="15" hidden="false" customHeight="false" outlineLevel="0" collapsed="false">
      <c r="A245" s="5" t="s">
        <v>150</v>
      </c>
      <c r="E245" s="39" t="n">
        <f aca="false">MIN(E244,'Inputs &amp; Assumptions'!$C$36)</f>
        <v>37500</v>
      </c>
      <c r="F245" s="39" t="n">
        <f aca="false">MIN(F244,'Inputs &amp; Assumptions'!$C$36)</f>
        <v>37500</v>
      </c>
      <c r="G245" s="39" t="n">
        <f aca="false">MIN(G244,'Inputs &amp; Assumptions'!$C$36)</f>
        <v>37500</v>
      </c>
      <c r="H245" s="39" t="n">
        <f aca="false">MIN(H244,'Inputs &amp; Assumptions'!$C$36)</f>
        <v>37500</v>
      </c>
      <c r="I245" s="39" t="n">
        <f aca="false">MIN(I244,'Inputs &amp; Assumptions'!$C$36)</f>
        <v>37500</v>
      </c>
      <c r="J245" s="39" t="n">
        <f aca="false">MIN(J244,'Inputs &amp; Assumptions'!$C$36)</f>
        <v>37500</v>
      </c>
      <c r="K245" s="39" t="n">
        <f aca="false">MIN(K244,'Inputs &amp; Assumptions'!$C$36)</f>
        <v>37500</v>
      </c>
      <c r="L245" s="39" t="n">
        <f aca="false">MIN(L244,'Inputs &amp; Assumptions'!$C$36)</f>
        <v>37500</v>
      </c>
      <c r="M245" s="39" t="n">
        <f aca="false">MIN(M244,'Inputs &amp; Assumptions'!$C$36)</f>
        <v>37500</v>
      </c>
      <c r="N245" s="39" t="n">
        <f aca="false">MIN(N244,'Inputs &amp; Assumptions'!$C$36)</f>
        <v>37500</v>
      </c>
      <c r="O245" s="39" t="n">
        <f aca="false">MIN(O244,'Inputs &amp; Assumptions'!$C$36)</f>
        <v>37500</v>
      </c>
      <c r="P245" s="39" t="n">
        <f aca="false">MIN(P244,'Inputs &amp; Assumptions'!$C$36)</f>
        <v>37500</v>
      </c>
      <c r="Q245" s="39" t="n">
        <f aca="false">MIN(Q244,'Inputs &amp; Assumptions'!$C$36)</f>
        <v>37500</v>
      </c>
      <c r="R245" s="39" t="n">
        <f aca="false">MIN(R244,'Inputs &amp; Assumptions'!$C$36)</f>
        <v>37500</v>
      </c>
      <c r="S245" s="39" t="n">
        <f aca="false">MIN(S244,'Inputs &amp; Assumptions'!$C$36)</f>
        <v>37500</v>
      </c>
      <c r="T245" s="39" t="n">
        <f aca="false">MIN(T244,'Inputs &amp; Assumptions'!$C$36)</f>
        <v>37500</v>
      </c>
      <c r="U245" s="39" t="n">
        <f aca="false">MIN(U244,'Inputs &amp; Assumptions'!$C$36)</f>
        <v>37500</v>
      </c>
      <c r="V245" s="39" t="n">
        <f aca="false">MIN(V244,'Inputs &amp; Assumptions'!$C$36)</f>
        <v>37500</v>
      </c>
      <c r="W245" s="39" t="n">
        <f aca="false">MIN(W244,'Inputs &amp; Assumptions'!$C$36)</f>
        <v>37500</v>
      </c>
      <c r="X245" s="39" t="n">
        <f aca="false">MIN(X244,'Inputs &amp; Assumptions'!$C$36)</f>
        <v>37500</v>
      </c>
      <c r="Y245" s="39" t="n">
        <f aca="false">MIN(Y244,'Inputs &amp; Assumptions'!$C$36)</f>
        <v>37500</v>
      </c>
      <c r="Z245" s="39" t="n">
        <f aca="false">MIN(Z244,'Inputs &amp; Assumptions'!$C$36)</f>
        <v>37500</v>
      </c>
      <c r="AA245" s="39" t="n">
        <f aca="false">MIN(AA244,'Inputs &amp; Assumptions'!$C$36)</f>
        <v>37500</v>
      </c>
      <c r="AB245" s="39" t="n">
        <f aca="false">MIN(AB244,'Inputs &amp; Assumptions'!$C$36)</f>
        <v>37500</v>
      </c>
      <c r="AC245" s="39" t="n">
        <f aca="false">MIN(AC244,'Inputs &amp; Assumptions'!$C$36)</f>
        <v>37500</v>
      </c>
      <c r="AD245" s="39" t="n">
        <f aca="false">MIN(AD244,'Inputs &amp; Assumptions'!$C$36)</f>
        <v>37500</v>
      </c>
      <c r="AE245" s="39" t="n">
        <f aca="false">MIN(AE244,'Inputs &amp; Assumptions'!$C$36)</f>
        <v>37500</v>
      </c>
      <c r="AF245" s="39" t="n">
        <f aca="false">MIN(AF244,'Inputs &amp; Assumptions'!$C$36)</f>
        <v>37500</v>
      </c>
      <c r="AG245" s="39" t="n">
        <f aca="false">MIN(AG244,'Inputs &amp; Assumptions'!$C$36)</f>
        <v>0</v>
      </c>
      <c r="AH245" s="39" t="n">
        <f aca="false">MIN(AH244,'Inputs &amp; Assumptions'!$C$36)</f>
        <v>0</v>
      </c>
      <c r="AI245" s="39" t="n">
        <f aca="false">MIN(AI244,'Inputs &amp; Assumptions'!$C$36)</f>
        <v>0</v>
      </c>
      <c r="AJ245" s="39" t="n">
        <f aca="false">MIN(AJ244,'Inputs &amp; Assumptions'!$C$36)</f>
        <v>0</v>
      </c>
      <c r="AK245" s="39" t="n">
        <f aca="false">MIN(AK244,'Inputs &amp; Assumptions'!$C$36)</f>
        <v>0</v>
      </c>
      <c r="AL245" s="39" t="n">
        <f aca="false">MIN(AL244,'Inputs &amp; Assumptions'!$C$36)</f>
        <v>0</v>
      </c>
      <c r="AM245" s="39" t="n">
        <f aca="false">MIN(AM244,'Inputs &amp; Assumptions'!$C$36)</f>
        <v>0</v>
      </c>
      <c r="AN245" s="39" t="n">
        <f aca="false">MIN(AN244,'Inputs &amp; Assumptions'!$C$36)</f>
        <v>0</v>
      </c>
    </row>
    <row r="246" customFormat="false" ht="15" hidden="false" customHeight="false" outlineLevel="0" collapsed="false">
      <c r="A246" s="5" t="s">
        <v>151</v>
      </c>
      <c r="E246" s="39" t="n">
        <f aca="false">E244-E245</f>
        <v>10228563.1076869</v>
      </c>
      <c r="F246" s="39" t="n">
        <f aca="false">F244-F245</f>
        <v>9703318.21971988</v>
      </c>
      <c r="G246" s="39" t="n">
        <f aca="false">G244-G245</f>
        <v>9175775.85138365</v>
      </c>
      <c r="H246" s="39" t="n">
        <f aca="false">H244-H245</f>
        <v>8648649.22647194</v>
      </c>
      <c r="I246" s="39" t="n">
        <f aca="false">I244-I245</f>
        <v>8125952.33511427</v>
      </c>
      <c r="J246" s="39" t="n">
        <f aca="false">J244-J245</f>
        <v>7628673.81997048</v>
      </c>
      <c r="K246" s="39" t="n">
        <f aca="false">K244-K245</f>
        <v>7165456.85741113</v>
      </c>
      <c r="L246" s="39" t="n">
        <f aca="false">L244-L245</f>
        <v>6734306.60717163</v>
      </c>
      <c r="M246" s="39" t="n">
        <f aca="false">M244-M245</f>
        <v>6332160.65776534</v>
      </c>
      <c r="N246" s="39" t="n">
        <f aca="false">N244-N245</f>
        <v>5956628.32678976</v>
      </c>
      <c r="O246" s="39" t="n">
        <f aca="false">O244-O245</f>
        <v>5606348.81323317</v>
      </c>
      <c r="P246" s="39" t="n">
        <f aca="false">P244-P245</f>
        <v>5279777.70138821</v>
      </c>
      <c r="Q246" s="39" t="n">
        <f aca="false">Q244-Q245</f>
        <v>4974313.76934447</v>
      </c>
      <c r="R246" s="39" t="n">
        <f aca="false">R244-R245</f>
        <v>4688090.8481334</v>
      </c>
      <c r="S246" s="39" t="n">
        <f aca="false">S244-S245</f>
        <v>4420192.09382717</v>
      </c>
      <c r="T246" s="39" t="n">
        <f aca="false">T244-T245</f>
        <v>4169559.66672322</v>
      </c>
      <c r="U246" s="39" t="n">
        <f aca="false">U244-U245</f>
        <v>3934393.08798001</v>
      </c>
      <c r="V246" s="39" t="n">
        <f aca="false">V244-V245</f>
        <v>3713393.0765251</v>
      </c>
      <c r="W246" s="39" t="n">
        <f aca="false">W244-W245</f>
        <v>3294952.42255347</v>
      </c>
      <c r="X246" s="39" t="n">
        <f aca="false">X244-X245</f>
        <v>2805287.99526787</v>
      </c>
      <c r="Y246" s="39" t="n">
        <f aca="false">Y244-Y245</f>
        <v>2352881.47917806</v>
      </c>
      <c r="Z246" s="39" t="n">
        <f aca="false">Z244-Z245</f>
        <v>1935597.59024735</v>
      </c>
      <c r="AA246" s="39" t="n">
        <f aca="false">AA244-AA245</f>
        <v>1551146.35679007</v>
      </c>
      <c r="AB246" s="39" t="n">
        <f aca="false">AB244-AB245</f>
        <v>1197376.51266253</v>
      </c>
      <c r="AC246" s="39" t="n">
        <f aca="false">AC244-AC245</f>
        <v>872022.439113291</v>
      </c>
      <c r="AD246" s="39" t="n">
        <f aca="false">AD244-AD245</f>
        <v>572233.343097586</v>
      </c>
      <c r="AE246" s="39" t="n">
        <f aca="false">AE244-AE245</f>
        <v>296378.203067178</v>
      </c>
      <c r="AF246" s="39" t="n">
        <f aca="false">AF244-AF245</f>
        <v>42922.1005993885</v>
      </c>
      <c r="AG246" s="39" t="n">
        <f aca="false">AG244-AG245</f>
        <v>0</v>
      </c>
      <c r="AH246" s="39" t="n">
        <f aca="false">AH244-AH245</f>
        <v>0</v>
      </c>
      <c r="AI246" s="39" t="n">
        <f aca="false">AI244-AI245</f>
        <v>0</v>
      </c>
      <c r="AJ246" s="39" t="n">
        <f aca="false">AJ244-AJ245</f>
        <v>0</v>
      </c>
      <c r="AK246" s="39" t="n">
        <f aca="false">AK244-AK245</f>
        <v>0</v>
      </c>
      <c r="AL246" s="39" t="n">
        <f aca="false">AL244-AL245</f>
        <v>0</v>
      </c>
      <c r="AM246" s="39" t="n">
        <f aca="false">AM244-AM245</f>
        <v>0</v>
      </c>
      <c r="AN246" s="39" t="n">
        <f aca="false">AN244-AN245</f>
        <v>0</v>
      </c>
    </row>
    <row r="247" customFormat="false" ht="15" hidden="false" customHeight="false" outlineLevel="0" collapsed="false">
      <c r="A247" s="5" t="s">
        <v>152</v>
      </c>
      <c r="E247" s="39" t="n">
        <f aca="false">MIN(E246,E243)</f>
        <v>3679993.40901979</v>
      </c>
      <c r="F247" s="39" t="n">
        <f aca="false">MIN(F246,F243)</f>
        <v>3511837.76859151</v>
      </c>
      <c r="G247" s="39" t="n">
        <f aca="false">MIN(G246,G243)</f>
        <v>3340395.19437989</v>
      </c>
      <c r="H247" s="39" t="n">
        <f aca="false">MIN(H246,H243)</f>
        <v>3166531.39247975</v>
      </c>
      <c r="I247" s="39" t="n">
        <f aca="false">MIN(I246,I243)</f>
        <v>2991019.34370381</v>
      </c>
      <c r="J247" s="39" t="n">
        <f aca="false">MIN(J246,J243)</f>
        <v>2822296.9942525</v>
      </c>
      <c r="K247" s="39" t="n">
        <f aca="false">MIN(K246,K243)</f>
        <v>2663852.40425423</v>
      </c>
      <c r="L247" s="39" t="n">
        <f aca="false">MIN(L246,L243)</f>
        <v>2514981.58905373</v>
      </c>
      <c r="M247" s="39" t="n">
        <f aca="false">MIN(M246,M243)</f>
        <v>2375021.79338281</v>
      </c>
      <c r="N247" s="39" t="n">
        <f aca="false">MIN(N246,N243)</f>
        <v>2218046.05721711</v>
      </c>
      <c r="O247" s="39" t="n">
        <f aca="false">MIN(O246,O243)</f>
        <v>2069702.79291694</v>
      </c>
      <c r="P247" s="39" t="n">
        <f aca="false">MIN(P246,P243)</f>
        <v>1929767.83599115</v>
      </c>
      <c r="Q247" s="39" t="n">
        <f aca="false">MIN(Q246,Q243)</f>
        <v>1797878.97675438</v>
      </c>
      <c r="R247" s="39" t="n">
        <f aca="false">MIN(R246,R243)</f>
        <v>1674042.91503989</v>
      </c>
      <c r="S247" s="39" t="n">
        <f aca="false">MIN(S246,S243)</f>
        <v>1557980.00751057</v>
      </c>
      <c r="T247" s="39" t="n">
        <f aca="false">MIN(T246,T243)</f>
        <v>1449353.48891566</v>
      </c>
      <c r="U247" s="39" t="n">
        <f aca="false">MIN(U246,U243)</f>
        <v>1347746.28563484</v>
      </c>
      <c r="V247" s="39" t="n">
        <f aca="false">MIN(V246,V243)</f>
        <v>1252537.32333049</v>
      </c>
      <c r="W247" s="39" t="n">
        <f aca="false">MIN(W246,W243)</f>
        <v>1075739.70176094</v>
      </c>
      <c r="X247" s="39" t="n">
        <f aca="false">MIN(X246,X243)</f>
        <v>869411.952674361</v>
      </c>
      <c r="Y247" s="39" t="n">
        <f aca="false">MIN(Y246,Y243)</f>
        <v>678581.289481872</v>
      </c>
      <c r="Z247" s="39" t="n">
        <f aca="false">MIN(Z246,Z243)</f>
        <v>502233.552825623</v>
      </c>
      <c r="AA247" s="39" t="n">
        <f aca="false">MIN(AA246,AA243)</f>
        <v>316064.346561519</v>
      </c>
      <c r="AB247" s="39" t="n">
        <f aca="false">MIN(AB246,AB243)</f>
        <v>144346.981319496</v>
      </c>
      <c r="AC247" s="39" t="n">
        <f aca="false">MIN(AC246,AC243)</f>
        <v>0</v>
      </c>
      <c r="AD247" s="39" t="n">
        <f aca="false">MIN(AD246,AD243)</f>
        <v>0</v>
      </c>
      <c r="AE247" s="39" t="n">
        <f aca="false">MIN(AE246,AE243)</f>
        <v>0</v>
      </c>
      <c r="AF247" s="39" t="n">
        <f aca="false">MIN(AF246,AF243)</f>
        <v>0</v>
      </c>
      <c r="AG247" s="39" t="n">
        <f aca="false">MIN(AG246,AG243)</f>
        <v>0</v>
      </c>
      <c r="AH247" s="39" t="n">
        <f aca="false">MIN(AH246,AH243)</f>
        <v>0</v>
      </c>
      <c r="AI247" s="39" t="n">
        <f aca="false">MIN(AI246,AI243)</f>
        <v>0</v>
      </c>
      <c r="AJ247" s="39" t="n">
        <f aca="false">MIN(AJ246,AJ243)</f>
        <v>0</v>
      </c>
      <c r="AK247" s="39" t="n">
        <f aca="false">MIN(AK246,AK243)</f>
        <v>0</v>
      </c>
      <c r="AL247" s="39" t="n">
        <f aca="false">MIN(AL246,AL243)</f>
        <v>0</v>
      </c>
      <c r="AM247" s="39" t="n">
        <f aca="false">MIN(AM246,AM243)</f>
        <v>0</v>
      </c>
      <c r="AN247" s="39" t="n">
        <f aca="false">MIN(AN246,AN243)</f>
        <v>0</v>
      </c>
    </row>
    <row r="248" customFormat="false" ht="15" hidden="false" customHeight="false" outlineLevel="0" collapsed="false">
      <c r="A248" s="5" t="s">
        <v>153</v>
      </c>
      <c r="E248" s="39" t="n">
        <f aca="false">E246-E247</f>
        <v>6548569.6986671</v>
      </c>
      <c r="F248" s="39" t="n">
        <f aca="false">F246-F247</f>
        <v>6191480.45112837</v>
      </c>
      <c r="G248" s="39" t="n">
        <f aca="false">G246-G247</f>
        <v>5835380.65700377</v>
      </c>
      <c r="H248" s="39" t="n">
        <f aca="false">H246-H247</f>
        <v>5482117.8339922</v>
      </c>
      <c r="I248" s="39" t="n">
        <f aca="false">I246-I247</f>
        <v>5134932.99141046</v>
      </c>
      <c r="J248" s="39" t="n">
        <f aca="false">J246-J247</f>
        <v>4806376.82571798</v>
      </c>
      <c r="K248" s="39" t="n">
        <f aca="false">K246-K247</f>
        <v>4501604.4531569</v>
      </c>
      <c r="L248" s="39" t="n">
        <f aca="false">L246-L247</f>
        <v>4219325.0181179</v>
      </c>
      <c r="M248" s="39" t="n">
        <f aca="false">M246-M247</f>
        <v>3957138.86438253</v>
      </c>
      <c r="N248" s="39" t="n">
        <f aca="false">N246-N247</f>
        <v>3738582.26957266</v>
      </c>
      <c r="O248" s="39" t="n">
        <f aca="false">O246-O247</f>
        <v>3536646.02031623</v>
      </c>
      <c r="P248" s="39" t="n">
        <f aca="false">P246-P247</f>
        <v>3350009.86539706</v>
      </c>
      <c r="Q248" s="39" t="n">
        <f aca="false">Q246-Q247</f>
        <v>3176434.79259009</v>
      </c>
      <c r="R248" s="39" t="n">
        <f aca="false">R246-R247</f>
        <v>3014047.93309351</v>
      </c>
      <c r="S248" s="39" t="n">
        <f aca="false">S246-S247</f>
        <v>2862212.0863166</v>
      </c>
      <c r="T248" s="39" t="n">
        <f aca="false">T246-T247</f>
        <v>2720206.17780756</v>
      </c>
      <c r="U248" s="39" t="n">
        <f aca="false">U246-U247</f>
        <v>2586646.80234517</v>
      </c>
      <c r="V248" s="39" t="n">
        <f aca="false">V246-V247</f>
        <v>2460855.75319461</v>
      </c>
      <c r="W248" s="39" t="n">
        <f aca="false">W246-W247</f>
        <v>2219212.72079253</v>
      </c>
      <c r="X248" s="39" t="n">
        <f aca="false">X246-X247</f>
        <v>1935876.04259351</v>
      </c>
      <c r="Y248" s="39" t="n">
        <f aca="false">Y246-Y247</f>
        <v>1674300.18969618</v>
      </c>
      <c r="Z248" s="39" t="n">
        <f aca="false">Z246-Z247</f>
        <v>1433364.03742173</v>
      </c>
      <c r="AA248" s="39" t="n">
        <f aca="false">AA246-AA247</f>
        <v>1235082.01022855</v>
      </c>
      <c r="AB248" s="39" t="n">
        <f aca="false">AB246-AB247</f>
        <v>1053029.53134304</v>
      </c>
      <c r="AC248" s="39" t="n">
        <f aca="false">AC246-AC247</f>
        <v>872022.439113291</v>
      </c>
      <c r="AD248" s="39" t="n">
        <f aca="false">AD246-AD247</f>
        <v>572233.343097586</v>
      </c>
      <c r="AE248" s="39" t="n">
        <f aca="false">AE246-AE247</f>
        <v>296378.203067178</v>
      </c>
      <c r="AF248" s="39" t="n">
        <f aca="false">AF246-AF247</f>
        <v>42922.1005993885</v>
      </c>
      <c r="AG248" s="39" t="n">
        <f aca="false">AG246-AG247</f>
        <v>0</v>
      </c>
      <c r="AH248" s="39" t="n">
        <f aca="false">AH246-AH247</f>
        <v>0</v>
      </c>
      <c r="AI248" s="39" t="n">
        <f aca="false">AI246-AI247</f>
        <v>0</v>
      </c>
      <c r="AJ248" s="39" t="n">
        <f aca="false">AJ246-AJ247</f>
        <v>0</v>
      </c>
      <c r="AK248" s="39" t="n">
        <f aca="false">AK246-AK247</f>
        <v>0</v>
      </c>
      <c r="AL248" s="39" t="n">
        <f aca="false">AL246-AL247</f>
        <v>0</v>
      </c>
      <c r="AM248" s="39" t="n">
        <f aca="false">AM246-AM247</f>
        <v>0</v>
      </c>
      <c r="AN248" s="39" t="n">
        <f aca="false">AN246-AN247</f>
        <v>0</v>
      </c>
    </row>
    <row r="249" customFormat="false" ht="15" hidden="false" customHeight="false" outlineLevel="0" collapsed="false">
      <c r="A249" s="5" t="s">
        <v>154</v>
      </c>
      <c r="E249" s="39" t="n">
        <f aca="false">E243-E247</f>
        <v>0</v>
      </c>
      <c r="F249" s="39" t="n">
        <f aca="false">F243-F247</f>
        <v>0</v>
      </c>
      <c r="G249" s="39" t="n">
        <f aca="false">G243-G247</f>
        <v>0</v>
      </c>
      <c r="H249" s="39" t="n">
        <f aca="false">H243-H247</f>
        <v>0</v>
      </c>
      <c r="I249" s="39" t="n">
        <f aca="false">I243-I247</f>
        <v>0</v>
      </c>
      <c r="J249" s="39" t="n">
        <f aca="false">J243-J247</f>
        <v>0</v>
      </c>
      <c r="K249" s="39" t="n">
        <f aca="false">K243-K247</f>
        <v>0</v>
      </c>
      <c r="L249" s="39" t="n">
        <f aca="false">L243-L247</f>
        <v>0</v>
      </c>
      <c r="M249" s="39" t="n">
        <f aca="false">M243-M247</f>
        <v>0</v>
      </c>
      <c r="N249" s="39" t="n">
        <f aca="false">N243-N247</f>
        <v>0</v>
      </c>
      <c r="O249" s="39" t="n">
        <f aca="false">O243-O247</f>
        <v>0</v>
      </c>
      <c r="P249" s="39" t="n">
        <f aca="false">P243-P247</f>
        <v>0</v>
      </c>
      <c r="Q249" s="39" t="n">
        <f aca="false">Q243-Q247</f>
        <v>0</v>
      </c>
      <c r="R249" s="39" t="n">
        <f aca="false">R243-R247</f>
        <v>0</v>
      </c>
      <c r="S249" s="39" t="n">
        <f aca="false">S243-S247</f>
        <v>0</v>
      </c>
      <c r="T249" s="39" t="n">
        <f aca="false">T243-T247</f>
        <v>0</v>
      </c>
      <c r="U249" s="39" t="n">
        <f aca="false">U243-U247</f>
        <v>0</v>
      </c>
      <c r="V249" s="39" t="n">
        <f aca="false">V243-V247</f>
        <v>0</v>
      </c>
      <c r="W249" s="39" t="n">
        <f aca="false">W243-W247</f>
        <v>0</v>
      </c>
      <c r="X249" s="39" t="n">
        <f aca="false">X243-X247</f>
        <v>0</v>
      </c>
      <c r="Y249" s="39" t="n">
        <f aca="false">Y243-Y247</f>
        <v>0</v>
      </c>
      <c r="Z249" s="39" t="n">
        <f aca="false">Z243-Z247</f>
        <v>0</v>
      </c>
      <c r="AA249" s="39" t="n">
        <f aca="false">AA243-AA247</f>
        <v>0</v>
      </c>
      <c r="AB249" s="39" t="n">
        <f aca="false">AB243-AB247</f>
        <v>0</v>
      </c>
      <c r="AC249" s="39" t="n">
        <f aca="false">AC243-AC247</f>
        <v>0</v>
      </c>
      <c r="AD249" s="39" t="n">
        <f aca="false">AD243-AD247</f>
        <v>0</v>
      </c>
      <c r="AE249" s="39" t="n">
        <f aca="false">AE243-AE247</f>
        <v>0</v>
      </c>
      <c r="AF249" s="39" t="n">
        <f aca="false">AF243-AF247</f>
        <v>0</v>
      </c>
      <c r="AG249" s="39" t="n">
        <f aca="false">AG243-AG247</f>
        <v>0</v>
      </c>
      <c r="AH249" s="39" t="n">
        <f aca="false">AH243-AH247</f>
        <v>0</v>
      </c>
      <c r="AI249" s="39" t="n">
        <f aca="false">AI243-AI247</f>
        <v>0</v>
      </c>
      <c r="AJ249" s="39" t="n">
        <f aca="false">AJ243-AJ247</f>
        <v>0</v>
      </c>
      <c r="AK249" s="39" t="n">
        <f aca="false">AK243-AK247</f>
        <v>0</v>
      </c>
      <c r="AL249" s="39" t="n">
        <f aca="false">AL243-AL247</f>
        <v>0</v>
      </c>
      <c r="AM249" s="39" t="n">
        <f aca="false">AM243-AM247</f>
        <v>0</v>
      </c>
      <c r="AN249" s="39" t="n">
        <f aca="false">AN243-AN247</f>
        <v>0</v>
      </c>
    </row>
    <row r="250" customFormat="false" ht="15" hidden="false" customHeight="false" outlineLevel="0" collapsed="false">
      <c r="A250" s="14" t="s">
        <v>155</v>
      </c>
      <c r="E250" s="18" t="n">
        <f aca="false">IF('Scenario Analysis'!E226&gt;0,E241/'Scenario Analysis'!E226,0)</f>
        <v>0.6</v>
      </c>
      <c r="F250" s="18" t="n">
        <f aca="false">IF('Scenario Analysis'!F226&gt;0,F241/'Scenario Analysis'!F226,0)</f>
        <v>0.603332282345706</v>
      </c>
      <c r="G250" s="18" t="n">
        <f aca="false">IF('Scenario Analysis'!G226&gt;0,G241/'Scenario Analysis'!G226,0)</f>
        <v>0.606689141754375</v>
      </c>
      <c r="H250" s="18" t="n">
        <f aca="false">IF('Scenario Analysis'!H226&gt;0,H241/'Scenario Analysis'!H226,0)</f>
        <v>0.610000773191812</v>
      </c>
      <c r="I250" s="18" t="n">
        <f aca="false">IF('Scenario Analysis'!I226&gt;0,I241/'Scenario Analysis'!I226,0)</f>
        <v>0.613232386622096</v>
      </c>
      <c r="J250" s="18" t="n">
        <f aca="false">IF('Scenario Analysis'!J226&gt;0,J241/'Scenario Analysis'!J226,0)</f>
        <v>0.616414450353421</v>
      </c>
      <c r="K250" s="18" t="n">
        <f aca="false">IF('Scenario Analysis'!K226&gt;0,K241/'Scenario Analysis'!K226,0)</f>
        <v>0.619548707723014</v>
      </c>
      <c r="L250" s="18" t="n">
        <f aca="false">IF('Scenario Analysis'!L226&gt;0,L241/'Scenario Analysis'!L226,0)</f>
        <v>0.622540995532382</v>
      </c>
      <c r="M250" s="18" t="n">
        <f aca="false">IF('Scenario Analysis'!M226&gt;0,M241/'Scenario Analysis'!M226,0)</f>
        <v>0.625326756295661</v>
      </c>
      <c r="N250" s="18" t="n">
        <f aca="false">IF('Scenario Analysis'!N226&gt;0,N241/'Scenario Analysis'!N226,0)</f>
        <v>0.620866494067571</v>
      </c>
      <c r="O250" s="18" t="n">
        <f aca="false">IF('Scenario Analysis'!O226&gt;0,O241/'Scenario Analysis'!O226,0)</f>
        <v>0.615638694487691</v>
      </c>
      <c r="P250" s="18" t="n">
        <f aca="false">IF('Scenario Analysis'!P226&gt;0,P241/'Scenario Analysis'!P226,0)</f>
        <v>0.609640276595168</v>
      </c>
      <c r="Q250" s="18" t="n">
        <f aca="false">IF('Scenario Analysis'!Q226&gt;0,Q241/'Scenario Analysis'!Q226,0)</f>
        <v>0.602858058899942</v>
      </c>
      <c r="R250" s="18" t="n">
        <f aca="false">IF('Scenario Analysis'!R226&gt;0,R241/'Scenario Analysis'!R226,0)</f>
        <v>0.595546424319099</v>
      </c>
      <c r="S250" s="18" t="n">
        <f aca="false">IF('Scenario Analysis'!S226&gt;0,S241/'Scenario Analysis'!S226,0)</f>
        <v>0.587827260807327</v>
      </c>
      <c r="T250" s="18" t="n">
        <f aca="false">IF('Scenario Analysis'!T226&gt;0,T241/'Scenario Analysis'!T226,0)</f>
        <v>0.579706556637314</v>
      </c>
      <c r="U250" s="18" t="n">
        <f aca="false">IF('Scenario Analysis'!U226&gt;0,U241/'Scenario Analysis'!U226,0)</f>
        <v>0.571180577730864</v>
      </c>
      <c r="V250" s="18" t="n">
        <f aca="false">IF('Scenario Analysis'!V226&gt;0,V241/'Scenario Analysis'!V226,0)</f>
        <v>0.562259866503494</v>
      </c>
      <c r="W250" s="18" t="n">
        <f aca="false">IF('Scenario Analysis'!W226&gt;0,W241/'Scenario Analysis'!W226,0)</f>
        <v>0.543650556351704</v>
      </c>
      <c r="X250" s="18" t="n">
        <f aca="false">IF('Scenario Analysis'!X226&gt;0,X241/'Scenario Analysis'!X226,0)</f>
        <v>0.515178061196182</v>
      </c>
      <c r="Y250" s="18" t="n">
        <f aca="false">IF('Scenario Analysis'!Y226&gt;0,Y241/'Scenario Analysis'!Y226,0)</f>
        <v>0.478273463900736</v>
      </c>
      <c r="Z250" s="18" t="n">
        <f aca="false">IF('Scenario Analysis'!Z226&gt;0,Z241/'Scenario Analysis'!Z226,0)</f>
        <v>0.428893068508353</v>
      </c>
      <c r="AA250" s="18" t="n">
        <f aca="false">IF('Scenario Analysis'!AA226&gt;0,AA241/'Scenario Analysis'!AA226,0)</f>
        <v>0.335281443460273</v>
      </c>
      <c r="AB250" s="18" t="n">
        <f aca="false">IF('Scenario Analysis'!AB226&gt;0,AB241/'Scenario Analysis'!AB226,0)</f>
        <v>0.197036658595442</v>
      </c>
      <c r="AC250" s="18" t="n">
        <f aca="false">IF('Scenario Analysis'!AC226&gt;0,AC241/'Scenario Analysis'!AC226,0)</f>
        <v>0</v>
      </c>
      <c r="AD250" s="18" t="n">
        <f aca="false">IF('Scenario Analysis'!AD226&gt;0,AD241/'Scenario Analysis'!AD226,0)</f>
        <v>0</v>
      </c>
      <c r="AE250" s="18" t="n">
        <f aca="false">IF('Scenario Analysis'!AE226&gt;0,AE241/'Scenario Analysis'!AE226,0)</f>
        <v>0</v>
      </c>
      <c r="AF250" s="18" t="n">
        <f aca="false">IF('Scenario Analysis'!AF226&gt;0,AF241/'Scenario Analysis'!AF226,0)</f>
        <v>0</v>
      </c>
      <c r="AG250" s="18" t="n">
        <f aca="false">IF('Scenario Analysis'!AG226&gt;0,AG241/'Scenario Analysis'!AG226,0)</f>
        <v>0</v>
      </c>
      <c r="AH250" s="18" t="n">
        <f aca="false">IF('Scenario Analysis'!AH226&gt;0,AH241/'Scenario Analysis'!AH226,0)</f>
        <v>0</v>
      </c>
      <c r="AI250" s="18" t="n">
        <f aca="false">IF('Scenario Analysis'!AI226&gt;0,AI241/'Scenario Analysis'!AI226,0)</f>
        <v>0</v>
      </c>
      <c r="AJ250" s="18" t="n">
        <f aca="false">IF('Scenario Analysis'!AJ226&gt;0,AJ241/'Scenario Analysis'!AJ226,0)</f>
        <v>0</v>
      </c>
      <c r="AK250" s="18" t="n">
        <f aca="false">IF('Scenario Analysis'!AK226&gt;0,AK241/'Scenario Analysis'!AK226,0)</f>
        <v>0</v>
      </c>
      <c r="AL250" s="18" t="n">
        <f aca="false">IF('Scenario Analysis'!AL226&gt;0,AL241/'Scenario Analysis'!AL226,0)</f>
        <v>0</v>
      </c>
      <c r="AM250" s="18" t="n">
        <f aca="false">IF('Scenario Analysis'!AM226&gt;0,AM241/'Scenario Analysis'!AM226,0)</f>
        <v>0</v>
      </c>
      <c r="AN250" s="18" t="n">
        <f aca="false">IF('Scenario Analysis'!AN226&gt;0,AN241/'Scenario Analysis'!AN226,0)</f>
        <v>0</v>
      </c>
    </row>
    <row r="251" customFormat="false" ht="15" hidden="false" customHeight="false" outlineLevel="0" collapsed="false">
      <c r="A251" s="5" t="s">
        <v>156</v>
      </c>
      <c r="E251" s="39" t="n">
        <f aca="false">MAX(0,E241-'Inputs &amp; Assumptions'!$C$31*'Scenario Analysis'!E226)</f>
        <v>0</v>
      </c>
      <c r="F251" s="39" t="n">
        <f aca="false">MAX(0,F241-'Inputs &amp; Assumptions'!$C$31*'Scenario Analysis'!F226)</f>
        <v>0</v>
      </c>
      <c r="G251" s="39" t="n">
        <f aca="false">MAX(0,G241-'Inputs &amp; Assumptions'!$C$31*'Scenario Analysis'!G226)</f>
        <v>0</v>
      </c>
      <c r="H251" s="39" t="n">
        <f aca="false">MAX(0,H241-'Inputs &amp; Assumptions'!$C$31*'Scenario Analysis'!H226)</f>
        <v>0</v>
      </c>
      <c r="I251" s="39" t="n">
        <f aca="false">MAX(0,I241-'Inputs &amp; Assumptions'!$C$31*'Scenario Analysis'!I226)</f>
        <v>0</v>
      </c>
      <c r="J251" s="39" t="n">
        <f aca="false">MAX(0,J241-'Inputs &amp; Assumptions'!$C$31*'Scenario Analysis'!J226)</f>
        <v>0</v>
      </c>
      <c r="K251" s="39" t="n">
        <f aca="false">MAX(0,K241-'Inputs &amp; Assumptions'!$C$31*'Scenario Analysis'!K226)</f>
        <v>0</v>
      </c>
      <c r="L251" s="39" t="n">
        <f aca="false">MAX(0,L241-'Inputs &amp; Assumptions'!$C$31*'Scenario Analysis'!L226)</f>
        <v>0</v>
      </c>
      <c r="M251" s="39" t="n">
        <f aca="false">MAX(0,M241-'Inputs &amp; Assumptions'!$C$31*'Scenario Analysis'!M226)</f>
        <v>0</v>
      </c>
      <c r="N251" s="39" t="n">
        <f aca="false">MAX(0,N241-'Inputs &amp; Assumptions'!$C$31*'Scenario Analysis'!N226)</f>
        <v>0</v>
      </c>
      <c r="O251" s="39" t="n">
        <f aca="false">MAX(0,O241-'Inputs &amp; Assumptions'!$C$31*'Scenario Analysis'!O226)</f>
        <v>0</v>
      </c>
      <c r="P251" s="39" t="n">
        <f aca="false">MAX(0,P241-'Inputs &amp; Assumptions'!$C$31*'Scenario Analysis'!P226)</f>
        <v>0</v>
      </c>
      <c r="Q251" s="39" t="n">
        <f aca="false">MAX(0,Q241-'Inputs &amp; Assumptions'!$C$31*'Scenario Analysis'!Q226)</f>
        <v>0</v>
      </c>
      <c r="R251" s="39" t="n">
        <f aca="false">MAX(0,R241-'Inputs &amp; Assumptions'!$C$31*'Scenario Analysis'!R226)</f>
        <v>0</v>
      </c>
      <c r="S251" s="39" t="n">
        <f aca="false">MAX(0,S241-'Inputs &amp; Assumptions'!$C$31*'Scenario Analysis'!S226)</f>
        <v>0</v>
      </c>
      <c r="T251" s="39" t="n">
        <f aca="false">MAX(0,T241-'Inputs &amp; Assumptions'!$C$31*'Scenario Analysis'!T226)</f>
        <v>0</v>
      </c>
      <c r="U251" s="39" t="n">
        <f aca="false">MAX(0,U241-'Inputs &amp; Assumptions'!$C$31*'Scenario Analysis'!U226)</f>
        <v>0</v>
      </c>
      <c r="V251" s="39" t="n">
        <f aca="false">MAX(0,V241-'Inputs &amp; Assumptions'!$C$31*'Scenario Analysis'!V226)</f>
        <v>0</v>
      </c>
      <c r="W251" s="39" t="n">
        <f aca="false">MAX(0,W241-'Inputs &amp; Assumptions'!$C$31*'Scenario Analysis'!W226)</f>
        <v>0</v>
      </c>
      <c r="X251" s="39" t="n">
        <f aca="false">MAX(0,X241-'Inputs &amp; Assumptions'!$C$31*'Scenario Analysis'!X226)</f>
        <v>0</v>
      </c>
      <c r="Y251" s="39" t="n">
        <f aca="false">MAX(0,Y241-'Inputs &amp; Assumptions'!$C$31*'Scenario Analysis'!Y226)</f>
        <v>0</v>
      </c>
      <c r="Z251" s="39" t="n">
        <f aca="false">MAX(0,Z241-'Inputs &amp; Assumptions'!$C$31*'Scenario Analysis'!Z226)</f>
        <v>0</v>
      </c>
      <c r="AA251" s="39" t="n">
        <f aca="false">MAX(0,AA241-'Inputs &amp; Assumptions'!$C$31*'Scenario Analysis'!AA226)</f>
        <v>0</v>
      </c>
      <c r="AB251" s="39" t="n">
        <f aca="false">MAX(0,AB241-'Inputs &amp; Assumptions'!$C$31*'Scenario Analysis'!AB226)</f>
        <v>0</v>
      </c>
      <c r="AC251" s="39" t="n">
        <f aca="false">MAX(0,AC241-'Inputs &amp; Assumptions'!$C$31*'Scenario Analysis'!AC226)</f>
        <v>0</v>
      </c>
      <c r="AD251" s="39" t="n">
        <f aca="false">MAX(0,AD241-'Inputs &amp; Assumptions'!$C$31*'Scenario Analysis'!AD226)</f>
        <v>0</v>
      </c>
      <c r="AE251" s="39" t="n">
        <f aca="false">MAX(0,AE241-'Inputs &amp; Assumptions'!$C$31*'Scenario Analysis'!AE226)</f>
        <v>0</v>
      </c>
      <c r="AF251" s="39" t="n">
        <f aca="false">MAX(0,AF241-'Inputs &amp; Assumptions'!$C$31*'Scenario Analysis'!AF226)</f>
        <v>0</v>
      </c>
      <c r="AG251" s="39" t="n">
        <f aca="false">MAX(0,AG241-'Inputs &amp; Assumptions'!$C$31*'Scenario Analysis'!AG226)</f>
        <v>0</v>
      </c>
      <c r="AH251" s="39" t="n">
        <f aca="false">MAX(0,AH241-'Inputs &amp; Assumptions'!$C$31*'Scenario Analysis'!AH226)</f>
        <v>0</v>
      </c>
      <c r="AI251" s="39" t="n">
        <f aca="false">MAX(0,AI241-'Inputs &amp; Assumptions'!$C$31*'Scenario Analysis'!AI226)</f>
        <v>0</v>
      </c>
      <c r="AJ251" s="39" t="n">
        <f aca="false">MAX(0,AJ241-'Inputs &amp; Assumptions'!$C$31*'Scenario Analysis'!AJ226)</f>
        <v>0</v>
      </c>
      <c r="AK251" s="39" t="n">
        <f aca="false">MAX(0,AK241-'Inputs &amp; Assumptions'!$C$31*'Scenario Analysis'!AK226)</f>
        <v>0</v>
      </c>
      <c r="AL251" s="39" t="n">
        <f aca="false">MAX(0,AL241-'Inputs &amp; Assumptions'!$C$31*'Scenario Analysis'!AL226)</f>
        <v>0</v>
      </c>
      <c r="AM251" s="39" t="n">
        <f aca="false">MAX(0,AM241-'Inputs &amp; Assumptions'!$C$31*'Scenario Analysis'!AM226)</f>
        <v>0</v>
      </c>
      <c r="AN251" s="39" t="n">
        <f aca="false">MAX(0,AN241-'Inputs &amp; Assumptions'!$C$31*'Scenario Analysis'!AN226)</f>
        <v>0</v>
      </c>
    </row>
    <row r="252" customFormat="false" ht="15" hidden="false" customHeight="false" outlineLevel="0" collapsed="false">
      <c r="A252" s="5" t="s">
        <v>157</v>
      </c>
      <c r="E252" s="39" t="n">
        <f aca="false">MIN(E248,E251)</f>
        <v>0</v>
      </c>
      <c r="F252" s="39" t="n">
        <f aca="false">MIN(F248,F251)</f>
        <v>0</v>
      </c>
      <c r="G252" s="39" t="n">
        <f aca="false">MIN(G248,G251)</f>
        <v>0</v>
      </c>
      <c r="H252" s="39" t="n">
        <f aca="false">MIN(H248,H251)</f>
        <v>0</v>
      </c>
      <c r="I252" s="39" t="n">
        <f aca="false">MIN(I248,I251)</f>
        <v>0</v>
      </c>
      <c r="J252" s="39" t="n">
        <f aca="false">MIN(J248,J251)</f>
        <v>0</v>
      </c>
      <c r="K252" s="39" t="n">
        <f aca="false">MIN(K248,K251)</f>
        <v>0</v>
      </c>
      <c r="L252" s="39" t="n">
        <f aca="false">MIN(L248,L251)</f>
        <v>0</v>
      </c>
      <c r="M252" s="39" t="n">
        <f aca="false">MIN(M248,M251)</f>
        <v>0</v>
      </c>
      <c r="N252" s="39" t="n">
        <f aca="false">MIN(N248,N251)</f>
        <v>0</v>
      </c>
      <c r="O252" s="39" t="n">
        <f aca="false">MIN(O248,O251)</f>
        <v>0</v>
      </c>
      <c r="P252" s="39" t="n">
        <f aca="false">MIN(P248,P251)</f>
        <v>0</v>
      </c>
      <c r="Q252" s="39" t="n">
        <f aca="false">MIN(Q248,Q251)</f>
        <v>0</v>
      </c>
      <c r="R252" s="39" t="n">
        <f aca="false">MIN(R248,R251)</f>
        <v>0</v>
      </c>
      <c r="S252" s="39" t="n">
        <f aca="false">MIN(S248,S251)</f>
        <v>0</v>
      </c>
      <c r="T252" s="39" t="n">
        <f aca="false">MIN(T248,T251)</f>
        <v>0</v>
      </c>
      <c r="U252" s="39" t="n">
        <f aca="false">MIN(U248,U251)</f>
        <v>0</v>
      </c>
      <c r="V252" s="39" t="n">
        <f aca="false">MIN(V248,V251)</f>
        <v>0</v>
      </c>
      <c r="W252" s="39" t="n">
        <f aca="false">MIN(W248,W251)</f>
        <v>0</v>
      </c>
      <c r="X252" s="39" t="n">
        <f aca="false">MIN(X248,X251)</f>
        <v>0</v>
      </c>
      <c r="Y252" s="39" t="n">
        <f aca="false">MIN(Y248,Y251)</f>
        <v>0</v>
      </c>
      <c r="Z252" s="39" t="n">
        <f aca="false">MIN(Z248,Z251)</f>
        <v>0</v>
      </c>
      <c r="AA252" s="39" t="n">
        <f aca="false">MIN(AA248,AA251)</f>
        <v>0</v>
      </c>
      <c r="AB252" s="39" t="n">
        <f aca="false">MIN(AB248,AB251)</f>
        <v>0</v>
      </c>
      <c r="AC252" s="39" t="n">
        <f aca="false">MIN(AC248,AC251)</f>
        <v>0</v>
      </c>
      <c r="AD252" s="39" t="n">
        <f aca="false">MIN(AD248,AD251)</f>
        <v>0</v>
      </c>
      <c r="AE252" s="39" t="n">
        <f aca="false">MIN(AE248,AE251)</f>
        <v>0</v>
      </c>
      <c r="AF252" s="39" t="n">
        <f aca="false">MIN(AF248,AF251)</f>
        <v>0</v>
      </c>
      <c r="AG252" s="39" t="n">
        <f aca="false">MIN(AG248,AG251)</f>
        <v>0</v>
      </c>
      <c r="AH252" s="39" t="n">
        <f aca="false">MIN(AH248,AH251)</f>
        <v>0</v>
      </c>
      <c r="AI252" s="39" t="n">
        <f aca="false">MIN(AI248,AI251)</f>
        <v>0</v>
      </c>
      <c r="AJ252" s="39" t="n">
        <f aca="false">MIN(AJ248,AJ251)</f>
        <v>0</v>
      </c>
      <c r="AK252" s="39" t="n">
        <f aca="false">MIN(AK248,AK251)</f>
        <v>0</v>
      </c>
      <c r="AL252" s="39" t="n">
        <f aca="false">MIN(AL248,AL251)</f>
        <v>0</v>
      </c>
      <c r="AM252" s="39" t="n">
        <f aca="false">MIN(AM248,AM251)</f>
        <v>0</v>
      </c>
      <c r="AN252" s="39" t="n">
        <f aca="false">MIN(AN248,AN251)</f>
        <v>0</v>
      </c>
    </row>
    <row r="253" customFormat="false" ht="15" hidden="false" customHeight="false" outlineLevel="0" collapsed="false">
      <c r="A253" s="5" t="s">
        <v>158</v>
      </c>
      <c r="E253" s="39" t="n">
        <f aca="false">E248-E252</f>
        <v>6548569.6986671</v>
      </c>
      <c r="F253" s="39" t="n">
        <f aca="false">F248-F252</f>
        <v>6191480.45112837</v>
      </c>
      <c r="G253" s="39" t="n">
        <f aca="false">G248-G252</f>
        <v>5835380.65700377</v>
      </c>
      <c r="H253" s="39" t="n">
        <f aca="false">H248-H252</f>
        <v>5482117.8339922</v>
      </c>
      <c r="I253" s="39" t="n">
        <f aca="false">I248-I252</f>
        <v>5134932.99141046</v>
      </c>
      <c r="J253" s="39" t="n">
        <f aca="false">J248-J252</f>
        <v>4806376.82571798</v>
      </c>
      <c r="K253" s="39" t="n">
        <f aca="false">K248-K252</f>
        <v>4501604.4531569</v>
      </c>
      <c r="L253" s="39" t="n">
        <f aca="false">L248-L252</f>
        <v>4219325.0181179</v>
      </c>
      <c r="M253" s="39" t="n">
        <f aca="false">M248-M252</f>
        <v>3957138.86438253</v>
      </c>
      <c r="N253" s="39" t="n">
        <f aca="false">N248-N252</f>
        <v>3738582.26957266</v>
      </c>
      <c r="O253" s="39" t="n">
        <f aca="false">O248-O252</f>
        <v>3536646.02031623</v>
      </c>
      <c r="P253" s="39" t="n">
        <f aca="false">P248-P252</f>
        <v>3350009.86539706</v>
      </c>
      <c r="Q253" s="39" t="n">
        <f aca="false">Q248-Q252</f>
        <v>3176434.79259009</v>
      </c>
      <c r="R253" s="39" t="n">
        <f aca="false">R248-R252</f>
        <v>3014047.93309351</v>
      </c>
      <c r="S253" s="39" t="n">
        <f aca="false">S248-S252</f>
        <v>2862212.0863166</v>
      </c>
      <c r="T253" s="39" t="n">
        <f aca="false">T248-T252</f>
        <v>2720206.17780756</v>
      </c>
      <c r="U253" s="39" t="n">
        <f aca="false">U248-U252</f>
        <v>2586646.80234517</v>
      </c>
      <c r="V253" s="39" t="n">
        <f aca="false">V248-V252</f>
        <v>2460855.75319461</v>
      </c>
      <c r="W253" s="39" t="n">
        <f aca="false">W248-W252</f>
        <v>2219212.72079253</v>
      </c>
      <c r="X253" s="39" t="n">
        <f aca="false">X248-X252</f>
        <v>1935876.04259351</v>
      </c>
      <c r="Y253" s="39" t="n">
        <f aca="false">Y248-Y252</f>
        <v>1674300.18969618</v>
      </c>
      <c r="Z253" s="39" t="n">
        <f aca="false">Z248-Z252</f>
        <v>1433364.03742173</v>
      </c>
      <c r="AA253" s="39" t="n">
        <f aca="false">AA248-AA252</f>
        <v>1235082.01022855</v>
      </c>
      <c r="AB253" s="39" t="n">
        <f aca="false">AB248-AB252</f>
        <v>1053029.53134304</v>
      </c>
      <c r="AC253" s="39" t="n">
        <f aca="false">AC248-AC252</f>
        <v>872022.439113291</v>
      </c>
      <c r="AD253" s="39" t="n">
        <f aca="false">AD248-AD252</f>
        <v>572233.343097586</v>
      </c>
      <c r="AE253" s="39" t="n">
        <f aca="false">AE248-AE252</f>
        <v>296378.203067178</v>
      </c>
      <c r="AF253" s="39" t="n">
        <f aca="false">AF248-AF252</f>
        <v>42922.1005993885</v>
      </c>
      <c r="AG253" s="39" t="n">
        <f aca="false">AG248-AG252</f>
        <v>0</v>
      </c>
      <c r="AH253" s="39" t="n">
        <f aca="false">AH248-AH252</f>
        <v>0</v>
      </c>
      <c r="AI253" s="39" t="n">
        <f aca="false">AI248-AI252</f>
        <v>0</v>
      </c>
      <c r="AJ253" s="39" t="n">
        <f aca="false">AJ248-AJ252</f>
        <v>0</v>
      </c>
      <c r="AK253" s="39" t="n">
        <f aca="false">AK248-AK252</f>
        <v>0</v>
      </c>
      <c r="AL253" s="39" t="n">
        <f aca="false">AL248-AL252</f>
        <v>0</v>
      </c>
      <c r="AM253" s="39" t="n">
        <f aca="false">AM248-AM252</f>
        <v>0</v>
      </c>
      <c r="AN253" s="39" t="n">
        <f aca="false">AN248-AN252</f>
        <v>0</v>
      </c>
    </row>
    <row r="254" customFormat="false" ht="15" hidden="false" customHeight="false" outlineLevel="0" collapsed="false">
      <c r="A254" s="5" t="s">
        <v>159</v>
      </c>
      <c r="E254" s="39" t="n">
        <f aca="false">E253</f>
        <v>6548569.6986671</v>
      </c>
      <c r="F254" s="39" t="n">
        <f aca="false">F253</f>
        <v>6191480.45112837</v>
      </c>
      <c r="G254" s="39" t="n">
        <f aca="false">G253</f>
        <v>5835380.65700377</v>
      </c>
      <c r="H254" s="39" t="n">
        <f aca="false">H253</f>
        <v>5482117.8339922</v>
      </c>
      <c r="I254" s="39" t="n">
        <f aca="false">I253</f>
        <v>5134932.99141046</v>
      </c>
      <c r="J254" s="39" t="n">
        <f aca="false">J253</f>
        <v>4806376.82571798</v>
      </c>
      <c r="K254" s="39" t="n">
        <f aca="false">K253</f>
        <v>4501604.4531569</v>
      </c>
      <c r="L254" s="39" t="n">
        <f aca="false">L253</f>
        <v>4219325.0181179</v>
      </c>
      <c r="M254" s="39" t="n">
        <f aca="false">M253</f>
        <v>3957138.86438253</v>
      </c>
      <c r="N254" s="39" t="n">
        <f aca="false">N253</f>
        <v>3738582.26957266</v>
      </c>
      <c r="O254" s="39" t="n">
        <f aca="false">O253</f>
        <v>3536646.02031623</v>
      </c>
      <c r="P254" s="39" t="n">
        <f aca="false">P253</f>
        <v>3350009.86539706</v>
      </c>
      <c r="Q254" s="39" t="n">
        <f aca="false">Q253</f>
        <v>3176434.79259009</v>
      </c>
      <c r="R254" s="39" t="n">
        <f aca="false">R253</f>
        <v>3014047.93309351</v>
      </c>
      <c r="S254" s="39" t="n">
        <f aca="false">S253</f>
        <v>2862212.0863166</v>
      </c>
      <c r="T254" s="39" t="n">
        <f aca="false">T253</f>
        <v>2720206.17780756</v>
      </c>
      <c r="U254" s="39" t="n">
        <f aca="false">U253</f>
        <v>2586646.80234517</v>
      </c>
      <c r="V254" s="39" t="n">
        <f aca="false">V253</f>
        <v>2460855.75319461</v>
      </c>
      <c r="W254" s="39" t="n">
        <f aca="false">W253</f>
        <v>2219212.72079253</v>
      </c>
      <c r="X254" s="39" t="n">
        <f aca="false">X253</f>
        <v>1935876.04259351</v>
      </c>
      <c r="Y254" s="39" t="n">
        <f aca="false">Y253</f>
        <v>1674300.18969618</v>
      </c>
      <c r="Z254" s="39" t="n">
        <f aca="false">Z253</f>
        <v>1433364.03742173</v>
      </c>
      <c r="AA254" s="39" t="n">
        <f aca="false">AA253</f>
        <v>1235082.01022855</v>
      </c>
      <c r="AB254" s="39" t="n">
        <f aca="false">AB253</f>
        <v>1053029.53134304</v>
      </c>
      <c r="AC254" s="39" t="n">
        <f aca="false">AC253</f>
        <v>872022.439113291</v>
      </c>
      <c r="AD254" s="39" t="n">
        <f aca="false">AD253</f>
        <v>572233.343097586</v>
      </c>
      <c r="AE254" s="39" t="n">
        <f aca="false">AE253</f>
        <v>296378.203067178</v>
      </c>
      <c r="AF254" s="39" t="n">
        <f aca="false">AF253</f>
        <v>42922.1005993885</v>
      </c>
      <c r="AG254" s="39" t="n">
        <f aca="false">AG253</f>
        <v>0</v>
      </c>
      <c r="AH254" s="39" t="n">
        <f aca="false">AH253</f>
        <v>0</v>
      </c>
      <c r="AI254" s="39" t="n">
        <f aca="false">AI253</f>
        <v>0</v>
      </c>
      <c r="AJ254" s="39" t="n">
        <f aca="false">AJ253</f>
        <v>0</v>
      </c>
      <c r="AK254" s="39" t="n">
        <f aca="false">AK253</f>
        <v>0</v>
      </c>
      <c r="AL254" s="39" t="n">
        <f aca="false">AL253</f>
        <v>0</v>
      </c>
      <c r="AM254" s="39" t="n">
        <f aca="false">AM253</f>
        <v>0</v>
      </c>
      <c r="AN254" s="39" t="n">
        <f aca="false">AN253</f>
        <v>0</v>
      </c>
    </row>
    <row r="255" customFormat="false" ht="15" hidden="false" customHeight="false" outlineLevel="0" collapsed="false">
      <c r="A255" s="14" t="s">
        <v>160</v>
      </c>
      <c r="E255" s="39" t="n">
        <f aca="false">'Scenario Analysis'!E231</f>
        <v>22222233.4383883</v>
      </c>
      <c r="F255" s="39" t="n">
        <f aca="false">'Scenario Analysis'!F231</f>
        <v>22656610.838063</v>
      </c>
      <c r="G255" s="39" t="n">
        <f aca="false">'Scenario Analysis'!G231</f>
        <v>22976582.7805127</v>
      </c>
      <c r="H255" s="39" t="n">
        <f aca="false">'Scenario Analysis'!H231</f>
        <v>23194403.1684861</v>
      </c>
      <c r="I255" s="39" t="n">
        <f aca="false">'Scenario Analysis'!I231</f>
        <v>22297125.6047726</v>
      </c>
      <c r="J255" s="39" t="n">
        <f aca="false">'Scenario Analysis'!J231</f>
        <v>20938891.2380424</v>
      </c>
      <c r="K255" s="39" t="n">
        <f aca="false">'Scenario Analysis'!K231</f>
        <v>19673690.3925594</v>
      </c>
      <c r="L255" s="39" t="n">
        <f aca="false">'Scenario Analysis'!L231</f>
        <v>18496074.4906733</v>
      </c>
      <c r="M255" s="39" t="n">
        <f aca="false">'Scenario Analysis'!M231</f>
        <v>20744778.1373995</v>
      </c>
      <c r="N255" s="39" t="n">
        <f aca="false">'Scenario Analysis'!N231</f>
        <v>19603973.0805032</v>
      </c>
      <c r="O255" s="39" t="n">
        <f aca="false">'Scenario Analysis'!O231</f>
        <v>18492791.9817348</v>
      </c>
      <c r="P255" s="39" t="n">
        <f aca="false">'Scenario Analysis'!P231</f>
        <v>17429477.8957012</v>
      </c>
      <c r="Q255" s="39" t="n">
        <f aca="false">'Scenario Analysis'!Q231</f>
        <v>16365278.4081526</v>
      </c>
      <c r="R255" s="39" t="n">
        <f aca="false">'Scenario Analysis'!R231</f>
        <v>15338034.5618237</v>
      </c>
      <c r="S255" s="39" t="n">
        <f aca="false">'Scenario Analysis'!S231</f>
        <v>14355295.1757517</v>
      </c>
      <c r="T255" s="39" t="n">
        <f aca="false">'Scenario Analysis'!T231</f>
        <v>13427673.2233139</v>
      </c>
      <c r="U255" s="39" t="n">
        <f aca="false">'Scenario Analysis'!U231</f>
        <v>12582127.9641007</v>
      </c>
      <c r="V255" s="39" t="n">
        <f aca="false">'Scenario Analysis'!V231</f>
        <v>23364295.1723994</v>
      </c>
      <c r="W255" s="39" t="n">
        <f aca="false">'Scenario Analysis'!W231</f>
        <v>27266783.2809016</v>
      </c>
      <c r="X255" s="39" t="n">
        <f aca="false">'Scenario Analysis'!X231</f>
        <v>25218800.4747574</v>
      </c>
      <c r="Y255" s="39" t="n">
        <f aca="false">'Scenario Analysis'!Y231</f>
        <v>23304841.6355556</v>
      </c>
      <c r="Z255" s="39" t="n">
        <f aca="false">'Scenario Analysis'!Z231</f>
        <v>21527429.0314644</v>
      </c>
      <c r="AA255" s="39" t="n">
        <f aca="false">'Scenario Analysis'!AA231</f>
        <v>19856309.5793273</v>
      </c>
      <c r="AB255" s="39" t="n">
        <f aca="false">'Scenario Analysis'!AB231</f>
        <v>18290107.5240033</v>
      </c>
      <c r="AC255" s="39" t="n">
        <f aca="false">'Scenario Analysis'!AC231</f>
        <v>16891450.6578322</v>
      </c>
      <c r="AD255" s="39" t="n">
        <f aca="false">'Scenario Analysis'!AD231</f>
        <v>15590033.4935181</v>
      </c>
      <c r="AE255" s="39" t="n">
        <f aca="false">'Scenario Analysis'!AE231</f>
        <v>14344086.4551609</v>
      </c>
      <c r="AF255" s="39" t="n">
        <f aca="false">'Scenario Analysis'!AF231</f>
        <v>4819993.39882266</v>
      </c>
      <c r="AG255" s="39" t="n">
        <f aca="false">'Scenario Analysis'!AG231</f>
        <v>349789.205339385</v>
      </c>
      <c r="AH255" s="39" t="n">
        <f aca="false">'Scenario Analysis'!AH231</f>
        <v>282459.940484273</v>
      </c>
      <c r="AI255" s="39" t="n">
        <f aca="false">'Scenario Analysis'!AI231</f>
        <v>220458.410861441</v>
      </c>
      <c r="AJ255" s="39" t="n">
        <f aca="false">'Scenario Analysis'!AJ231</f>
        <v>163435.903871403</v>
      </c>
      <c r="AK255" s="39" t="n">
        <f aca="false">'Scenario Analysis'!AK231</f>
        <v>117754.15074854</v>
      </c>
      <c r="AL255" s="39" t="n">
        <f aca="false">'Scenario Analysis'!AL231</f>
        <v>78941.0232358007</v>
      </c>
      <c r="AM255" s="39" t="n">
        <f aca="false">'Scenario Analysis'!AM231</f>
        <v>43226.5797575633</v>
      </c>
      <c r="AN255" s="39" t="n">
        <f aca="false">'Scenario Analysis'!AN231</f>
        <v>10412.0973273921</v>
      </c>
    </row>
    <row r="256" customFormat="false" ht="15" hidden="false" customHeight="false" outlineLevel="0" collapsed="false">
      <c r="A256" s="5" t="s">
        <v>161</v>
      </c>
      <c r="E256" s="39" t="n">
        <f aca="false">MIN(E255,'Inputs &amp; Assumptions'!$C$36-E245)</f>
        <v>0</v>
      </c>
      <c r="F256" s="39" t="n">
        <f aca="false">MIN(F255,'Inputs &amp; Assumptions'!$C$36-F245)</f>
        <v>0</v>
      </c>
      <c r="G256" s="39" t="n">
        <f aca="false">MIN(G255,'Inputs &amp; Assumptions'!$C$36-G245)</f>
        <v>0</v>
      </c>
      <c r="H256" s="39" t="n">
        <f aca="false">MIN(H255,'Inputs &amp; Assumptions'!$C$36-H245)</f>
        <v>0</v>
      </c>
      <c r="I256" s="39" t="n">
        <f aca="false">MIN(I255,'Inputs &amp; Assumptions'!$C$36-I245)</f>
        <v>0</v>
      </c>
      <c r="J256" s="39" t="n">
        <f aca="false">MIN(J255,'Inputs &amp; Assumptions'!$C$36-J245)</f>
        <v>0</v>
      </c>
      <c r="K256" s="39" t="n">
        <f aca="false">MIN(K255,'Inputs &amp; Assumptions'!$C$36-K245)</f>
        <v>0</v>
      </c>
      <c r="L256" s="39" t="n">
        <f aca="false">MIN(L255,'Inputs &amp; Assumptions'!$C$36-L245)</f>
        <v>0</v>
      </c>
      <c r="M256" s="39" t="n">
        <f aca="false">MIN(M255,'Inputs &amp; Assumptions'!$C$36-M245)</f>
        <v>0</v>
      </c>
      <c r="N256" s="39" t="n">
        <f aca="false">MIN(N255,'Inputs &amp; Assumptions'!$C$36-N245)</f>
        <v>0</v>
      </c>
      <c r="O256" s="39" t="n">
        <f aca="false">MIN(O255,'Inputs &amp; Assumptions'!$C$36-O245)</f>
        <v>0</v>
      </c>
      <c r="P256" s="39" t="n">
        <f aca="false">MIN(P255,'Inputs &amp; Assumptions'!$C$36-P245)</f>
        <v>0</v>
      </c>
      <c r="Q256" s="39" t="n">
        <f aca="false">MIN(Q255,'Inputs &amp; Assumptions'!$C$36-Q245)</f>
        <v>0</v>
      </c>
      <c r="R256" s="39" t="n">
        <f aca="false">MIN(R255,'Inputs &amp; Assumptions'!$C$36-R245)</f>
        <v>0</v>
      </c>
      <c r="S256" s="39" t="n">
        <f aca="false">MIN(S255,'Inputs &amp; Assumptions'!$C$36-S245)</f>
        <v>0</v>
      </c>
      <c r="T256" s="39" t="n">
        <f aca="false">MIN(T255,'Inputs &amp; Assumptions'!$C$36-T245)</f>
        <v>0</v>
      </c>
      <c r="U256" s="39" t="n">
        <f aca="false">MIN(U255,'Inputs &amp; Assumptions'!$C$36-U245)</f>
        <v>0</v>
      </c>
      <c r="V256" s="39" t="n">
        <f aca="false">MIN(V255,'Inputs &amp; Assumptions'!$C$36-V245)</f>
        <v>0</v>
      </c>
      <c r="W256" s="39" t="n">
        <f aca="false">MIN(W255,'Inputs &amp; Assumptions'!$C$36-W245)</f>
        <v>0</v>
      </c>
      <c r="X256" s="39" t="n">
        <f aca="false">MIN(X255,'Inputs &amp; Assumptions'!$C$36-X245)</f>
        <v>0</v>
      </c>
      <c r="Y256" s="39" t="n">
        <f aca="false">MIN(Y255,'Inputs &amp; Assumptions'!$C$36-Y245)</f>
        <v>0</v>
      </c>
      <c r="Z256" s="39" t="n">
        <f aca="false">MIN(Z255,'Inputs &amp; Assumptions'!$C$36-Z245)</f>
        <v>0</v>
      </c>
      <c r="AA256" s="39" t="n">
        <f aca="false">MIN(AA255,'Inputs &amp; Assumptions'!$C$36-AA245)</f>
        <v>0</v>
      </c>
      <c r="AB256" s="39" t="n">
        <f aca="false">MIN(AB255,'Inputs &amp; Assumptions'!$C$36-AB245)</f>
        <v>0</v>
      </c>
      <c r="AC256" s="39" t="n">
        <f aca="false">MIN(AC255,'Inputs &amp; Assumptions'!$C$36-AC245)</f>
        <v>0</v>
      </c>
      <c r="AD256" s="39" t="n">
        <f aca="false">MIN(AD255,'Inputs &amp; Assumptions'!$C$36-AD245)</f>
        <v>0</v>
      </c>
      <c r="AE256" s="39" t="n">
        <f aca="false">MIN(AE255,'Inputs &amp; Assumptions'!$C$36-AE245)</f>
        <v>0</v>
      </c>
      <c r="AF256" s="39" t="n">
        <f aca="false">MIN(AF255,'Inputs &amp; Assumptions'!$C$36-AF245)</f>
        <v>0</v>
      </c>
      <c r="AG256" s="39" t="n">
        <f aca="false">MIN(AG255,'Inputs &amp; Assumptions'!$C$36-AG245)</f>
        <v>37500</v>
      </c>
      <c r="AH256" s="39" t="n">
        <f aca="false">MIN(AH255,'Inputs &amp; Assumptions'!$C$36-AH245)</f>
        <v>37500</v>
      </c>
      <c r="AI256" s="39" t="n">
        <f aca="false">MIN(AI255,'Inputs &amp; Assumptions'!$C$36-AI245)</f>
        <v>37500</v>
      </c>
      <c r="AJ256" s="39" t="n">
        <f aca="false">MIN(AJ255,'Inputs &amp; Assumptions'!$C$36-AJ245)</f>
        <v>37500</v>
      </c>
      <c r="AK256" s="39" t="n">
        <f aca="false">MIN(AK255,'Inputs &amp; Assumptions'!$C$36-AK245)</f>
        <v>37500</v>
      </c>
      <c r="AL256" s="39" t="n">
        <f aca="false">MIN(AL255,'Inputs &amp; Assumptions'!$C$36-AL245)</f>
        <v>37500</v>
      </c>
      <c r="AM256" s="39" t="n">
        <f aca="false">MIN(AM255,'Inputs &amp; Assumptions'!$C$36-AM245)</f>
        <v>37500</v>
      </c>
      <c r="AN256" s="39" t="n">
        <f aca="false">MIN(AN255,'Inputs &amp; Assumptions'!$C$36-AN245)</f>
        <v>10412.0973273921</v>
      </c>
    </row>
    <row r="257" customFormat="false" ht="15" hidden="false" customHeight="false" outlineLevel="0" collapsed="false">
      <c r="A257" s="5" t="s">
        <v>162</v>
      </c>
      <c r="E257" s="39" t="n">
        <f aca="false">E255-E256</f>
        <v>22222233.4383883</v>
      </c>
      <c r="F257" s="39" t="n">
        <f aca="false">F255-F256</f>
        <v>22656610.838063</v>
      </c>
      <c r="G257" s="39" t="n">
        <f aca="false">G255-G256</f>
        <v>22976582.7805127</v>
      </c>
      <c r="H257" s="39" t="n">
        <f aca="false">H255-H256</f>
        <v>23194403.1684861</v>
      </c>
      <c r="I257" s="39" t="n">
        <f aca="false">I255-I256</f>
        <v>22297125.6047726</v>
      </c>
      <c r="J257" s="39" t="n">
        <f aca="false">J255-J256</f>
        <v>20938891.2380424</v>
      </c>
      <c r="K257" s="39" t="n">
        <f aca="false">K255-K256</f>
        <v>19673690.3925594</v>
      </c>
      <c r="L257" s="39" t="n">
        <f aca="false">L255-L256</f>
        <v>18496074.4906733</v>
      </c>
      <c r="M257" s="39" t="n">
        <f aca="false">M255-M256</f>
        <v>20744778.1373995</v>
      </c>
      <c r="N257" s="39" t="n">
        <f aca="false">N255-N256</f>
        <v>19603973.0805032</v>
      </c>
      <c r="O257" s="39" t="n">
        <f aca="false">O255-O256</f>
        <v>18492791.9817348</v>
      </c>
      <c r="P257" s="39" t="n">
        <f aca="false">P255-P256</f>
        <v>17429477.8957012</v>
      </c>
      <c r="Q257" s="39" t="n">
        <f aca="false">Q255-Q256</f>
        <v>16365278.4081526</v>
      </c>
      <c r="R257" s="39" t="n">
        <f aca="false">R255-R256</f>
        <v>15338034.5618237</v>
      </c>
      <c r="S257" s="39" t="n">
        <f aca="false">S255-S256</f>
        <v>14355295.1757517</v>
      </c>
      <c r="T257" s="39" t="n">
        <f aca="false">T255-T256</f>
        <v>13427673.2233139</v>
      </c>
      <c r="U257" s="39" t="n">
        <f aca="false">U255-U256</f>
        <v>12582127.9641007</v>
      </c>
      <c r="V257" s="39" t="n">
        <f aca="false">V255-V256</f>
        <v>23364295.1723994</v>
      </c>
      <c r="W257" s="39" t="n">
        <f aca="false">W255-W256</f>
        <v>27266783.2809016</v>
      </c>
      <c r="X257" s="39" t="n">
        <f aca="false">X255-X256</f>
        <v>25218800.4747574</v>
      </c>
      <c r="Y257" s="39" t="n">
        <f aca="false">Y255-Y256</f>
        <v>23304841.6355556</v>
      </c>
      <c r="Z257" s="39" t="n">
        <f aca="false">Z255-Z256</f>
        <v>21527429.0314644</v>
      </c>
      <c r="AA257" s="39" t="n">
        <f aca="false">AA255-AA256</f>
        <v>19856309.5793273</v>
      </c>
      <c r="AB257" s="39" t="n">
        <f aca="false">AB255-AB256</f>
        <v>18290107.5240033</v>
      </c>
      <c r="AC257" s="39" t="n">
        <f aca="false">AC255-AC256</f>
        <v>16891450.6578322</v>
      </c>
      <c r="AD257" s="39" t="n">
        <f aca="false">AD255-AD256</f>
        <v>15590033.4935181</v>
      </c>
      <c r="AE257" s="39" t="n">
        <f aca="false">AE255-AE256</f>
        <v>14344086.4551609</v>
      </c>
      <c r="AF257" s="39" t="n">
        <f aca="false">AF255-AF256</f>
        <v>4819993.39882266</v>
      </c>
      <c r="AG257" s="39" t="n">
        <f aca="false">AG255-AG256</f>
        <v>312289.205339385</v>
      </c>
      <c r="AH257" s="39" t="n">
        <f aca="false">AH255-AH256</f>
        <v>244959.940484273</v>
      </c>
      <c r="AI257" s="39" t="n">
        <f aca="false">AI255-AI256</f>
        <v>182958.410861441</v>
      </c>
      <c r="AJ257" s="39" t="n">
        <f aca="false">AJ255-AJ256</f>
        <v>125935.903871403</v>
      </c>
      <c r="AK257" s="39" t="n">
        <f aca="false">AK255-AK256</f>
        <v>80254.15074854</v>
      </c>
      <c r="AL257" s="39" t="n">
        <f aca="false">AL255-AL256</f>
        <v>41441.0232358007</v>
      </c>
      <c r="AM257" s="39" t="n">
        <f aca="false">AM255-AM256</f>
        <v>5726.57975756329</v>
      </c>
      <c r="AN257" s="39" t="n">
        <f aca="false">AN255-AN256</f>
        <v>0</v>
      </c>
    </row>
    <row r="258" customFormat="false" ht="15" hidden="false" customHeight="false" outlineLevel="0" collapsed="false">
      <c r="A258" s="5" t="s">
        <v>163</v>
      </c>
      <c r="E258" s="39" t="n">
        <f aca="false">MIN(E257,E249)</f>
        <v>0</v>
      </c>
      <c r="F258" s="39" t="n">
        <f aca="false">MIN(F257,F249)</f>
        <v>0</v>
      </c>
      <c r="G258" s="39" t="n">
        <f aca="false">MIN(G257,G249)</f>
        <v>0</v>
      </c>
      <c r="H258" s="39" t="n">
        <f aca="false">MIN(H257,H249)</f>
        <v>0</v>
      </c>
      <c r="I258" s="39" t="n">
        <f aca="false">MIN(I257,I249)</f>
        <v>0</v>
      </c>
      <c r="J258" s="39" t="n">
        <f aca="false">MIN(J257,J249)</f>
        <v>0</v>
      </c>
      <c r="K258" s="39" t="n">
        <f aca="false">MIN(K257,K249)</f>
        <v>0</v>
      </c>
      <c r="L258" s="39" t="n">
        <f aca="false">MIN(L257,L249)</f>
        <v>0</v>
      </c>
      <c r="M258" s="39" t="n">
        <f aca="false">MIN(M257,M249)</f>
        <v>0</v>
      </c>
      <c r="N258" s="39" t="n">
        <f aca="false">MIN(N257,N249)</f>
        <v>0</v>
      </c>
      <c r="O258" s="39" t="n">
        <f aca="false">MIN(O257,O249)</f>
        <v>0</v>
      </c>
      <c r="P258" s="39" t="n">
        <f aca="false">MIN(P257,P249)</f>
        <v>0</v>
      </c>
      <c r="Q258" s="39" t="n">
        <f aca="false">MIN(Q257,Q249)</f>
        <v>0</v>
      </c>
      <c r="R258" s="39" t="n">
        <f aca="false">MIN(R257,R249)</f>
        <v>0</v>
      </c>
      <c r="S258" s="39" t="n">
        <f aca="false">MIN(S257,S249)</f>
        <v>0</v>
      </c>
      <c r="T258" s="39" t="n">
        <f aca="false">MIN(T257,T249)</f>
        <v>0</v>
      </c>
      <c r="U258" s="39" t="n">
        <f aca="false">MIN(U257,U249)</f>
        <v>0</v>
      </c>
      <c r="V258" s="39" t="n">
        <f aca="false">MIN(V257,V249)</f>
        <v>0</v>
      </c>
      <c r="W258" s="39" t="n">
        <f aca="false">MIN(W257,W249)</f>
        <v>0</v>
      </c>
      <c r="X258" s="39" t="n">
        <f aca="false">MIN(X257,X249)</f>
        <v>0</v>
      </c>
      <c r="Y258" s="39" t="n">
        <f aca="false">MIN(Y257,Y249)</f>
        <v>0</v>
      </c>
      <c r="Z258" s="39" t="n">
        <f aca="false">MIN(Z257,Z249)</f>
        <v>0</v>
      </c>
      <c r="AA258" s="39" t="n">
        <f aca="false">MIN(AA257,AA249)</f>
        <v>0</v>
      </c>
      <c r="AB258" s="39" t="n">
        <f aca="false">MIN(AB257,AB249)</f>
        <v>0</v>
      </c>
      <c r="AC258" s="39" t="n">
        <f aca="false">MIN(AC257,AC249)</f>
        <v>0</v>
      </c>
      <c r="AD258" s="39" t="n">
        <f aca="false">MIN(AD257,AD249)</f>
        <v>0</v>
      </c>
      <c r="AE258" s="39" t="n">
        <f aca="false">MIN(AE257,AE249)</f>
        <v>0</v>
      </c>
      <c r="AF258" s="39" t="n">
        <f aca="false">MIN(AF257,AF249)</f>
        <v>0</v>
      </c>
      <c r="AG258" s="39" t="n">
        <f aca="false">MIN(AG257,AG249)</f>
        <v>0</v>
      </c>
      <c r="AH258" s="39" t="n">
        <f aca="false">MIN(AH257,AH249)</f>
        <v>0</v>
      </c>
      <c r="AI258" s="39" t="n">
        <f aca="false">MIN(AI257,AI249)</f>
        <v>0</v>
      </c>
      <c r="AJ258" s="39" t="n">
        <f aca="false">MIN(AJ257,AJ249)</f>
        <v>0</v>
      </c>
      <c r="AK258" s="39" t="n">
        <f aca="false">MIN(AK257,AK249)</f>
        <v>0</v>
      </c>
      <c r="AL258" s="39" t="n">
        <f aca="false">MIN(AL257,AL249)</f>
        <v>0</v>
      </c>
      <c r="AM258" s="39" t="n">
        <f aca="false">MIN(AM257,AM249)</f>
        <v>0</v>
      </c>
      <c r="AN258" s="39" t="n">
        <f aca="false">MIN(AN257,AN249)</f>
        <v>0</v>
      </c>
    </row>
    <row r="259" customFormat="false" ht="15" hidden="false" customHeight="false" outlineLevel="0" collapsed="false">
      <c r="A259" s="5" t="s">
        <v>164</v>
      </c>
      <c r="E259" s="39" t="n">
        <f aca="false">E257-E258</f>
        <v>22222233.4383883</v>
      </c>
      <c r="F259" s="39" t="n">
        <f aca="false">F257-F258</f>
        <v>22656610.838063</v>
      </c>
      <c r="G259" s="39" t="n">
        <f aca="false">G257-G258</f>
        <v>22976582.7805127</v>
      </c>
      <c r="H259" s="39" t="n">
        <f aca="false">H257-H258</f>
        <v>23194403.1684861</v>
      </c>
      <c r="I259" s="39" t="n">
        <f aca="false">I257-I258</f>
        <v>22297125.6047726</v>
      </c>
      <c r="J259" s="39" t="n">
        <f aca="false">J257-J258</f>
        <v>20938891.2380424</v>
      </c>
      <c r="K259" s="39" t="n">
        <f aca="false">K257-K258</f>
        <v>19673690.3925594</v>
      </c>
      <c r="L259" s="39" t="n">
        <f aca="false">L257-L258</f>
        <v>18496074.4906733</v>
      </c>
      <c r="M259" s="39" t="n">
        <f aca="false">M257-M258</f>
        <v>20744778.1373995</v>
      </c>
      <c r="N259" s="39" t="n">
        <f aca="false">N257-N258</f>
        <v>19603973.0805032</v>
      </c>
      <c r="O259" s="39" t="n">
        <f aca="false">O257-O258</f>
        <v>18492791.9817348</v>
      </c>
      <c r="P259" s="39" t="n">
        <f aca="false">P257-P258</f>
        <v>17429477.8957012</v>
      </c>
      <c r="Q259" s="39" t="n">
        <f aca="false">Q257-Q258</f>
        <v>16365278.4081526</v>
      </c>
      <c r="R259" s="39" t="n">
        <f aca="false">R257-R258</f>
        <v>15338034.5618237</v>
      </c>
      <c r="S259" s="39" t="n">
        <f aca="false">S257-S258</f>
        <v>14355295.1757517</v>
      </c>
      <c r="T259" s="39" t="n">
        <f aca="false">T257-T258</f>
        <v>13427673.2233139</v>
      </c>
      <c r="U259" s="39" t="n">
        <f aca="false">U257-U258</f>
        <v>12582127.9641007</v>
      </c>
      <c r="V259" s="39" t="n">
        <f aca="false">V257-V258</f>
        <v>23364295.1723994</v>
      </c>
      <c r="W259" s="39" t="n">
        <f aca="false">W257-W258</f>
        <v>27266783.2809016</v>
      </c>
      <c r="X259" s="39" t="n">
        <f aca="false">X257-X258</f>
        <v>25218800.4747574</v>
      </c>
      <c r="Y259" s="39" t="n">
        <f aca="false">Y257-Y258</f>
        <v>23304841.6355556</v>
      </c>
      <c r="Z259" s="39" t="n">
        <f aca="false">Z257-Z258</f>
        <v>21527429.0314644</v>
      </c>
      <c r="AA259" s="39" t="n">
        <f aca="false">AA257-AA258</f>
        <v>19856309.5793273</v>
      </c>
      <c r="AB259" s="39" t="n">
        <f aca="false">AB257-AB258</f>
        <v>18290107.5240033</v>
      </c>
      <c r="AC259" s="39" t="n">
        <f aca="false">AC257-AC258</f>
        <v>16891450.6578322</v>
      </c>
      <c r="AD259" s="39" t="n">
        <f aca="false">AD257-AD258</f>
        <v>15590033.4935181</v>
      </c>
      <c r="AE259" s="39" t="n">
        <f aca="false">AE257-AE258</f>
        <v>14344086.4551609</v>
      </c>
      <c r="AF259" s="39" t="n">
        <f aca="false">AF257-AF258</f>
        <v>4819993.39882266</v>
      </c>
      <c r="AG259" s="39" t="n">
        <f aca="false">AG257-AG258</f>
        <v>312289.205339385</v>
      </c>
      <c r="AH259" s="39" t="n">
        <f aca="false">AH257-AH258</f>
        <v>244959.940484273</v>
      </c>
      <c r="AI259" s="39" t="n">
        <f aca="false">AI257-AI258</f>
        <v>182958.410861441</v>
      </c>
      <c r="AJ259" s="39" t="n">
        <f aca="false">AJ257-AJ258</f>
        <v>125935.903871403</v>
      </c>
      <c r="AK259" s="39" t="n">
        <f aca="false">AK257-AK258</f>
        <v>80254.15074854</v>
      </c>
      <c r="AL259" s="39" t="n">
        <f aca="false">AL257-AL258</f>
        <v>41441.0232358007</v>
      </c>
      <c r="AM259" s="39" t="n">
        <f aca="false">AM257-AM258</f>
        <v>5726.57975756329</v>
      </c>
      <c r="AN259" s="39" t="n">
        <f aca="false">AN257-AN258</f>
        <v>0</v>
      </c>
    </row>
    <row r="260" customFormat="false" ht="15" hidden="false" customHeight="false" outlineLevel="0" collapsed="false">
      <c r="A260" s="5" t="s">
        <v>165</v>
      </c>
      <c r="E260" s="39" t="n">
        <f aca="false">MIN(E259,E251-E252)</f>
        <v>0</v>
      </c>
      <c r="F260" s="39" t="n">
        <f aca="false">MIN(F259,F251-F252)</f>
        <v>0</v>
      </c>
      <c r="G260" s="39" t="n">
        <f aca="false">MIN(G259,G251-G252)</f>
        <v>0</v>
      </c>
      <c r="H260" s="39" t="n">
        <f aca="false">MIN(H259,H251-H252)</f>
        <v>0</v>
      </c>
      <c r="I260" s="39" t="n">
        <f aca="false">MIN(I259,I251-I252)</f>
        <v>0</v>
      </c>
      <c r="J260" s="39" t="n">
        <f aca="false">MIN(J259,J251-J252)</f>
        <v>0</v>
      </c>
      <c r="K260" s="39" t="n">
        <f aca="false">MIN(K259,K251-K252)</f>
        <v>0</v>
      </c>
      <c r="L260" s="39" t="n">
        <f aca="false">MIN(L259,L251-L252)</f>
        <v>0</v>
      </c>
      <c r="M260" s="39" t="n">
        <f aca="false">MIN(M259,M251-M252)</f>
        <v>0</v>
      </c>
      <c r="N260" s="39" t="n">
        <f aca="false">MIN(N259,N251-N252)</f>
        <v>0</v>
      </c>
      <c r="O260" s="39" t="n">
        <f aca="false">MIN(O259,O251-O252)</f>
        <v>0</v>
      </c>
      <c r="P260" s="39" t="n">
        <f aca="false">MIN(P259,P251-P252)</f>
        <v>0</v>
      </c>
      <c r="Q260" s="39" t="n">
        <f aca="false">MIN(Q259,Q251-Q252)</f>
        <v>0</v>
      </c>
      <c r="R260" s="39" t="n">
        <f aca="false">MIN(R259,R251-R252)</f>
        <v>0</v>
      </c>
      <c r="S260" s="39" t="n">
        <f aca="false">MIN(S259,S251-S252)</f>
        <v>0</v>
      </c>
      <c r="T260" s="39" t="n">
        <f aca="false">MIN(T259,T251-T252)</f>
        <v>0</v>
      </c>
      <c r="U260" s="39" t="n">
        <f aca="false">MIN(U259,U251-U252)</f>
        <v>0</v>
      </c>
      <c r="V260" s="39" t="n">
        <f aca="false">MIN(V259,V251-V252)</f>
        <v>0</v>
      </c>
      <c r="W260" s="39" t="n">
        <f aca="false">MIN(W259,W251-W252)</f>
        <v>0</v>
      </c>
      <c r="X260" s="39" t="n">
        <f aca="false">MIN(X259,X251-X252)</f>
        <v>0</v>
      </c>
      <c r="Y260" s="39" t="n">
        <f aca="false">MIN(Y259,Y251-Y252)</f>
        <v>0</v>
      </c>
      <c r="Z260" s="39" t="n">
        <f aca="false">MIN(Z259,Z251-Z252)</f>
        <v>0</v>
      </c>
      <c r="AA260" s="39" t="n">
        <f aca="false">MIN(AA259,AA251-AA252)</f>
        <v>0</v>
      </c>
      <c r="AB260" s="39" t="n">
        <f aca="false">MIN(AB259,AB251-AB252)</f>
        <v>0</v>
      </c>
      <c r="AC260" s="39" t="n">
        <f aca="false">MIN(AC259,AC251-AC252)</f>
        <v>0</v>
      </c>
      <c r="AD260" s="39" t="n">
        <f aca="false">MIN(AD259,AD251-AD252)</f>
        <v>0</v>
      </c>
      <c r="AE260" s="39" t="n">
        <f aca="false">MIN(AE259,AE251-AE252)</f>
        <v>0</v>
      </c>
      <c r="AF260" s="39" t="n">
        <f aca="false">MIN(AF259,AF251-AF252)</f>
        <v>0</v>
      </c>
      <c r="AG260" s="39" t="n">
        <f aca="false">MIN(AG259,AG251-AG252)</f>
        <v>0</v>
      </c>
      <c r="AH260" s="39" t="n">
        <f aca="false">MIN(AH259,AH251-AH252)</f>
        <v>0</v>
      </c>
      <c r="AI260" s="39" t="n">
        <f aca="false">MIN(AI259,AI251-AI252)</f>
        <v>0</v>
      </c>
      <c r="AJ260" s="39" t="n">
        <f aca="false">MIN(AJ259,AJ251-AJ252)</f>
        <v>0</v>
      </c>
      <c r="AK260" s="39" t="n">
        <f aca="false">MIN(AK259,AK251-AK252)</f>
        <v>0</v>
      </c>
      <c r="AL260" s="39" t="n">
        <f aca="false">MIN(AL259,AL251-AL252)</f>
        <v>0</v>
      </c>
      <c r="AM260" s="39" t="n">
        <f aca="false">MIN(AM259,AM251-AM252)</f>
        <v>0</v>
      </c>
      <c r="AN260" s="39" t="n">
        <f aca="false">MIN(AN259,AN251-AN252)</f>
        <v>0</v>
      </c>
    </row>
    <row r="261" customFormat="false" ht="15" hidden="false" customHeight="false" outlineLevel="0" collapsed="false">
      <c r="A261" s="5" t="s">
        <v>166</v>
      </c>
      <c r="E261" s="39" t="n">
        <f aca="false">E259-E260</f>
        <v>22222233.4383883</v>
      </c>
      <c r="F261" s="39" t="n">
        <f aca="false">F259-F260</f>
        <v>22656610.838063</v>
      </c>
      <c r="G261" s="39" t="n">
        <f aca="false">G259-G260</f>
        <v>22976582.7805127</v>
      </c>
      <c r="H261" s="39" t="n">
        <f aca="false">H259-H260</f>
        <v>23194403.1684861</v>
      </c>
      <c r="I261" s="39" t="n">
        <f aca="false">I259-I260</f>
        <v>22297125.6047726</v>
      </c>
      <c r="J261" s="39" t="n">
        <f aca="false">J259-J260</f>
        <v>20938891.2380424</v>
      </c>
      <c r="K261" s="39" t="n">
        <f aca="false">K259-K260</f>
        <v>19673690.3925594</v>
      </c>
      <c r="L261" s="39" t="n">
        <f aca="false">L259-L260</f>
        <v>18496074.4906733</v>
      </c>
      <c r="M261" s="39" t="n">
        <f aca="false">M259-M260</f>
        <v>20744778.1373995</v>
      </c>
      <c r="N261" s="39" t="n">
        <f aca="false">N259-N260</f>
        <v>19603973.0805032</v>
      </c>
      <c r="O261" s="39" t="n">
        <f aca="false">O259-O260</f>
        <v>18492791.9817348</v>
      </c>
      <c r="P261" s="39" t="n">
        <f aca="false">P259-P260</f>
        <v>17429477.8957012</v>
      </c>
      <c r="Q261" s="39" t="n">
        <f aca="false">Q259-Q260</f>
        <v>16365278.4081526</v>
      </c>
      <c r="R261" s="39" t="n">
        <f aca="false">R259-R260</f>
        <v>15338034.5618237</v>
      </c>
      <c r="S261" s="39" t="n">
        <f aca="false">S259-S260</f>
        <v>14355295.1757517</v>
      </c>
      <c r="T261" s="39" t="n">
        <f aca="false">T259-T260</f>
        <v>13427673.2233139</v>
      </c>
      <c r="U261" s="39" t="n">
        <f aca="false">U259-U260</f>
        <v>12582127.9641007</v>
      </c>
      <c r="V261" s="39" t="n">
        <f aca="false">V259-V260</f>
        <v>23364295.1723994</v>
      </c>
      <c r="W261" s="39" t="n">
        <f aca="false">W259-W260</f>
        <v>27266783.2809016</v>
      </c>
      <c r="X261" s="39" t="n">
        <f aca="false">X259-X260</f>
        <v>25218800.4747574</v>
      </c>
      <c r="Y261" s="39" t="n">
        <f aca="false">Y259-Y260</f>
        <v>23304841.6355556</v>
      </c>
      <c r="Z261" s="39" t="n">
        <f aca="false">Z259-Z260</f>
        <v>21527429.0314644</v>
      </c>
      <c r="AA261" s="39" t="n">
        <f aca="false">AA259-AA260</f>
        <v>19856309.5793273</v>
      </c>
      <c r="AB261" s="39" t="n">
        <f aca="false">AB259-AB260</f>
        <v>18290107.5240033</v>
      </c>
      <c r="AC261" s="39" t="n">
        <f aca="false">AC259-AC260</f>
        <v>16891450.6578322</v>
      </c>
      <c r="AD261" s="39" t="n">
        <f aca="false">AD259-AD260</f>
        <v>15590033.4935181</v>
      </c>
      <c r="AE261" s="39" t="n">
        <f aca="false">AE259-AE260</f>
        <v>14344086.4551609</v>
      </c>
      <c r="AF261" s="39" t="n">
        <f aca="false">AF259-AF260</f>
        <v>4819993.39882266</v>
      </c>
      <c r="AG261" s="39" t="n">
        <f aca="false">AG259-AG260</f>
        <v>312289.205339385</v>
      </c>
      <c r="AH261" s="39" t="n">
        <f aca="false">AH259-AH260</f>
        <v>244959.940484273</v>
      </c>
      <c r="AI261" s="39" t="n">
        <f aca="false">AI259-AI260</f>
        <v>182958.410861441</v>
      </c>
      <c r="AJ261" s="39" t="n">
        <f aca="false">AJ259-AJ260</f>
        <v>125935.903871403</v>
      </c>
      <c r="AK261" s="39" t="n">
        <f aca="false">AK259-AK260</f>
        <v>80254.15074854</v>
      </c>
      <c r="AL261" s="39" t="n">
        <f aca="false">AL259-AL260</f>
        <v>41441.0232358007</v>
      </c>
      <c r="AM261" s="39" t="n">
        <f aca="false">AM259-AM260</f>
        <v>5726.57975756329</v>
      </c>
      <c r="AN261" s="39" t="n">
        <f aca="false">AN259-AN260</f>
        <v>0</v>
      </c>
    </row>
    <row r="262" customFormat="false" ht="15" hidden="false" customHeight="false" outlineLevel="0" collapsed="false">
      <c r="A262" s="5" t="s">
        <v>167</v>
      </c>
      <c r="E262" s="18" t="n">
        <f aca="false">IF('Scenario Analysis'!E234&gt;=20,'Inputs &amp; Assumptions'!$C$37,IF('Scenario Analysis'!E234&gt;=10,'Inputs &amp; Assumptions'!$C$38,'Inputs &amp; Assumptions'!$C$39))</f>
        <v>0.7</v>
      </c>
      <c r="F262" s="18" t="n">
        <f aca="false">IF('Scenario Analysis'!F234&gt;=20,'Inputs &amp; Assumptions'!$C$37,IF('Scenario Analysis'!F234&gt;=10,'Inputs &amp; Assumptions'!$C$38,'Inputs &amp; Assumptions'!$C$39))</f>
        <v>0.7</v>
      </c>
      <c r="G262" s="18" t="n">
        <f aca="false">IF('Scenario Analysis'!G234&gt;=20,'Inputs &amp; Assumptions'!$C$37,IF('Scenario Analysis'!G234&gt;=10,'Inputs &amp; Assumptions'!$C$38,'Inputs &amp; Assumptions'!$C$39))</f>
        <v>0.7</v>
      </c>
      <c r="H262" s="18" t="n">
        <f aca="false">IF('Scenario Analysis'!H234&gt;=20,'Inputs &amp; Assumptions'!$C$37,IF('Scenario Analysis'!H234&gt;=10,'Inputs &amp; Assumptions'!$C$38,'Inputs &amp; Assumptions'!$C$39))</f>
        <v>0.7</v>
      </c>
      <c r="I262" s="18" t="n">
        <f aca="false">IF('Scenario Analysis'!I234&gt;=20,'Inputs &amp; Assumptions'!$C$37,IF('Scenario Analysis'!I234&gt;=10,'Inputs &amp; Assumptions'!$C$38,'Inputs &amp; Assumptions'!$C$39))</f>
        <v>0.7</v>
      </c>
      <c r="J262" s="18" t="n">
        <f aca="false">IF('Scenario Analysis'!J234&gt;=20,'Inputs &amp; Assumptions'!$C$37,IF('Scenario Analysis'!J234&gt;=10,'Inputs &amp; Assumptions'!$C$38,'Inputs &amp; Assumptions'!$C$39))</f>
        <v>0.7</v>
      </c>
      <c r="K262" s="18" t="n">
        <f aca="false">IF('Scenario Analysis'!K234&gt;=20,'Inputs &amp; Assumptions'!$C$37,IF('Scenario Analysis'!K234&gt;=10,'Inputs &amp; Assumptions'!$C$38,'Inputs &amp; Assumptions'!$C$39))</f>
        <v>0.7</v>
      </c>
      <c r="L262" s="18" t="n">
        <f aca="false">IF('Scenario Analysis'!L234&gt;=20,'Inputs &amp; Assumptions'!$C$37,IF('Scenario Analysis'!L234&gt;=10,'Inputs &amp; Assumptions'!$C$38,'Inputs &amp; Assumptions'!$C$39))</f>
        <v>0.7</v>
      </c>
      <c r="M262" s="18" t="n">
        <f aca="false">IF('Scenario Analysis'!M234&gt;=20,'Inputs &amp; Assumptions'!$C$37,IF('Scenario Analysis'!M234&gt;=10,'Inputs &amp; Assumptions'!$C$38,'Inputs &amp; Assumptions'!$C$39))</f>
        <v>0.7</v>
      </c>
      <c r="N262" s="18" t="n">
        <f aca="false">IF('Scenario Analysis'!N234&gt;=20,'Inputs &amp; Assumptions'!$C$37,IF('Scenario Analysis'!N234&gt;=10,'Inputs &amp; Assumptions'!$C$38,'Inputs &amp; Assumptions'!$C$39))</f>
        <v>0.7</v>
      </c>
      <c r="O262" s="18" t="n">
        <f aca="false">IF('Scenario Analysis'!O234&gt;=20,'Inputs &amp; Assumptions'!$C$37,IF('Scenario Analysis'!O234&gt;=10,'Inputs &amp; Assumptions'!$C$38,'Inputs &amp; Assumptions'!$C$39))</f>
        <v>0.7</v>
      </c>
      <c r="P262" s="18" t="n">
        <f aca="false">IF('Scenario Analysis'!P234&gt;=20,'Inputs &amp; Assumptions'!$C$37,IF('Scenario Analysis'!P234&gt;=10,'Inputs &amp; Assumptions'!$C$38,'Inputs &amp; Assumptions'!$C$39))</f>
        <v>0.7</v>
      </c>
      <c r="Q262" s="18" t="n">
        <f aca="false">IF('Scenario Analysis'!Q234&gt;=20,'Inputs &amp; Assumptions'!$C$37,IF('Scenario Analysis'!Q234&gt;=10,'Inputs &amp; Assumptions'!$C$38,'Inputs &amp; Assumptions'!$C$39))</f>
        <v>0.7</v>
      </c>
      <c r="R262" s="18" t="n">
        <f aca="false">IF('Scenario Analysis'!R234&gt;=20,'Inputs &amp; Assumptions'!$C$37,IF('Scenario Analysis'!R234&gt;=10,'Inputs &amp; Assumptions'!$C$38,'Inputs &amp; Assumptions'!$C$39))</f>
        <v>0.7</v>
      </c>
      <c r="S262" s="18" t="n">
        <f aca="false">IF('Scenario Analysis'!S234&gt;=20,'Inputs &amp; Assumptions'!$C$37,IF('Scenario Analysis'!S234&gt;=10,'Inputs &amp; Assumptions'!$C$38,'Inputs &amp; Assumptions'!$C$39))</f>
        <v>0.7</v>
      </c>
      <c r="T262" s="18" t="n">
        <f aca="false">IF('Scenario Analysis'!T234&gt;=20,'Inputs &amp; Assumptions'!$C$37,IF('Scenario Analysis'!T234&gt;=10,'Inputs &amp; Assumptions'!$C$38,'Inputs &amp; Assumptions'!$C$39))</f>
        <v>0.7</v>
      </c>
      <c r="U262" s="18" t="n">
        <f aca="false">IF('Scenario Analysis'!U234&gt;=20,'Inputs &amp; Assumptions'!$C$37,IF('Scenario Analysis'!U234&gt;=10,'Inputs &amp; Assumptions'!$C$38,'Inputs &amp; Assumptions'!$C$39))</f>
        <v>0.7</v>
      </c>
      <c r="V262" s="18" t="n">
        <f aca="false">IF('Scenario Analysis'!V234&gt;=20,'Inputs &amp; Assumptions'!$C$37,IF('Scenario Analysis'!V234&gt;=10,'Inputs &amp; Assumptions'!$C$38,'Inputs &amp; Assumptions'!$C$39))</f>
        <v>0.7</v>
      </c>
      <c r="W262" s="18" t="n">
        <f aca="false">IF('Scenario Analysis'!W234&gt;=20,'Inputs &amp; Assumptions'!$C$37,IF('Scenario Analysis'!W234&gt;=10,'Inputs &amp; Assumptions'!$C$38,'Inputs &amp; Assumptions'!$C$39))</f>
        <v>0.7</v>
      </c>
      <c r="X262" s="18" t="n">
        <f aca="false">IF('Scenario Analysis'!X234&gt;=20,'Inputs &amp; Assumptions'!$C$37,IF('Scenario Analysis'!X234&gt;=10,'Inputs &amp; Assumptions'!$C$38,'Inputs &amp; Assumptions'!$C$39))</f>
        <v>0.7</v>
      </c>
      <c r="Y262" s="18" t="n">
        <f aca="false">IF('Scenario Analysis'!Y234&gt;=20,'Inputs &amp; Assumptions'!$C$37,IF('Scenario Analysis'!Y234&gt;=10,'Inputs &amp; Assumptions'!$C$38,'Inputs &amp; Assumptions'!$C$39))</f>
        <v>0.7</v>
      </c>
      <c r="Z262" s="18" t="n">
        <f aca="false">IF('Scenario Analysis'!Z234&gt;=20,'Inputs &amp; Assumptions'!$C$37,IF('Scenario Analysis'!Z234&gt;=10,'Inputs &amp; Assumptions'!$C$38,'Inputs &amp; Assumptions'!$C$39))</f>
        <v>0.8</v>
      </c>
      <c r="AA262" s="18" t="n">
        <f aca="false">IF('Scenario Analysis'!AA234&gt;=20,'Inputs &amp; Assumptions'!$C$37,IF('Scenario Analysis'!AA234&gt;=10,'Inputs &amp; Assumptions'!$C$38,'Inputs &amp; Assumptions'!$C$39))</f>
        <v>0.8</v>
      </c>
      <c r="AB262" s="18" t="n">
        <f aca="false">IF('Scenario Analysis'!AB234&gt;=20,'Inputs &amp; Assumptions'!$C$37,IF('Scenario Analysis'!AB234&gt;=10,'Inputs &amp; Assumptions'!$C$38,'Inputs &amp; Assumptions'!$C$39))</f>
        <v>0.8</v>
      </c>
      <c r="AC262" s="18" t="n">
        <f aca="false">IF('Scenario Analysis'!AC234&gt;=20,'Inputs &amp; Assumptions'!$C$37,IF('Scenario Analysis'!AC234&gt;=10,'Inputs &amp; Assumptions'!$C$38,'Inputs &amp; Assumptions'!$C$39))</f>
        <v>0.8</v>
      </c>
      <c r="AD262" s="18" t="n">
        <f aca="false">IF('Scenario Analysis'!AD234&gt;=20,'Inputs &amp; Assumptions'!$C$37,IF('Scenario Analysis'!AD234&gt;=10,'Inputs &amp; Assumptions'!$C$38,'Inputs &amp; Assumptions'!$C$39))</f>
        <v>1</v>
      </c>
      <c r="AE262" s="18" t="n">
        <f aca="false">IF('Scenario Analysis'!AE234&gt;=20,'Inputs &amp; Assumptions'!$C$37,IF('Scenario Analysis'!AE234&gt;=10,'Inputs &amp; Assumptions'!$C$38,'Inputs &amp; Assumptions'!$C$39))</f>
        <v>1</v>
      </c>
      <c r="AF262" s="18" t="n">
        <f aca="false">IF('Scenario Analysis'!AF234&gt;=20,'Inputs &amp; Assumptions'!$C$37,IF('Scenario Analysis'!AF234&gt;=10,'Inputs &amp; Assumptions'!$C$38,'Inputs &amp; Assumptions'!$C$39))</f>
        <v>1</v>
      </c>
      <c r="AG262" s="18" t="n">
        <f aca="false">IF('Scenario Analysis'!AG234&gt;=20,'Inputs &amp; Assumptions'!$C$37,IF('Scenario Analysis'!AG234&gt;=10,'Inputs &amp; Assumptions'!$C$38,'Inputs &amp; Assumptions'!$C$39))</f>
        <v>1</v>
      </c>
      <c r="AH262" s="18" t="n">
        <f aca="false">IF('Scenario Analysis'!AH234&gt;=20,'Inputs &amp; Assumptions'!$C$37,IF('Scenario Analysis'!AH234&gt;=10,'Inputs &amp; Assumptions'!$C$38,'Inputs &amp; Assumptions'!$C$39))</f>
        <v>1</v>
      </c>
      <c r="AI262" s="18" t="n">
        <f aca="false">IF('Scenario Analysis'!AI234&gt;=20,'Inputs &amp; Assumptions'!$C$37,IF('Scenario Analysis'!AI234&gt;=10,'Inputs &amp; Assumptions'!$C$38,'Inputs &amp; Assumptions'!$C$39))</f>
        <v>1</v>
      </c>
      <c r="AJ262" s="18" t="n">
        <f aca="false">IF('Scenario Analysis'!AJ234&gt;=20,'Inputs &amp; Assumptions'!$C$37,IF('Scenario Analysis'!AJ234&gt;=10,'Inputs &amp; Assumptions'!$C$38,'Inputs &amp; Assumptions'!$C$39))</f>
        <v>1</v>
      </c>
      <c r="AK262" s="18" t="n">
        <f aca="false">IF('Scenario Analysis'!AK234&gt;=20,'Inputs &amp; Assumptions'!$C$37,IF('Scenario Analysis'!AK234&gt;=10,'Inputs &amp; Assumptions'!$C$38,'Inputs &amp; Assumptions'!$C$39))</f>
        <v>1</v>
      </c>
      <c r="AL262" s="18" t="n">
        <f aca="false">IF('Scenario Analysis'!AL234&gt;=20,'Inputs &amp; Assumptions'!$C$37,IF('Scenario Analysis'!AL234&gt;=10,'Inputs &amp; Assumptions'!$C$38,'Inputs &amp; Assumptions'!$C$39))</f>
        <v>1</v>
      </c>
      <c r="AM262" s="18" t="n">
        <f aca="false">IF('Scenario Analysis'!AM234&gt;=20,'Inputs &amp; Assumptions'!$C$37,IF('Scenario Analysis'!AM234&gt;=10,'Inputs &amp; Assumptions'!$C$38,'Inputs &amp; Assumptions'!$C$39))</f>
        <v>1</v>
      </c>
      <c r="AN262" s="18" t="n">
        <f aca="false">IF('Scenario Analysis'!AN234&gt;=20,'Inputs &amp; Assumptions'!$C$37,IF('Scenario Analysis'!AN234&gt;=10,'Inputs &amp; Assumptions'!$C$38,'Inputs &amp; Assumptions'!$C$39))</f>
        <v>1</v>
      </c>
    </row>
    <row r="263" customFormat="false" ht="15" hidden="false" customHeight="false" outlineLevel="0" collapsed="false">
      <c r="A263" s="5" t="s">
        <v>168</v>
      </c>
      <c r="E263" s="39" t="n">
        <f aca="false">E241-E252-E260</f>
        <v>340424922.203496</v>
      </c>
      <c r="F263" s="39" t="n">
        <f aca="false">F241-F252-F260</f>
        <v>324869358.796624</v>
      </c>
      <c r="G263" s="39" t="n">
        <f aca="false">G241-G252-G260</f>
        <v>309009731.20998</v>
      </c>
      <c r="H263" s="39" t="n">
        <f aca="false">H241-H252-H260</f>
        <v>292926123.263621</v>
      </c>
      <c r="I263" s="39" t="n">
        <f aca="false">I241-I252-I260</f>
        <v>276690041.045681</v>
      </c>
      <c r="J263" s="39" t="n">
        <f aca="false">J241-J252-J260</f>
        <v>261082053.12234</v>
      </c>
      <c r="K263" s="39" t="n">
        <f aca="false">K241-K252-K260</f>
        <v>246424829.255711</v>
      </c>
      <c r="L263" s="39" t="n">
        <f aca="false">L241-L252-L260</f>
        <v>232653245.980919</v>
      </c>
      <c r="M263" s="39" t="n">
        <f aca="false">M241-M252-M260</f>
        <v>219705993.837448</v>
      </c>
      <c r="N263" s="39" t="n">
        <f aca="false">N241-N252-N260</f>
        <v>205184649.141268</v>
      </c>
      <c r="O263" s="39" t="n">
        <f aca="false">O241-O252-O260</f>
        <v>191461867.984916</v>
      </c>
      <c r="P263" s="39" t="n">
        <f aca="false">P241-P252-P260</f>
        <v>178516913.597701</v>
      </c>
      <c r="Q263" s="39" t="n">
        <f aca="false">Q241-Q252-Q260</f>
        <v>166316279.070711</v>
      </c>
      <c r="R263" s="39" t="n">
        <f aca="false">R241-R252-R260</f>
        <v>154860584.185004</v>
      </c>
      <c r="S263" s="39" t="n">
        <f aca="false">S241-S252-S260</f>
        <v>144123959.991727</v>
      </c>
      <c r="T263" s="39" t="n">
        <f aca="false">T241-T252-T260</f>
        <v>134075253.368701</v>
      </c>
      <c r="U263" s="39" t="n">
        <f aca="false">U241-U252-U260</f>
        <v>124675882.112381</v>
      </c>
      <c r="V263" s="39" t="n">
        <f aca="false">V241-V252-V260</f>
        <v>115868392.537511</v>
      </c>
      <c r="W263" s="39" t="n">
        <f aca="false">W241-W252-W260</f>
        <v>99513385.9168311</v>
      </c>
      <c r="X263" s="39" t="n">
        <f aca="false">X241-X252-X260</f>
        <v>80426637.6201999</v>
      </c>
      <c r="Y263" s="39" t="n">
        <f aca="false">Y241-Y252-Y260</f>
        <v>62773477.2878698</v>
      </c>
      <c r="Z263" s="39" t="n">
        <f aca="false">Z241-Z252-Z260</f>
        <v>46460088.1429808</v>
      </c>
      <c r="AA263" s="39" t="n">
        <f aca="false">AA241-AA252-AA260</f>
        <v>29238144.9178093</v>
      </c>
      <c r="AB263" s="39" t="n">
        <f aca="false">AB241-AB252-AB260</f>
        <v>13353097.2543475</v>
      </c>
      <c r="AC263" s="39" t="n">
        <f aca="false">AC241-AC252-AC260</f>
        <v>0</v>
      </c>
      <c r="AD263" s="39" t="n">
        <f aca="false">AD241-AD252-AD260</f>
        <v>0</v>
      </c>
      <c r="AE263" s="39" t="n">
        <f aca="false">AE241-AE252-AE260</f>
        <v>0</v>
      </c>
      <c r="AF263" s="39" t="n">
        <f aca="false">AF241-AF252-AF260</f>
        <v>0</v>
      </c>
      <c r="AG263" s="39" t="n">
        <f aca="false">AG241-AG252-AG260</f>
        <v>0</v>
      </c>
      <c r="AH263" s="39" t="n">
        <f aca="false">AH241-AH252-AH260</f>
        <v>0</v>
      </c>
      <c r="AI263" s="39" t="n">
        <f aca="false">AI241-AI252-AI260</f>
        <v>0</v>
      </c>
      <c r="AJ263" s="39" t="n">
        <f aca="false">AJ241-AJ252-AJ260</f>
        <v>0</v>
      </c>
      <c r="AK263" s="39" t="n">
        <f aca="false">AK241-AK252-AK260</f>
        <v>0</v>
      </c>
      <c r="AL263" s="39" t="n">
        <f aca="false">AL241-AL252-AL260</f>
        <v>0</v>
      </c>
      <c r="AM263" s="39" t="n">
        <f aca="false">AM241-AM252-AM260</f>
        <v>0</v>
      </c>
      <c r="AN263" s="39" t="n">
        <f aca="false">AN241-AN252-AN260</f>
        <v>0</v>
      </c>
    </row>
    <row r="264" customFormat="false" ht="15" hidden="false" customHeight="false" outlineLevel="0" collapsed="false">
      <c r="A264" s="5" t="s">
        <v>169</v>
      </c>
      <c r="E264" s="39" t="n">
        <f aca="false">MIN(E262*E261,E263)</f>
        <v>15555563.4068718</v>
      </c>
      <c r="F264" s="39" t="n">
        <f aca="false">MIN(F262*F261,F263)</f>
        <v>15859627.5866441</v>
      </c>
      <c r="G264" s="39" t="n">
        <f aca="false">MIN(G262*G261,G263)</f>
        <v>16083607.9463589</v>
      </c>
      <c r="H264" s="39" t="n">
        <f aca="false">MIN(H262*H261,H263)</f>
        <v>16236082.2179402</v>
      </c>
      <c r="I264" s="39" t="n">
        <f aca="false">MIN(I262*I261,I263)</f>
        <v>15607987.9233408</v>
      </c>
      <c r="J264" s="39" t="n">
        <f aca="false">MIN(J262*J261,J263)</f>
        <v>14657223.8666297</v>
      </c>
      <c r="K264" s="39" t="n">
        <f aca="false">MIN(K262*K261,K263)</f>
        <v>13771583.2747916</v>
      </c>
      <c r="L264" s="39" t="n">
        <f aca="false">MIN(L262*L261,L263)</f>
        <v>12947252.1434713</v>
      </c>
      <c r="M264" s="39" t="n">
        <f aca="false">MIN(M262*M261,M263)</f>
        <v>14521344.6961796</v>
      </c>
      <c r="N264" s="39" t="n">
        <f aca="false">MIN(N262*N261,N263)</f>
        <v>13722781.1563523</v>
      </c>
      <c r="O264" s="39" t="n">
        <f aca="false">MIN(O262*O261,O263)</f>
        <v>12944954.3872144</v>
      </c>
      <c r="P264" s="39" t="n">
        <f aca="false">MIN(P262*P261,P263)</f>
        <v>12200634.5269908</v>
      </c>
      <c r="Q264" s="39" t="n">
        <f aca="false">MIN(Q262*Q261,Q263)</f>
        <v>11455694.8857069</v>
      </c>
      <c r="R264" s="39" t="n">
        <f aca="false">MIN(R262*R261,R263)</f>
        <v>10736624.1932766</v>
      </c>
      <c r="S264" s="39" t="n">
        <f aca="false">MIN(S262*S261,S263)</f>
        <v>10048706.6230262</v>
      </c>
      <c r="T264" s="39" t="n">
        <f aca="false">MIN(T262*T261,T263)</f>
        <v>9399371.25631976</v>
      </c>
      <c r="U264" s="39" t="n">
        <f aca="false">MIN(U262*U261,U263)</f>
        <v>8807489.5748705</v>
      </c>
      <c r="V264" s="39" t="n">
        <f aca="false">MIN(V262*V261,V263)</f>
        <v>16355006.6206796</v>
      </c>
      <c r="W264" s="39" t="n">
        <f aca="false">MIN(W262*W261,W263)</f>
        <v>19086748.2966311</v>
      </c>
      <c r="X264" s="39" t="n">
        <f aca="false">MIN(X262*X261,X263)</f>
        <v>17653160.3323302</v>
      </c>
      <c r="Y264" s="39" t="n">
        <f aca="false">MIN(Y262*Y261,Y263)</f>
        <v>16313389.1448889</v>
      </c>
      <c r="Z264" s="39" t="n">
        <f aca="false">MIN(Z262*Z261,Z263)</f>
        <v>17221943.2251715</v>
      </c>
      <c r="AA264" s="39" t="n">
        <f aca="false">MIN(AA262*AA261,AA263)</f>
        <v>15885047.6634618</v>
      </c>
      <c r="AB264" s="39" t="n">
        <f aca="false">MIN(AB262*AB261,AB263)</f>
        <v>13353097.2543475</v>
      </c>
      <c r="AC264" s="39" t="n">
        <f aca="false">MIN(AC262*AC261,AC263)</f>
        <v>0</v>
      </c>
      <c r="AD264" s="39" t="n">
        <f aca="false">MIN(AD262*AD261,AD263)</f>
        <v>0</v>
      </c>
      <c r="AE264" s="39" t="n">
        <f aca="false">MIN(AE262*AE261,AE263)</f>
        <v>0</v>
      </c>
      <c r="AF264" s="39" t="n">
        <f aca="false">MIN(AF262*AF261,AF263)</f>
        <v>0</v>
      </c>
      <c r="AG264" s="39" t="n">
        <f aca="false">MIN(AG262*AG261,AG263)</f>
        <v>0</v>
      </c>
      <c r="AH264" s="39" t="n">
        <f aca="false">MIN(AH262*AH261,AH263)</f>
        <v>0</v>
      </c>
      <c r="AI264" s="39" t="n">
        <f aca="false">MIN(AI262*AI261,AI263)</f>
        <v>0</v>
      </c>
      <c r="AJ264" s="39" t="n">
        <f aca="false">MIN(AJ262*AJ261,AJ263)</f>
        <v>0</v>
      </c>
      <c r="AK264" s="39" t="n">
        <f aca="false">MIN(AK262*AK261,AK263)</f>
        <v>0</v>
      </c>
      <c r="AL264" s="39" t="n">
        <f aca="false">MIN(AL262*AL261,AL263)</f>
        <v>0</v>
      </c>
      <c r="AM264" s="39" t="n">
        <f aca="false">MIN(AM262*AM261,AM263)</f>
        <v>0</v>
      </c>
      <c r="AN264" s="39" t="n">
        <f aca="false">MIN(AN262*AN261,AN263)</f>
        <v>0</v>
      </c>
    </row>
    <row r="265" customFormat="false" ht="15" hidden="false" customHeight="false" outlineLevel="0" collapsed="false">
      <c r="A265" s="5" t="s">
        <v>170</v>
      </c>
      <c r="E265" s="39" t="n">
        <f aca="false">E261-E264</f>
        <v>6666670.03151649</v>
      </c>
      <c r="F265" s="39" t="n">
        <f aca="false">F261-F264</f>
        <v>6796983.25141889</v>
      </c>
      <c r="G265" s="39" t="n">
        <f aca="false">G261-G264</f>
        <v>6892974.83415381</v>
      </c>
      <c r="H265" s="39" t="n">
        <f aca="false">H261-H264</f>
        <v>6958320.95054582</v>
      </c>
      <c r="I265" s="39" t="n">
        <f aca="false">I261-I264</f>
        <v>6689137.68143178</v>
      </c>
      <c r="J265" s="39" t="n">
        <f aca="false">J261-J264</f>
        <v>6281667.37141273</v>
      </c>
      <c r="K265" s="39" t="n">
        <f aca="false">K261-K264</f>
        <v>5902107.11776781</v>
      </c>
      <c r="L265" s="39" t="n">
        <f aca="false">L261-L264</f>
        <v>5548822.347202</v>
      </c>
      <c r="M265" s="39" t="n">
        <f aca="false">M261-M264</f>
        <v>6223433.44121984</v>
      </c>
      <c r="N265" s="39" t="n">
        <f aca="false">N261-N264</f>
        <v>5881191.92415097</v>
      </c>
      <c r="O265" s="39" t="n">
        <f aca="false">O261-O264</f>
        <v>5547837.59452045</v>
      </c>
      <c r="P265" s="39" t="n">
        <f aca="false">P261-P264</f>
        <v>5228843.36871036</v>
      </c>
      <c r="Q265" s="39" t="n">
        <f aca="false">Q261-Q264</f>
        <v>4909583.52244579</v>
      </c>
      <c r="R265" s="39" t="n">
        <f aca="false">R261-R264</f>
        <v>4601410.36854712</v>
      </c>
      <c r="S265" s="39" t="n">
        <f aca="false">S261-S264</f>
        <v>4306588.55272551</v>
      </c>
      <c r="T265" s="39" t="n">
        <f aca="false">T261-T264</f>
        <v>4028301.96699419</v>
      </c>
      <c r="U265" s="39" t="n">
        <f aca="false">U261-U264</f>
        <v>3774638.38923021</v>
      </c>
      <c r="V265" s="39" t="n">
        <f aca="false">V261-V264</f>
        <v>7009288.55171983</v>
      </c>
      <c r="W265" s="39" t="n">
        <f aca="false">W261-W264</f>
        <v>8180034.98427049</v>
      </c>
      <c r="X265" s="39" t="n">
        <f aca="false">X261-X264</f>
        <v>7565640.14242722</v>
      </c>
      <c r="Y265" s="39" t="n">
        <f aca="false">Y261-Y264</f>
        <v>6991452.49066669</v>
      </c>
      <c r="Z265" s="39" t="n">
        <f aca="false">Z261-Z264</f>
        <v>4305485.80629287</v>
      </c>
      <c r="AA265" s="39" t="n">
        <f aca="false">AA261-AA264</f>
        <v>3971261.91586546</v>
      </c>
      <c r="AB265" s="39" t="n">
        <f aca="false">AB261-AB264</f>
        <v>4937010.26965584</v>
      </c>
      <c r="AC265" s="39" t="n">
        <f aca="false">AC261-AC264</f>
        <v>16891450.6578322</v>
      </c>
      <c r="AD265" s="39" t="n">
        <f aca="false">AD261-AD264</f>
        <v>15590033.4935181</v>
      </c>
      <c r="AE265" s="39" t="n">
        <f aca="false">AE261-AE264</f>
        <v>14344086.4551609</v>
      </c>
      <c r="AF265" s="39" t="n">
        <f aca="false">AF261-AF264</f>
        <v>4819993.39882266</v>
      </c>
      <c r="AG265" s="39" t="n">
        <f aca="false">AG261-AG264</f>
        <v>312289.205339385</v>
      </c>
      <c r="AH265" s="39" t="n">
        <f aca="false">AH261-AH264</f>
        <v>244959.940484273</v>
      </c>
      <c r="AI265" s="39" t="n">
        <f aca="false">AI261-AI264</f>
        <v>182958.410861441</v>
      </c>
      <c r="AJ265" s="39" t="n">
        <f aca="false">AJ261-AJ264</f>
        <v>125935.903871403</v>
      </c>
      <c r="AK265" s="39" t="n">
        <f aca="false">AK261-AK264</f>
        <v>80254.15074854</v>
      </c>
      <c r="AL265" s="39" t="n">
        <f aca="false">AL261-AL264</f>
        <v>41441.0232358007</v>
      </c>
      <c r="AM265" s="39" t="n">
        <f aca="false">AM261-AM264</f>
        <v>5726.57975756329</v>
      </c>
      <c r="AN265" s="39" t="n">
        <f aca="false">AN261-AN264</f>
        <v>0</v>
      </c>
    </row>
    <row r="266" customFormat="false" ht="15" hidden="false" customHeight="false" outlineLevel="0" collapsed="false">
      <c r="A266" s="5" t="s">
        <v>171</v>
      </c>
      <c r="E266" s="39" t="n">
        <f aca="false">MIN(E265,E268)</f>
        <v>6666670.03151649</v>
      </c>
      <c r="F266" s="39" t="n">
        <f aca="false">MIN(F265,F268)</f>
        <v>6796983.25141889</v>
      </c>
      <c r="G266" s="39" t="n">
        <f aca="false">MIN(G265,G268)</f>
        <v>6892974.83415381</v>
      </c>
      <c r="H266" s="39" t="n">
        <f aca="false">MIN(H265,H268)</f>
        <v>6958320.95054582</v>
      </c>
      <c r="I266" s="39" t="n">
        <f aca="false">MIN(I265,I268)</f>
        <v>6689137.68143178</v>
      </c>
      <c r="J266" s="39" t="n">
        <f aca="false">MIN(J265,J268)</f>
        <v>6281667.37141273</v>
      </c>
      <c r="K266" s="39" t="n">
        <f aca="false">MIN(K265,K268)</f>
        <v>5902107.11776781</v>
      </c>
      <c r="L266" s="39" t="n">
        <f aca="false">MIN(L265,L268)</f>
        <v>5548822.347202</v>
      </c>
      <c r="M266" s="39" t="n">
        <f aca="false">MIN(M265,M268)</f>
        <v>6223433.44121984</v>
      </c>
      <c r="N266" s="39" t="n">
        <f aca="false">MIN(N265,N268)</f>
        <v>5881191.92415097</v>
      </c>
      <c r="O266" s="39" t="n">
        <f aca="false">MIN(O265,O268)</f>
        <v>5547837.59452045</v>
      </c>
      <c r="P266" s="39" t="n">
        <f aca="false">MIN(P265,P268)</f>
        <v>5228843.36871036</v>
      </c>
      <c r="Q266" s="39" t="n">
        <f aca="false">MIN(Q265,Q268)</f>
        <v>4909583.52244579</v>
      </c>
      <c r="R266" s="39" t="n">
        <f aca="false">MIN(R265,R268)</f>
        <v>4601410.36854712</v>
      </c>
      <c r="S266" s="39" t="n">
        <f aca="false">MIN(S265,S268)</f>
        <v>4306588.55272551</v>
      </c>
      <c r="T266" s="39" t="n">
        <f aca="false">MIN(T265,T268)</f>
        <v>4028301.96699419</v>
      </c>
      <c r="U266" s="39" t="n">
        <f aca="false">MIN(U265,U268)</f>
        <v>3774638.38923021</v>
      </c>
      <c r="V266" s="39" t="n">
        <f aca="false">MIN(V265,V268)</f>
        <v>7009288.55171983</v>
      </c>
      <c r="W266" s="39" t="n">
        <f aca="false">MIN(W265,W268)</f>
        <v>8180034.98427049</v>
      </c>
      <c r="X266" s="39" t="n">
        <f aca="false">MIN(X265,X268)</f>
        <v>7565640.14242722</v>
      </c>
      <c r="Y266" s="39" t="n">
        <f aca="false">MIN(Y265,Y268)</f>
        <v>6991452.49066669</v>
      </c>
      <c r="Z266" s="39" t="n">
        <f aca="false">MIN(Z265,Z268)</f>
        <v>4305485.80629287</v>
      </c>
      <c r="AA266" s="39" t="n">
        <f aca="false">MIN(AA265,AA268)</f>
        <v>3971261.91586546</v>
      </c>
      <c r="AB266" s="39" t="n">
        <f aca="false">MIN(AB265,AB268)</f>
        <v>4937010.26965584</v>
      </c>
      <c r="AC266" s="39" t="n">
        <f aca="false">MIN(AC265,AC268)</f>
        <v>16891450.6578322</v>
      </c>
      <c r="AD266" s="39" t="n">
        <f aca="false">MIN(AD265,AD268)</f>
        <v>15590033.4935181</v>
      </c>
      <c r="AE266" s="39" t="n">
        <f aca="false">MIN(AE265,AE268)</f>
        <v>14344086.4551609</v>
      </c>
      <c r="AF266" s="39" t="n">
        <f aca="false">MIN(AF265,AF268)</f>
        <v>4819993.39882266</v>
      </c>
      <c r="AG266" s="39" t="n">
        <f aca="false">MIN(AG265,AG268)</f>
        <v>312289.205339385</v>
      </c>
      <c r="AH266" s="39" t="n">
        <f aca="false">MIN(AH265,AH268)</f>
        <v>244959.940484273</v>
      </c>
      <c r="AI266" s="39" t="n">
        <f aca="false">MIN(AI265,AI268)</f>
        <v>182958.410861441</v>
      </c>
      <c r="AJ266" s="39" t="n">
        <f aca="false">MIN(AJ265,AJ268)</f>
        <v>125935.903871403</v>
      </c>
      <c r="AK266" s="39" t="n">
        <f aca="false">MIN(AK265,AK268)</f>
        <v>80254.15074854</v>
      </c>
      <c r="AL266" s="39" t="n">
        <f aca="false">MIN(AL265,AL268)</f>
        <v>41441.0232358007</v>
      </c>
      <c r="AM266" s="39" t="n">
        <f aca="false">MIN(AM265,AM268)</f>
        <v>5726.57975756329</v>
      </c>
      <c r="AN266" s="39" t="n">
        <f aca="false">MIN(AN265,AN268)</f>
        <v>0</v>
      </c>
    </row>
    <row r="267" customFormat="false" ht="15" hidden="false" customHeight="false" outlineLevel="0" collapsed="false">
      <c r="A267" s="14" t="s">
        <v>172</v>
      </c>
      <c r="E267" s="39" t="n">
        <f aca="false">E241-E252-E260-E264</f>
        <v>324869358.796624</v>
      </c>
      <c r="F267" s="39" t="n">
        <f aca="false">F241-F252-F260-F264</f>
        <v>309009731.20998</v>
      </c>
      <c r="G267" s="39" t="n">
        <f aca="false">G241-G252-G260-G264</f>
        <v>292926123.263621</v>
      </c>
      <c r="H267" s="39" t="n">
        <f aca="false">H241-H252-H260-H264</f>
        <v>276690041.045681</v>
      </c>
      <c r="I267" s="39" t="n">
        <f aca="false">I241-I252-I260-I264</f>
        <v>261082053.12234</v>
      </c>
      <c r="J267" s="39" t="n">
        <f aca="false">J241-J252-J260-J264</f>
        <v>246424829.255711</v>
      </c>
      <c r="K267" s="39" t="n">
        <f aca="false">K241-K252-K260-K264</f>
        <v>232653245.980919</v>
      </c>
      <c r="L267" s="39" t="n">
        <f aca="false">L241-L252-L260-L264</f>
        <v>219705993.837448</v>
      </c>
      <c r="M267" s="39" t="n">
        <f aca="false">M241-M252-M260-M264</f>
        <v>205184649.141268</v>
      </c>
      <c r="N267" s="39" t="n">
        <f aca="false">N241-N252-N260-N264</f>
        <v>191461867.984916</v>
      </c>
      <c r="O267" s="39" t="n">
        <f aca="false">O241-O252-O260-O264</f>
        <v>178516913.597701</v>
      </c>
      <c r="P267" s="39" t="n">
        <f aca="false">P241-P252-P260-P264</f>
        <v>166316279.070711</v>
      </c>
      <c r="Q267" s="39" t="n">
        <f aca="false">Q241-Q252-Q260-Q264</f>
        <v>154860584.185004</v>
      </c>
      <c r="R267" s="39" t="n">
        <f aca="false">R241-R252-R260-R264</f>
        <v>144123959.991727</v>
      </c>
      <c r="S267" s="39" t="n">
        <f aca="false">S241-S252-S260-S264</f>
        <v>134075253.368701</v>
      </c>
      <c r="T267" s="39" t="n">
        <f aca="false">T241-T252-T260-T264</f>
        <v>124675882.112381</v>
      </c>
      <c r="U267" s="39" t="n">
        <f aca="false">U241-U252-U260-U264</f>
        <v>115868392.537511</v>
      </c>
      <c r="V267" s="39" t="n">
        <f aca="false">V241-V252-V260-V264</f>
        <v>99513385.9168311</v>
      </c>
      <c r="W267" s="39" t="n">
        <f aca="false">W241-W252-W260-W264</f>
        <v>80426637.6201999</v>
      </c>
      <c r="X267" s="39" t="n">
        <f aca="false">X241-X252-X260-X264</f>
        <v>62773477.2878698</v>
      </c>
      <c r="Y267" s="39" t="n">
        <f aca="false">Y241-Y252-Y260-Y264</f>
        <v>46460088.1429808</v>
      </c>
      <c r="Z267" s="39" t="n">
        <f aca="false">Z241-Z252-Z260-Z264</f>
        <v>29238144.9178093</v>
      </c>
      <c r="AA267" s="39" t="n">
        <f aca="false">AA241-AA252-AA260-AA264</f>
        <v>13353097.2543475</v>
      </c>
      <c r="AB267" s="39" t="n">
        <f aca="false">AB241-AB252-AB260-AB264</f>
        <v>0</v>
      </c>
      <c r="AC267" s="39" t="n">
        <f aca="false">AC241-AC252-AC260-AC264</f>
        <v>0</v>
      </c>
      <c r="AD267" s="39" t="n">
        <f aca="false">AD241-AD252-AD260-AD264</f>
        <v>0</v>
      </c>
      <c r="AE267" s="39" t="n">
        <f aca="false">AE241-AE252-AE260-AE264</f>
        <v>0</v>
      </c>
      <c r="AF267" s="39" t="n">
        <f aca="false">AF241-AF252-AF260-AF264</f>
        <v>0</v>
      </c>
      <c r="AG267" s="39" t="n">
        <f aca="false">AG241-AG252-AG260-AG264</f>
        <v>0</v>
      </c>
      <c r="AH267" s="39" t="n">
        <f aca="false">AH241-AH252-AH260-AH264</f>
        <v>0</v>
      </c>
      <c r="AI267" s="39" t="n">
        <f aca="false">AI241-AI252-AI260-AI264</f>
        <v>0</v>
      </c>
      <c r="AJ267" s="39" t="n">
        <f aca="false">AJ241-AJ252-AJ260-AJ264</f>
        <v>0</v>
      </c>
      <c r="AK267" s="39" t="n">
        <f aca="false">AK241-AK252-AK260-AK264</f>
        <v>0</v>
      </c>
      <c r="AL267" s="39" t="n">
        <f aca="false">AL241-AL252-AL260-AL264</f>
        <v>0</v>
      </c>
      <c r="AM267" s="39" t="n">
        <f aca="false">AM241-AM252-AM260-AM264</f>
        <v>0</v>
      </c>
      <c r="AN267" s="39" t="n">
        <f aca="false">AN241-AN252-AN260-AN264</f>
        <v>0</v>
      </c>
    </row>
    <row r="268" customFormat="false" ht="15" hidden="false" customHeight="false" outlineLevel="0" collapsed="false">
      <c r="A268" s="14" t="s">
        <v>173</v>
      </c>
      <c r="E268" s="39" t="n">
        <f aca="false">'Inputs &amp; Assumptions'!$C$135</f>
        <v>226949948.135664</v>
      </c>
      <c r="F268" s="39" t="n">
        <f aca="false">E269</f>
        <v>220283278.104148</v>
      </c>
      <c r="G268" s="39" t="n">
        <f aca="false">F269</f>
        <v>213486294.852729</v>
      </c>
      <c r="H268" s="39" t="n">
        <f aca="false">G269</f>
        <v>206593320.018575</v>
      </c>
      <c r="I268" s="39" t="n">
        <f aca="false">H269</f>
        <v>199634999.068029</v>
      </c>
      <c r="J268" s="39" t="n">
        <f aca="false">I269</f>
        <v>192945861.386597</v>
      </c>
      <c r="K268" s="39" t="n">
        <f aca="false">J269</f>
        <v>186664194.015185</v>
      </c>
      <c r="L268" s="39" t="n">
        <f aca="false">K269</f>
        <v>180762086.897417</v>
      </c>
      <c r="M268" s="39" t="n">
        <f aca="false">L269</f>
        <v>175213264.550215</v>
      </c>
      <c r="N268" s="39" t="n">
        <f aca="false">M269</f>
        <v>168989831.108995</v>
      </c>
      <c r="O268" s="39" t="n">
        <f aca="false">N269</f>
        <v>163108639.184844</v>
      </c>
      <c r="P268" s="39" t="n">
        <f aca="false">O269</f>
        <v>157560801.590323</v>
      </c>
      <c r="Q268" s="39" t="n">
        <f aca="false">P269</f>
        <v>152331958.221613</v>
      </c>
      <c r="R268" s="39" t="n">
        <f aca="false">Q269</f>
        <v>147422374.699167</v>
      </c>
      <c r="S268" s="39" t="n">
        <f aca="false">R269</f>
        <v>142820964.33062</v>
      </c>
      <c r="T268" s="39" t="n">
        <f aca="false">S269</f>
        <v>138514375.777895</v>
      </c>
      <c r="U268" s="39" t="n">
        <f aca="false">T269</f>
        <v>134486073.8109</v>
      </c>
      <c r="V268" s="39" t="n">
        <f aca="false">U269</f>
        <v>130711435.42167</v>
      </c>
      <c r="W268" s="39" t="n">
        <f aca="false">V269</f>
        <v>123702146.86995</v>
      </c>
      <c r="X268" s="39" t="n">
        <f aca="false">W269</f>
        <v>115522111.88568</v>
      </c>
      <c r="Y268" s="39" t="n">
        <f aca="false">X269</f>
        <v>107956471.743253</v>
      </c>
      <c r="Z268" s="39" t="n">
        <f aca="false">Y269</f>
        <v>100965019.252586</v>
      </c>
      <c r="AA268" s="39" t="n">
        <f aca="false">Z269</f>
        <v>96659533.4462932</v>
      </c>
      <c r="AB268" s="39" t="n">
        <f aca="false">AA269</f>
        <v>92688271.5304277</v>
      </c>
      <c r="AC268" s="39" t="n">
        <f aca="false">AB269</f>
        <v>87751261.2607718</v>
      </c>
      <c r="AD268" s="39" t="n">
        <f aca="false">AC269</f>
        <v>70859810.6029397</v>
      </c>
      <c r="AE268" s="39" t="n">
        <f aca="false">AD269</f>
        <v>55269777.1094216</v>
      </c>
      <c r="AF268" s="39" t="n">
        <f aca="false">AE269</f>
        <v>40925690.6542607</v>
      </c>
      <c r="AG268" s="39" t="n">
        <f aca="false">AF269</f>
        <v>36105697.255438</v>
      </c>
      <c r="AH268" s="39" t="n">
        <f aca="false">AG269</f>
        <v>35793408.0500986</v>
      </c>
      <c r="AI268" s="39" t="n">
        <f aca="false">AH269</f>
        <v>35548448.1096143</v>
      </c>
      <c r="AJ268" s="39" t="n">
        <f aca="false">AI269</f>
        <v>35365489.6987529</v>
      </c>
      <c r="AK268" s="39" t="n">
        <f aca="false">AJ269</f>
        <v>35239553.7948815</v>
      </c>
      <c r="AL268" s="39" t="n">
        <f aca="false">AK269</f>
        <v>35159299.644133</v>
      </c>
      <c r="AM268" s="39" t="n">
        <f aca="false">AL269</f>
        <v>35117858.6208972</v>
      </c>
      <c r="AN268" s="39" t="n">
        <f aca="false">AM269</f>
        <v>35112132.0411396</v>
      </c>
    </row>
    <row r="269" customFormat="false" ht="15" hidden="false" customHeight="false" outlineLevel="0" collapsed="false">
      <c r="A269" s="14" t="s">
        <v>174</v>
      </c>
      <c r="E269" s="39" t="n">
        <f aca="false">E268-E266</f>
        <v>220283278.104148</v>
      </c>
      <c r="F269" s="39" t="n">
        <f aca="false">F268-F266</f>
        <v>213486294.852729</v>
      </c>
      <c r="G269" s="39" t="n">
        <f aca="false">G268-G266</f>
        <v>206593320.018575</v>
      </c>
      <c r="H269" s="39" t="n">
        <f aca="false">H268-H266</f>
        <v>199634999.068029</v>
      </c>
      <c r="I269" s="39" t="n">
        <f aca="false">I268-I266</f>
        <v>192945861.386597</v>
      </c>
      <c r="J269" s="39" t="n">
        <f aca="false">J268-J266</f>
        <v>186664194.015185</v>
      </c>
      <c r="K269" s="39" t="n">
        <f aca="false">K268-K266</f>
        <v>180762086.897417</v>
      </c>
      <c r="L269" s="39" t="n">
        <f aca="false">L268-L266</f>
        <v>175213264.550215</v>
      </c>
      <c r="M269" s="39" t="n">
        <f aca="false">M268-M266</f>
        <v>168989831.108995</v>
      </c>
      <c r="N269" s="39" t="n">
        <f aca="false">N268-N266</f>
        <v>163108639.184844</v>
      </c>
      <c r="O269" s="39" t="n">
        <f aca="false">O268-O266</f>
        <v>157560801.590323</v>
      </c>
      <c r="P269" s="39" t="n">
        <f aca="false">P268-P266</f>
        <v>152331958.221613</v>
      </c>
      <c r="Q269" s="39" t="n">
        <f aca="false">Q268-Q266</f>
        <v>147422374.699167</v>
      </c>
      <c r="R269" s="39" t="n">
        <f aca="false">R268-R266</f>
        <v>142820964.33062</v>
      </c>
      <c r="S269" s="39" t="n">
        <f aca="false">S268-S266</f>
        <v>138514375.777895</v>
      </c>
      <c r="T269" s="39" t="n">
        <f aca="false">T268-T266</f>
        <v>134486073.8109</v>
      </c>
      <c r="U269" s="39" t="n">
        <f aca="false">U268-U266</f>
        <v>130711435.42167</v>
      </c>
      <c r="V269" s="39" t="n">
        <f aca="false">V268-V266</f>
        <v>123702146.86995</v>
      </c>
      <c r="W269" s="39" t="n">
        <f aca="false">W268-W266</f>
        <v>115522111.88568</v>
      </c>
      <c r="X269" s="39" t="n">
        <f aca="false">X268-X266</f>
        <v>107956471.743253</v>
      </c>
      <c r="Y269" s="39" t="n">
        <f aca="false">Y268-Y266</f>
        <v>100965019.252586</v>
      </c>
      <c r="Z269" s="39" t="n">
        <f aca="false">Z268-Z266</f>
        <v>96659533.4462932</v>
      </c>
      <c r="AA269" s="39" t="n">
        <f aca="false">AA268-AA266</f>
        <v>92688271.5304277</v>
      </c>
      <c r="AB269" s="39" t="n">
        <f aca="false">AB268-AB266</f>
        <v>87751261.2607718</v>
      </c>
      <c r="AC269" s="39" t="n">
        <f aca="false">AC268-AC266</f>
        <v>70859810.6029397</v>
      </c>
      <c r="AD269" s="39" t="n">
        <f aca="false">AD268-AD266</f>
        <v>55269777.1094216</v>
      </c>
      <c r="AE269" s="39" t="n">
        <f aca="false">AE268-AE266</f>
        <v>40925690.6542607</v>
      </c>
      <c r="AF269" s="39" t="n">
        <f aca="false">AF268-AF266</f>
        <v>36105697.255438</v>
      </c>
      <c r="AG269" s="39" t="n">
        <f aca="false">AG268-AG266</f>
        <v>35793408.0500986</v>
      </c>
      <c r="AH269" s="39" t="n">
        <f aca="false">AH268-AH266</f>
        <v>35548448.1096143</v>
      </c>
      <c r="AI269" s="39" t="n">
        <f aca="false">AI268-AI266</f>
        <v>35365489.6987529</v>
      </c>
      <c r="AJ269" s="39" t="n">
        <f aca="false">AJ268-AJ266</f>
        <v>35239553.7948815</v>
      </c>
      <c r="AK269" s="39" t="n">
        <f aca="false">AK268-AK266</f>
        <v>35159299.644133</v>
      </c>
      <c r="AL269" s="39" t="n">
        <f aca="false">AL268-AL266</f>
        <v>35117858.6208972</v>
      </c>
      <c r="AM269" s="39" t="n">
        <f aca="false">AM268-AM266</f>
        <v>35112132.0411396</v>
      </c>
      <c r="AN269" s="39" t="n">
        <f aca="false">AN268-AN266</f>
        <v>35112132.0411396</v>
      </c>
    </row>
    <row r="270" customFormat="false" ht="15" hidden="false" customHeight="false" outlineLevel="0" collapsed="false">
      <c r="A270" s="14" t="s">
        <v>175</v>
      </c>
      <c r="E270" s="18" t="n">
        <f aca="false">IF(E268&gt;0,E254/E268*4,0)</f>
        <v>0.115418747657128</v>
      </c>
      <c r="F270" s="18" t="n">
        <f aca="false">IF(F268&gt;0,F254/F268*4,0)</f>
        <v>0.112427606932581</v>
      </c>
      <c r="G270" s="18" t="n">
        <f aca="false">IF(G268&gt;0,G254/G268*4,0)</f>
        <v>0.109334993349887</v>
      </c>
      <c r="H270" s="18" t="n">
        <f aca="false">IF(H268&gt;0,H254/H268*4,0)</f>
        <v>0.106143177010744</v>
      </c>
      <c r="I270" s="18" t="n">
        <f aca="false">IF(I268&gt;0,I254/I268*4,0)</f>
        <v>0.102886428038816</v>
      </c>
      <c r="J270" s="18" t="n">
        <f aca="false">IF(J268&gt;0,J254/J268*4,0)</f>
        <v>0.0996419781419961</v>
      </c>
      <c r="K270" s="18" t="n">
        <f aca="false">IF(K268&gt;0,K254/K268*4,0)</f>
        <v>0.0964642303663381</v>
      </c>
      <c r="L270" s="18" t="n">
        <f aca="false">IF(L268&gt;0,L254/L268*4,0)</f>
        <v>0.09336747745145</v>
      </c>
      <c r="M270" s="18" t="n">
        <f aca="false">IF(M268&gt;0,M254/M268*4,0)</f>
        <v>0.0903387965412504</v>
      </c>
      <c r="N270" s="18" t="n">
        <f aca="false">IF(N268&gt;0,N254/N268*4,0)</f>
        <v>0.0884924789861788</v>
      </c>
      <c r="O270" s="18" t="n">
        <f aca="false">IF(O268&gt;0,O254/O268*4,0)</f>
        <v>0.0867310533149211</v>
      </c>
      <c r="P270" s="18" t="n">
        <f aca="false">IF(P268&gt;0,P254/P268*4,0)</f>
        <v>0.0850467840118631</v>
      </c>
      <c r="Q270" s="18" t="n">
        <f aca="false">IF(Q268&gt;0,Q254/Q268*4,0)</f>
        <v>0.0834082310678106</v>
      </c>
      <c r="R270" s="18" t="n">
        <f aca="false">IF(R268&gt;0,R254/R268*4,0)</f>
        <v>0.081779931689312</v>
      </c>
      <c r="S270" s="18" t="n">
        <f aca="false">IF(S268&gt;0,S254/S268*4,0)</f>
        <v>0.0801622394788145</v>
      </c>
      <c r="T270" s="18" t="n">
        <f aca="false">IF(T268&gt;0,T254/T268*4,0)</f>
        <v>0.0785537576884976</v>
      </c>
      <c r="U270" s="18" t="n">
        <f aca="false">IF(U268&gt;0,U254/U268*4,0)</f>
        <v>0.0769342647620818</v>
      </c>
      <c r="V270" s="18" t="n">
        <f aca="false">IF(V268&gt;0,V254/V268*4,0)</f>
        <v>0.0753065176051652</v>
      </c>
      <c r="W270" s="18" t="n">
        <f aca="false">IF(W268&gt;0,W254/W268*4,0)</f>
        <v>0.071759877316458</v>
      </c>
      <c r="X270" s="18" t="n">
        <f aca="false">IF(X268&gt;0,X254/X268*4,0)</f>
        <v>0.0670304935044555</v>
      </c>
      <c r="Y270" s="18" t="n">
        <f aca="false">IF(Y268&gt;0,Y254/Y268*4,0)</f>
        <v>0.0620361211388266</v>
      </c>
      <c r="Z270" s="18" t="n">
        <f aca="false">IF(Z268&gt;0,Z254/Z268*4,0)</f>
        <v>0.056786560257503</v>
      </c>
      <c r="AA270" s="18" t="n">
        <f aca="false">IF(AA268&gt;0,AA254/AA268*4,0)</f>
        <v>0.0511106133536138</v>
      </c>
      <c r="AB270" s="18" t="n">
        <f aca="false">IF(AB268&gt;0,AB254/AB268*4,0)</f>
        <v>0.0454439170762764</v>
      </c>
      <c r="AC270" s="18" t="n">
        <f aca="false">IF(AC268&gt;0,AC254/AC268*4,0)</f>
        <v>0.0397497392782487</v>
      </c>
      <c r="AD270" s="18" t="n">
        <f aca="false">IF(AD268&gt;0,AD254/AD268*4,0)</f>
        <v>0.0323022790057441</v>
      </c>
      <c r="AE270" s="18" t="n">
        <f aca="false">IF(AE268&gt;0,AE254/AE268*4,0)</f>
        <v>0.0214495674538667</v>
      </c>
      <c r="AF270" s="18" t="n">
        <f aca="false">IF(AF268&gt;0,AF254/AF268*4,0)</f>
        <v>0.00419512535165194</v>
      </c>
      <c r="AG270" s="18" t="n">
        <f aca="false">IF(AG268&gt;0,AG254/AG268*4,0)</f>
        <v>0</v>
      </c>
      <c r="AH270" s="18" t="n">
        <f aca="false">IF(AH268&gt;0,AH254/AH268*4,0)</f>
        <v>0</v>
      </c>
      <c r="AI270" s="18" t="n">
        <f aca="false">IF(AI268&gt;0,AI254/AI268*4,0)</f>
        <v>0</v>
      </c>
      <c r="AJ270" s="18" t="n">
        <f aca="false">IF(AJ268&gt;0,AJ254/AJ268*4,0)</f>
        <v>0</v>
      </c>
      <c r="AK270" s="18" t="n">
        <f aca="false">IF(AK268&gt;0,AK254/AK268*4,0)</f>
        <v>0</v>
      </c>
      <c r="AL270" s="18" t="n">
        <f aca="false">IF(AL268&gt;0,AL254/AL268*4,0)</f>
        <v>0</v>
      </c>
      <c r="AM270" s="18" t="n">
        <f aca="false">IF(AM268&gt;0,AM254/AM268*4,0)</f>
        <v>0</v>
      </c>
      <c r="AN270" s="18" t="n">
        <f aca="false">IF(AN268&gt;0,AN254/AN268*4,0)</f>
        <v>0</v>
      </c>
    </row>
    <row r="271" customFormat="false" ht="15" hidden="false" customHeight="false" outlineLevel="0" collapsed="false">
      <c r="A271" s="14" t="s">
        <v>176</v>
      </c>
      <c r="E271" s="39" t="n">
        <f aca="false">E252+E260+E264</f>
        <v>15555563.4068718</v>
      </c>
      <c r="F271" s="39" t="n">
        <f aca="false">F252+F260+F264</f>
        <v>15859627.5866441</v>
      </c>
      <c r="G271" s="39" t="n">
        <f aca="false">G252+G260+G264</f>
        <v>16083607.9463589</v>
      </c>
      <c r="H271" s="39" t="n">
        <f aca="false">H252+H260+H264</f>
        <v>16236082.2179402</v>
      </c>
      <c r="I271" s="39" t="n">
        <f aca="false">I252+I260+I264</f>
        <v>15607987.9233408</v>
      </c>
      <c r="J271" s="39" t="n">
        <f aca="false">J252+J260+J264</f>
        <v>14657223.8666297</v>
      </c>
      <c r="K271" s="39" t="n">
        <f aca="false">K252+K260+K264</f>
        <v>13771583.2747916</v>
      </c>
      <c r="L271" s="39" t="n">
        <f aca="false">L252+L260+L264</f>
        <v>12947252.1434713</v>
      </c>
      <c r="M271" s="39" t="n">
        <f aca="false">M252+M260+M264</f>
        <v>14521344.6961796</v>
      </c>
      <c r="N271" s="39" t="n">
        <f aca="false">N252+N260+N264</f>
        <v>13722781.1563523</v>
      </c>
      <c r="O271" s="39" t="n">
        <f aca="false">O252+O260+O264</f>
        <v>12944954.3872144</v>
      </c>
      <c r="P271" s="39" t="n">
        <f aca="false">P252+P260+P264</f>
        <v>12200634.5269908</v>
      </c>
      <c r="Q271" s="39" t="n">
        <f aca="false">Q252+Q260+Q264</f>
        <v>11455694.8857069</v>
      </c>
      <c r="R271" s="39" t="n">
        <f aca="false">R252+R260+R264</f>
        <v>10736624.1932766</v>
      </c>
      <c r="S271" s="39" t="n">
        <f aca="false">S252+S260+S264</f>
        <v>10048706.6230262</v>
      </c>
      <c r="T271" s="39" t="n">
        <f aca="false">T252+T260+T264</f>
        <v>9399371.25631976</v>
      </c>
      <c r="U271" s="39" t="n">
        <f aca="false">U252+U260+U264</f>
        <v>8807489.5748705</v>
      </c>
      <c r="V271" s="39" t="n">
        <f aca="false">V252+V260+V264</f>
        <v>16355006.6206796</v>
      </c>
      <c r="W271" s="39" t="n">
        <f aca="false">W252+W260+W264</f>
        <v>19086748.2966311</v>
      </c>
      <c r="X271" s="39" t="n">
        <f aca="false">X252+X260+X264</f>
        <v>17653160.3323302</v>
      </c>
      <c r="Y271" s="39" t="n">
        <f aca="false">Y252+Y260+Y264</f>
        <v>16313389.1448889</v>
      </c>
      <c r="Z271" s="39" t="n">
        <f aca="false">Z252+Z260+Z264</f>
        <v>17221943.2251715</v>
      </c>
      <c r="AA271" s="39" t="n">
        <f aca="false">AA252+AA260+AA264</f>
        <v>15885047.6634618</v>
      </c>
      <c r="AB271" s="39" t="n">
        <f aca="false">AB252+AB260+AB264</f>
        <v>13353097.2543475</v>
      </c>
      <c r="AC271" s="39" t="n">
        <f aca="false">AC252+AC260+AC264</f>
        <v>0</v>
      </c>
      <c r="AD271" s="39" t="n">
        <f aca="false">AD252+AD260+AD264</f>
        <v>0</v>
      </c>
      <c r="AE271" s="39" t="n">
        <f aca="false">AE252+AE260+AE264</f>
        <v>0</v>
      </c>
      <c r="AF271" s="39" t="n">
        <f aca="false">AF252+AF260+AF264</f>
        <v>0</v>
      </c>
      <c r="AG271" s="39" t="n">
        <f aca="false">AG252+AG260+AG264</f>
        <v>0</v>
      </c>
      <c r="AH271" s="39" t="n">
        <f aca="false">AH252+AH260+AH264</f>
        <v>0</v>
      </c>
      <c r="AI271" s="39" t="n">
        <f aca="false">AI252+AI260+AI264</f>
        <v>0</v>
      </c>
      <c r="AJ271" s="39" t="n">
        <f aca="false">AJ252+AJ260+AJ264</f>
        <v>0</v>
      </c>
      <c r="AK271" s="39" t="n">
        <f aca="false">AK252+AK260+AK264</f>
        <v>0</v>
      </c>
      <c r="AL271" s="39" t="n">
        <f aca="false">AL252+AL260+AL264</f>
        <v>0</v>
      </c>
      <c r="AM271" s="39" t="n">
        <f aca="false">AM252+AM260+AM264</f>
        <v>0</v>
      </c>
      <c r="AN271" s="39" t="n">
        <f aca="false">AN252+AN260+AN264</f>
        <v>0</v>
      </c>
    </row>
    <row r="272" customFormat="false" ht="15" hidden="false" customHeight="false" outlineLevel="0" collapsed="false">
      <c r="A272" s="14" t="s">
        <v>177</v>
      </c>
      <c r="D272" s="39" t="n">
        <f aca="false">-'Inputs &amp; Assumptions'!$C$134</f>
        <v>-340424922.203496</v>
      </c>
      <c r="E272" s="39" t="n">
        <f aca="false">E247+E258+E271</f>
        <v>19235556.8158916</v>
      </c>
      <c r="F272" s="39" t="n">
        <f aca="false">F247+F258+F271</f>
        <v>19371465.3552356</v>
      </c>
      <c r="G272" s="39" t="n">
        <f aca="false">G247+G258+G271</f>
        <v>19424003.1407388</v>
      </c>
      <c r="H272" s="39" t="n">
        <f aca="false">H247+H258+H271</f>
        <v>19402613.61042</v>
      </c>
      <c r="I272" s="39" t="n">
        <f aca="false">I247+I258+I271</f>
        <v>18599007.2670446</v>
      </c>
      <c r="J272" s="39" t="n">
        <f aca="false">J247+J258+J271</f>
        <v>17479520.8608822</v>
      </c>
      <c r="K272" s="39" t="n">
        <f aca="false">K247+K258+K271</f>
        <v>16435435.6790458</v>
      </c>
      <c r="L272" s="39" t="n">
        <f aca="false">L247+L258+L271</f>
        <v>15462233.7325251</v>
      </c>
      <c r="M272" s="39" t="n">
        <f aca="false">M247+M258+M271</f>
        <v>16896366.4895624</v>
      </c>
      <c r="N272" s="39" t="n">
        <f aca="false">N247+N258+N271</f>
        <v>15940827.2135694</v>
      </c>
      <c r="O272" s="39" t="n">
        <f aca="false">O247+O258+O271</f>
        <v>15014657.1801313</v>
      </c>
      <c r="P272" s="39" t="n">
        <f aca="false">P247+P258+P271</f>
        <v>14130402.362982</v>
      </c>
      <c r="Q272" s="39" t="n">
        <f aca="false">Q247+Q258+Q271</f>
        <v>13253573.8624612</v>
      </c>
      <c r="R272" s="39" t="n">
        <f aca="false">R247+R258+R271</f>
        <v>12410667.1083165</v>
      </c>
      <c r="S272" s="39" t="n">
        <f aca="false">S247+S258+S271</f>
        <v>11606686.6305368</v>
      </c>
      <c r="T272" s="39" t="n">
        <f aca="false">T247+T258+T271</f>
        <v>10848724.7452354</v>
      </c>
      <c r="U272" s="39" t="n">
        <f aca="false">U247+U258+U271</f>
        <v>10155235.8605053</v>
      </c>
      <c r="V272" s="39" t="n">
        <f aca="false">V247+V258+V271</f>
        <v>17607543.9440101</v>
      </c>
      <c r="W272" s="39" t="n">
        <f aca="false">W247+W258+W271</f>
        <v>20162487.9983921</v>
      </c>
      <c r="X272" s="39" t="n">
        <f aca="false">X247+X258+X271</f>
        <v>18522572.2850045</v>
      </c>
      <c r="Y272" s="39" t="n">
        <f aca="false">Y247+Y258+Y271</f>
        <v>16991970.4343708</v>
      </c>
      <c r="Z272" s="39" t="n">
        <f aca="false">Z247+Z258+Z271</f>
        <v>17724176.7779971</v>
      </c>
      <c r="AA272" s="39" t="n">
        <f aca="false">AA247+AA258+AA271</f>
        <v>16201112.0100234</v>
      </c>
      <c r="AB272" s="39" t="n">
        <f aca="false">AB247+AB258+AB271</f>
        <v>13497444.235667</v>
      </c>
      <c r="AC272" s="39" t="n">
        <f aca="false">AC247+AC258+AC271</f>
        <v>0</v>
      </c>
      <c r="AD272" s="39" t="n">
        <f aca="false">AD247+AD258+AD271</f>
        <v>0</v>
      </c>
      <c r="AE272" s="39" t="n">
        <f aca="false">AE247+AE258+AE271</f>
        <v>0</v>
      </c>
      <c r="AF272" s="39" t="n">
        <f aca="false">AF247+AF258+AF271</f>
        <v>0</v>
      </c>
      <c r="AG272" s="39" t="n">
        <f aca="false">AG247+AG258+AG271</f>
        <v>0</v>
      </c>
      <c r="AH272" s="39" t="n">
        <f aca="false">AH247+AH258+AH271</f>
        <v>0</v>
      </c>
      <c r="AI272" s="39" t="n">
        <f aca="false">AI247+AI258+AI271</f>
        <v>0</v>
      </c>
      <c r="AJ272" s="39" t="n">
        <f aca="false">AJ247+AJ258+AJ271</f>
        <v>0</v>
      </c>
      <c r="AK272" s="39" t="n">
        <f aca="false">AK247+AK258+AK271</f>
        <v>0</v>
      </c>
      <c r="AL272" s="39" t="n">
        <f aca="false">AL247+AL258+AL271</f>
        <v>0</v>
      </c>
      <c r="AM272" s="39" t="n">
        <f aca="false">AM247+AM258+AM271</f>
        <v>0</v>
      </c>
      <c r="AN272" s="39" t="n">
        <f aca="false">AN247+AN258+AN271</f>
        <v>0</v>
      </c>
    </row>
    <row r="273" customFormat="false" ht="15" hidden="false" customHeight="false" outlineLevel="0" collapsed="false">
      <c r="A273" s="14" t="s">
        <v>178</v>
      </c>
      <c r="D273" s="39" t="n">
        <f aca="false">-'Inputs &amp; Assumptions'!$C$135</f>
        <v>-226949948.135664</v>
      </c>
      <c r="E273" s="39" t="n">
        <f aca="false">E254+E266</f>
        <v>13215239.7301836</v>
      </c>
      <c r="F273" s="39" t="n">
        <f aca="false">F254+F266</f>
        <v>12988463.7025473</v>
      </c>
      <c r="G273" s="39" t="n">
        <f aca="false">G254+G266</f>
        <v>12728355.4911576</v>
      </c>
      <c r="H273" s="39" t="n">
        <f aca="false">H254+H266</f>
        <v>12440438.784538</v>
      </c>
      <c r="I273" s="39" t="n">
        <f aca="false">I254+I266</f>
        <v>11824070.6728422</v>
      </c>
      <c r="J273" s="39" t="n">
        <f aca="false">J254+J266</f>
        <v>11088044.1971307</v>
      </c>
      <c r="K273" s="39" t="n">
        <f aca="false">K254+K266</f>
        <v>10403711.5709247</v>
      </c>
      <c r="L273" s="39" t="n">
        <f aca="false">L254+L266</f>
        <v>9768147.3653199</v>
      </c>
      <c r="M273" s="39" t="n">
        <f aca="false">M254+M266</f>
        <v>10180572.3056024</v>
      </c>
      <c r="N273" s="39" t="n">
        <f aca="false">N254+N266</f>
        <v>9619774.19372363</v>
      </c>
      <c r="O273" s="39" t="n">
        <f aca="false">O254+O266</f>
        <v>9084483.61483668</v>
      </c>
      <c r="P273" s="39" t="n">
        <f aca="false">P254+P266</f>
        <v>8578853.23410742</v>
      </c>
      <c r="Q273" s="39" t="n">
        <f aca="false">Q254+Q266</f>
        <v>8086018.31503589</v>
      </c>
      <c r="R273" s="39" t="n">
        <f aca="false">R254+R266</f>
        <v>7615458.30164064</v>
      </c>
      <c r="S273" s="39" t="n">
        <f aca="false">S254+S266</f>
        <v>7168800.63904211</v>
      </c>
      <c r="T273" s="39" t="n">
        <f aca="false">T254+T266</f>
        <v>6748508.14480174</v>
      </c>
      <c r="U273" s="39" t="n">
        <f aca="false">U254+U266</f>
        <v>6361285.19157539</v>
      </c>
      <c r="V273" s="39" t="n">
        <f aca="false">V254+V266</f>
        <v>9470144.30491443</v>
      </c>
      <c r="W273" s="39" t="n">
        <f aca="false">W254+W266</f>
        <v>10399247.705063</v>
      </c>
      <c r="X273" s="39" t="n">
        <f aca="false">X254+X266</f>
        <v>9501516.18502073</v>
      </c>
      <c r="Y273" s="39" t="n">
        <f aca="false">Y254+Y266</f>
        <v>8665752.68036288</v>
      </c>
      <c r="Z273" s="39" t="n">
        <f aca="false">Z254+Z266</f>
        <v>5738849.8437146</v>
      </c>
      <c r="AA273" s="39" t="n">
        <f aca="false">AA254+AA266</f>
        <v>5206343.92609401</v>
      </c>
      <c r="AB273" s="39" t="n">
        <f aca="false">AB254+AB266</f>
        <v>5990039.80099888</v>
      </c>
      <c r="AC273" s="39" t="n">
        <f aca="false">AC254+AC266</f>
        <v>17763473.0969454</v>
      </c>
      <c r="AD273" s="39" t="n">
        <f aca="false">AD254+AD266</f>
        <v>16162266.8366157</v>
      </c>
      <c r="AE273" s="39" t="n">
        <f aca="false">AE254+AE266</f>
        <v>14640464.6582281</v>
      </c>
      <c r="AF273" s="39" t="n">
        <f aca="false">AF254+AF266</f>
        <v>4862915.49942205</v>
      </c>
      <c r="AG273" s="39" t="n">
        <f aca="false">AG254+AG266</f>
        <v>312289.205339385</v>
      </c>
      <c r="AH273" s="39" t="n">
        <f aca="false">AH254+AH266</f>
        <v>244959.940484273</v>
      </c>
      <c r="AI273" s="39" t="n">
        <f aca="false">AI254+AI266</f>
        <v>182958.410861441</v>
      </c>
      <c r="AJ273" s="39" t="n">
        <f aca="false">AJ254+AJ266</f>
        <v>125935.903871403</v>
      </c>
      <c r="AK273" s="39" t="n">
        <f aca="false">AK254+AK266</f>
        <v>80254.15074854</v>
      </c>
      <c r="AL273" s="39" t="n">
        <f aca="false">AL254+AL266</f>
        <v>41441.0232358007</v>
      </c>
      <c r="AM273" s="39" t="n">
        <f aca="false">AM254+AM266</f>
        <v>5726.57975756329</v>
      </c>
      <c r="AN273" s="39" t="n">
        <f aca="false">AN254+AN266</f>
        <v>0</v>
      </c>
    </row>
    <row r="274" customFormat="false" ht="15" hidden="false" customHeight="false" outlineLevel="0" collapsed="false">
      <c r="A274" s="14" t="s">
        <v>179</v>
      </c>
      <c r="E274" s="18" t="n">
        <f aca="false">IF('Scenario Analysis'!E235&gt;0,E267/'Scenario Analysis'!E235,0)</f>
        <v>0.603332282345706</v>
      </c>
      <c r="F274" s="18" t="n">
        <f aca="false">IF('Scenario Analysis'!F235&gt;0,F267/'Scenario Analysis'!F235,0)</f>
        <v>0.606689141754375</v>
      </c>
      <c r="G274" s="18" t="n">
        <f aca="false">IF('Scenario Analysis'!G235&gt;0,G267/'Scenario Analysis'!G235,0)</f>
        <v>0.610000773191812</v>
      </c>
      <c r="H274" s="18" t="n">
        <f aca="false">IF('Scenario Analysis'!H235&gt;0,H267/'Scenario Analysis'!H235,0)</f>
        <v>0.613232386622096</v>
      </c>
      <c r="I274" s="18" t="n">
        <f aca="false">IF('Scenario Analysis'!I235&gt;0,I267/'Scenario Analysis'!I235,0)</f>
        <v>0.616414450353421</v>
      </c>
      <c r="J274" s="18" t="n">
        <f aca="false">IF('Scenario Analysis'!J235&gt;0,J267/'Scenario Analysis'!J235,0)</f>
        <v>0.619548707723014</v>
      </c>
      <c r="K274" s="18" t="n">
        <f aca="false">IF('Scenario Analysis'!K235&gt;0,K267/'Scenario Analysis'!K235,0)</f>
        <v>0.622540995532382</v>
      </c>
      <c r="L274" s="18" t="n">
        <f aca="false">IF('Scenario Analysis'!L235&gt;0,L267/'Scenario Analysis'!L235,0)</f>
        <v>0.625326756295661</v>
      </c>
      <c r="M274" s="18" t="n">
        <f aca="false">IF('Scenario Analysis'!M235&gt;0,M267/'Scenario Analysis'!M235,0)</f>
        <v>0.620866494067571</v>
      </c>
      <c r="N274" s="18" t="n">
        <f aca="false">IF('Scenario Analysis'!N235&gt;0,N267/'Scenario Analysis'!N235,0)</f>
        <v>0.615638694487691</v>
      </c>
      <c r="O274" s="18" t="n">
        <f aca="false">IF('Scenario Analysis'!O235&gt;0,O267/'Scenario Analysis'!O235,0)</f>
        <v>0.609640276595168</v>
      </c>
      <c r="P274" s="18" t="n">
        <f aca="false">IF('Scenario Analysis'!P235&gt;0,P267/'Scenario Analysis'!P235,0)</f>
        <v>0.602858058899942</v>
      </c>
      <c r="Q274" s="18" t="n">
        <f aca="false">IF('Scenario Analysis'!Q235&gt;0,Q267/'Scenario Analysis'!Q235,0)</f>
        <v>0.595546424319099</v>
      </c>
      <c r="R274" s="18" t="n">
        <f aca="false">IF('Scenario Analysis'!R235&gt;0,R267/'Scenario Analysis'!R235,0)</f>
        <v>0.587827260807327</v>
      </c>
      <c r="S274" s="18" t="n">
        <f aca="false">IF('Scenario Analysis'!S235&gt;0,S267/'Scenario Analysis'!S235,0)</f>
        <v>0.579706556637314</v>
      </c>
      <c r="T274" s="18" t="n">
        <f aca="false">IF('Scenario Analysis'!T235&gt;0,T267/'Scenario Analysis'!T235,0)</f>
        <v>0.571180577730864</v>
      </c>
      <c r="U274" s="18" t="n">
        <f aca="false">IF('Scenario Analysis'!U235&gt;0,U267/'Scenario Analysis'!U235,0)</f>
        <v>0.562259866503494</v>
      </c>
      <c r="V274" s="18" t="n">
        <f aca="false">IF('Scenario Analysis'!V235&gt;0,V267/'Scenario Analysis'!V235,0)</f>
        <v>0.543650556351704</v>
      </c>
      <c r="W274" s="18" t="n">
        <f aca="false">IF('Scenario Analysis'!W235&gt;0,W267/'Scenario Analysis'!W235,0)</f>
        <v>0.515178061196182</v>
      </c>
      <c r="X274" s="18" t="n">
        <f aca="false">IF('Scenario Analysis'!X235&gt;0,X267/'Scenario Analysis'!X235,0)</f>
        <v>0.478273463900736</v>
      </c>
      <c r="Y274" s="18" t="n">
        <f aca="false">IF('Scenario Analysis'!Y235&gt;0,Y267/'Scenario Analysis'!Y235,0)</f>
        <v>0.428893068508353</v>
      </c>
      <c r="Z274" s="18" t="n">
        <f aca="false">IF('Scenario Analysis'!Z235&gt;0,Z267/'Scenario Analysis'!Z235,0)</f>
        <v>0.335281443460273</v>
      </c>
      <c r="AA274" s="18" t="n">
        <f aca="false">IF('Scenario Analysis'!AA235&gt;0,AA267/'Scenario Analysis'!AA235,0)</f>
        <v>0.197036658595442</v>
      </c>
      <c r="AB274" s="18" t="n">
        <f aca="false">IF('Scenario Analysis'!AB235&gt;0,AB267/'Scenario Analysis'!AB235,0)</f>
        <v>0</v>
      </c>
      <c r="AC274" s="18" t="n">
        <f aca="false">IF('Scenario Analysis'!AC235&gt;0,AC267/'Scenario Analysis'!AC235,0)</f>
        <v>0</v>
      </c>
      <c r="AD274" s="18" t="n">
        <f aca="false">IF('Scenario Analysis'!AD235&gt;0,AD267/'Scenario Analysis'!AD235,0)</f>
        <v>0</v>
      </c>
      <c r="AE274" s="18" t="n">
        <f aca="false">IF('Scenario Analysis'!AE235&gt;0,AE267/'Scenario Analysis'!AE235,0)</f>
        <v>0</v>
      </c>
      <c r="AF274" s="18" t="n">
        <f aca="false">IF('Scenario Analysis'!AF235&gt;0,AF267/'Scenario Analysis'!AF235,0)</f>
        <v>0</v>
      </c>
      <c r="AG274" s="18" t="n">
        <f aca="false">IF('Scenario Analysis'!AG235&gt;0,AG267/'Scenario Analysis'!AG235,0)</f>
        <v>0</v>
      </c>
      <c r="AH274" s="18" t="n">
        <f aca="false">IF('Scenario Analysis'!AH235&gt;0,AH267/'Scenario Analysis'!AH235,0)</f>
        <v>0</v>
      </c>
      <c r="AI274" s="18" t="n">
        <f aca="false">IF('Scenario Analysis'!AI235&gt;0,AI267/'Scenario Analysis'!AI235,0)</f>
        <v>0</v>
      </c>
      <c r="AJ274" s="18" t="n">
        <f aca="false">IF('Scenario Analysis'!AJ235&gt;0,AJ267/'Scenario Analysis'!AJ235,0)</f>
        <v>0</v>
      </c>
      <c r="AK274" s="18" t="n">
        <f aca="false">IF('Scenario Analysis'!AK235&gt;0,AK267/'Scenario Analysis'!AK235,0)</f>
        <v>0</v>
      </c>
      <c r="AL274" s="18" t="n">
        <f aca="false">IF('Scenario Analysis'!AL235&gt;0,AL267/'Scenario Analysis'!AL235,0)</f>
        <v>0</v>
      </c>
      <c r="AM274" s="18" t="n">
        <f aca="false">IF('Scenario Analysis'!AM235&gt;0,AM267/'Scenario Analysis'!AM235,0)</f>
        <v>0</v>
      </c>
      <c r="AN274" s="18" t="n">
        <f aca="false">IF('Scenario Analysis'!AN235&gt;0,AN267/'Scenario Analysis'!AN235,0)</f>
        <v>0</v>
      </c>
    </row>
    <row r="276" customFormat="false" ht="15" hidden="false" customHeight="false" outlineLevel="0" collapsed="false">
      <c r="A276" s="12" t="s">
        <v>218</v>
      </c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customFormat="false" ht="15" hidden="false" customHeight="false" outlineLevel="0" collapsed="false">
      <c r="A277" s="14" t="s">
        <v>181</v>
      </c>
      <c r="C277" s="41" t="n">
        <f aca="false">IFERROR(SUMPRODUCT(E271:AN271,'Inputs &amp; Assumptions'!E$48:AN$48)/SUM(E271:AN271),0)</f>
        <v>3.12156560419574</v>
      </c>
    </row>
    <row r="278" customFormat="false" ht="15" hidden="false" customHeight="false" outlineLevel="0" collapsed="false">
      <c r="A278" s="14" t="s">
        <v>182</v>
      </c>
      <c r="C278" s="41" t="n">
        <f aca="false">IFERROR(SUMPRODUCT(E266:AN266,'Inputs &amp; Assumptions'!E$48:AN$48)/SUM(E266:AN266),0)</f>
        <v>3.97495263363661</v>
      </c>
    </row>
    <row r="279" customFormat="false" ht="15" hidden="false" customHeight="false" outlineLevel="0" collapsed="false">
      <c r="A279" s="14" t="s">
        <v>183</v>
      </c>
      <c r="C279" s="41" t="n">
        <f aca="false">IFERROR(SUMPRODUCT('Scenario Analysis'!E231:AN231,'Inputs &amp; Assumptions'!E$48:AN$48)/SUM('Scenario Analysis'!E231:AN231),0)</f>
        <v>3.43150485380045</v>
      </c>
    </row>
    <row r="280" customFormat="false" ht="15" hidden="false" customHeight="false" outlineLevel="0" collapsed="false">
      <c r="A280" s="14" t="s">
        <v>184</v>
      </c>
      <c r="C280" s="44" t="n">
        <f aca="false">IFERROR((1+IRR(D272:AN272))^4-1,"n/a")</f>
        <v>0.043946203113111</v>
      </c>
    </row>
    <row r="281" customFormat="false" ht="15" hidden="false" customHeight="false" outlineLevel="0" collapsed="false">
      <c r="A281" s="14" t="s">
        <v>185</v>
      </c>
      <c r="C281" s="44" t="n">
        <f aca="false">IFERROR((1+IRR(D273:AN273))^4-1,"n/a")</f>
        <v>0.0613544156668537</v>
      </c>
    </row>
    <row r="282" customFormat="false" ht="15" hidden="false" customHeight="false" outlineLevel="0" collapsed="false">
      <c r="A282" s="14" t="s">
        <v>186</v>
      </c>
      <c r="C282" s="45" t="n">
        <f aca="false">SUM(E273:AN273)/'Inputs &amp; Assumptions'!$C$135</f>
        <v>1.22183242377711</v>
      </c>
    </row>
    <row r="283" customFormat="false" ht="15" hidden="false" customHeight="false" outlineLevel="0" collapsed="false">
      <c r="A283" s="14" t="s">
        <v>187</v>
      </c>
      <c r="C283" s="34" t="n">
        <f aca="false">SUM(E254:AN254)</f>
        <v>85456989.1121637</v>
      </c>
    </row>
    <row r="284" customFormat="false" ht="15" hidden="false" customHeight="false" outlineLevel="0" collapsed="false">
      <c r="A284" s="14" t="s">
        <v>188</v>
      </c>
      <c r="C284" s="34" t="n">
        <f aca="false">AN269</f>
        <v>35112132.0411396</v>
      </c>
    </row>
    <row r="285" customFormat="false" ht="15" hidden="false" customHeight="false" outlineLevel="0" collapsed="false">
      <c r="A285" s="14" t="s">
        <v>189</v>
      </c>
      <c r="C285" s="34" t="n">
        <f aca="false">SUMPRODUCT(--(E241:AN241&gt;1))</f>
        <v>24</v>
      </c>
    </row>
    <row r="286" customFormat="false" ht="15" hidden="false" customHeight="false" outlineLevel="0" collapsed="false">
      <c r="A286" s="14" t="s">
        <v>190</v>
      </c>
      <c r="C286" s="34" t="n">
        <f aca="false">SUM('Scenario Analysis'!E229:AN229)</f>
        <v>69678439.8876242</v>
      </c>
    </row>
    <row r="287" customFormat="false" ht="15" hidden="false" customHeight="false" outlineLevel="0" collapsed="false">
      <c r="A287" s="14" t="s">
        <v>191</v>
      </c>
      <c r="C287" s="34" t="n">
        <f aca="false">SUM('Scenario Analysis'!E230:AN230)</f>
        <v>34839219.9438121</v>
      </c>
    </row>
    <row r="288" customFormat="false" ht="15" hidden="false" customHeight="false" outlineLevel="0" collapsed="false">
      <c r="A288" s="14" t="s">
        <v>192</v>
      </c>
      <c r="C288" s="34" t="n">
        <f aca="false">SUM('Scenario Analysis'!E229:AN229)-SUM('Scenario Analysis'!E230:AN230)</f>
        <v>34839219.9438121</v>
      </c>
    </row>
    <row r="289" customFormat="false" ht="15" hidden="false" customHeight="false" outlineLevel="0" collapsed="false">
      <c r="A289" s="14" t="s">
        <v>193</v>
      </c>
      <c r="C289" s="44" t="n">
        <f aca="false">(SUM('Scenario Analysis'!E229:AN229)-SUM('Scenario Analysis'!E230:AN230))/'Inputs &amp; Assumptions'!$C$7</f>
        <v>0.0580653665730202</v>
      </c>
    </row>
    <row r="290" customFormat="false" ht="15" hidden="false" customHeight="false" outlineLevel="0" collapsed="false">
      <c r="A290" s="14" t="s">
        <v>194</v>
      </c>
      <c r="C290" s="46" t="n">
        <f aca="false">MAX(E274:AN274)</f>
        <v>0.625326756295661</v>
      </c>
    </row>
    <row r="293" customFormat="false" ht="15" hidden="false" customHeight="false" outlineLevel="0" collapsed="false">
      <c r="A293" s="3" t="s">
        <v>219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customFormat="false" ht="15" hidden="false" customHeight="false" outlineLevel="0" collapsed="false">
      <c r="A294" s="12" t="s">
        <v>220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customFormat="false" ht="15" hidden="false" customHeight="false" outlineLevel="0" collapsed="false">
      <c r="A295" s="2" t="s">
        <v>124</v>
      </c>
      <c r="B295" s="37" t="s">
        <v>125</v>
      </c>
      <c r="C295" s="37" t="s">
        <v>126</v>
      </c>
      <c r="D295" s="37" t="s">
        <v>127</v>
      </c>
      <c r="E295" s="37" t="n">
        <v>1</v>
      </c>
      <c r="F295" s="37" t="n">
        <v>2</v>
      </c>
      <c r="G295" s="37" t="n">
        <v>3</v>
      </c>
      <c r="H295" s="37" t="n">
        <v>4</v>
      </c>
      <c r="I295" s="37" t="n">
        <v>5</v>
      </c>
      <c r="J295" s="37" t="n">
        <v>6</v>
      </c>
      <c r="K295" s="37" t="n">
        <v>7</v>
      </c>
      <c r="L295" s="37" t="n">
        <v>8</v>
      </c>
      <c r="M295" s="37" t="n">
        <v>9</v>
      </c>
      <c r="N295" s="37" t="n">
        <v>10</v>
      </c>
      <c r="O295" s="37" t="n">
        <v>11</v>
      </c>
      <c r="P295" s="37" t="n">
        <v>12</v>
      </c>
      <c r="Q295" s="37" t="n">
        <v>13</v>
      </c>
      <c r="R295" s="37" t="n">
        <v>14</v>
      </c>
      <c r="S295" s="37" t="n">
        <v>15</v>
      </c>
      <c r="T295" s="37" t="n">
        <v>16</v>
      </c>
      <c r="U295" s="37" t="n">
        <v>17</v>
      </c>
      <c r="V295" s="37" t="n">
        <v>18</v>
      </c>
      <c r="W295" s="37" t="n">
        <v>19</v>
      </c>
      <c r="X295" s="37" t="n">
        <v>20</v>
      </c>
      <c r="Y295" s="37" t="n">
        <v>21</v>
      </c>
      <c r="Z295" s="37" t="n">
        <v>22</v>
      </c>
      <c r="AA295" s="37" t="n">
        <v>23</v>
      </c>
      <c r="AB295" s="37" t="n">
        <v>24</v>
      </c>
      <c r="AC295" s="37" t="n">
        <v>25</v>
      </c>
      <c r="AD295" s="37" t="n">
        <v>26</v>
      </c>
      <c r="AE295" s="37" t="n">
        <v>27</v>
      </c>
      <c r="AF295" s="37" t="n">
        <v>28</v>
      </c>
      <c r="AG295" s="37" t="n">
        <v>29</v>
      </c>
      <c r="AH295" s="37" t="n">
        <v>30</v>
      </c>
      <c r="AI295" s="37" t="n">
        <v>31</v>
      </c>
      <c r="AJ295" s="37" t="n">
        <v>32</v>
      </c>
      <c r="AK295" s="37" t="n">
        <v>33</v>
      </c>
      <c r="AL295" s="37" t="n">
        <v>34</v>
      </c>
      <c r="AM295" s="37" t="n">
        <v>35</v>
      </c>
      <c r="AN295" s="37" t="n">
        <v>36</v>
      </c>
    </row>
    <row r="296" customFormat="false" ht="15" hidden="false" customHeight="false" outlineLevel="0" collapsed="false">
      <c r="A296" s="14" t="s">
        <v>82</v>
      </c>
      <c r="B296" s="37" t="n">
        <v>1</v>
      </c>
      <c r="C296" s="38" t="n">
        <f aca="false">'Inputs &amp; Assumptions'!$C$140</f>
        <v>0</v>
      </c>
      <c r="D296" s="38" t="n">
        <f aca="false">'Inputs &amp; Assumptions'!$D$140</f>
        <v>1</v>
      </c>
      <c r="E296" s="39" t="n">
        <f aca="false">'Inputs &amp; Assumptions'!$G$140</f>
        <v>20000000</v>
      </c>
      <c r="F296" s="39" t="n">
        <f aca="false">E296-E307-E318-E329</f>
        <v>19139940.1199821</v>
      </c>
      <c r="G296" s="39" t="n">
        <f aca="false">F296-F307-F318-F329</f>
        <v>18316865.3898251</v>
      </c>
      <c r="H296" s="39" t="n">
        <f aca="false">G296-G307-G318-G329</f>
        <v>17529185.3373513</v>
      </c>
      <c r="I296" s="39" t="n">
        <f aca="false">H296-H307-H318-H329</f>
        <v>16775377.8854486</v>
      </c>
      <c r="J296" s="39" t="n">
        <f aca="false">I296-I307-I318-I329</f>
        <v>15507355.5459999</v>
      </c>
      <c r="K296" s="39" t="n">
        <f aca="false">J296-J307-J318-J329</f>
        <v>14335180.8628199</v>
      </c>
      <c r="L296" s="39" t="n">
        <f aca="false">K296-K307-K318-K329</f>
        <v>13251608.8742651</v>
      </c>
      <c r="M296" s="39" t="n">
        <f aca="false">L296-L307-L318-L329</f>
        <v>12249942.2530452</v>
      </c>
      <c r="N296" s="39" t="n">
        <f aca="false">M296-M307-M318-M329</f>
        <v>11344705.5797884</v>
      </c>
      <c r="O296" s="39" t="n">
        <f aca="false">N296-N307-N318-N329</f>
        <v>10506363.379802</v>
      </c>
      <c r="P296" s="39" t="n">
        <f aca="false">O296-O307-O318-O329</f>
        <v>9729972.33750185</v>
      </c>
      <c r="Q296" s="39" t="n">
        <f aca="false">P296-P307-P318-P329</f>
        <v>9010954.43458147</v>
      </c>
      <c r="R296" s="39" t="n">
        <f aca="false">Q296-Q307-Q318-Q329</f>
        <v>8369197.21842788</v>
      </c>
      <c r="S296" s="39" t="n">
        <f aca="false">R296-R307-R318-R329</f>
        <v>7773145.74049272</v>
      </c>
      <c r="T296" s="39" t="n">
        <f aca="false">S296-S307-S318-S329</f>
        <v>7219544.8531072</v>
      </c>
      <c r="U296" s="39" t="n">
        <f aca="false">T296-T307-T318-T329</f>
        <v>6705371.23915071</v>
      </c>
      <c r="V296" s="39" t="n">
        <f aca="false">U296-U307-U318-U329</f>
        <v>6243644.72834942</v>
      </c>
      <c r="W296" s="39" t="n">
        <f aca="false">V296-V307-V318-V329</f>
        <v>5813712.33649743</v>
      </c>
      <c r="X296" s="39" t="n">
        <f aca="false">W296-W307-W318-W329</f>
        <v>5413384.74594432</v>
      </c>
      <c r="Y296" s="39" t="n">
        <f aca="false">X296-X307-X318-X329</f>
        <v>5040623.3937054</v>
      </c>
      <c r="Z296" s="39" t="n">
        <f aca="false">Y296-Y307-Y318-Y329</f>
        <v>4701521.44581302</v>
      </c>
      <c r="AA296" s="39" t="n">
        <f aca="false">Z296-Z307-Z318-Z329</f>
        <v>4385232.17843313</v>
      </c>
      <c r="AB296" s="39" t="n">
        <f aca="false">AA296-AA307-AA318-AA329</f>
        <v>4090220.89559775</v>
      </c>
      <c r="AC296" s="39" t="n">
        <f aca="false">AB296-AB307-AB318-AB329</f>
        <v>3815056.14618613</v>
      </c>
      <c r="AD296" s="39" t="n">
        <f aca="false">AC296-AC307-AC318-AC329</f>
        <v>3563913.49971643</v>
      </c>
      <c r="AE296" s="39" t="n">
        <f aca="false">AD296-AD307-AD318-AD329</f>
        <v>3329303.40911459</v>
      </c>
      <c r="AF296" s="39" t="n">
        <f aca="false">AE296-AE307-AE318-AE329</f>
        <v>3110137.54705998</v>
      </c>
      <c r="AG296" s="39" t="n">
        <f aca="false">AF296-AF307-AF318-AF329</f>
        <v>0</v>
      </c>
      <c r="AH296" s="39" t="n">
        <f aca="false">AG296-AG307-AG318-AG329</f>
        <v>0</v>
      </c>
      <c r="AI296" s="39" t="n">
        <f aca="false">AH296-AH307-AH318-AH329</f>
        <v>0</v>
      </c>
      <c r="AJ296" s="39" t="n">
        <f aca="false">AI296-AI307-AI318-AI329</f>
        <v>0</v>
      </c>
      <c r="AK296" s="39" t="n">
        <f aca="false">AJ296-AJ307-AJ318-AJ329</f>
        <v>0</v>
      </c>
      <c r="AL296" s="39" t="n">
        <f aca="false">AK296-AK307-AK318-AK329</f>
        <v>0</v>
      </c>
      <c r="AM296" s="39" t="n">
        <f aca="false">AL296-AL307-AL318-AL329</f>
        <v>0</v>
      </c>
      <c r="AN296" s="39" t="n">
        <f aca="false">AM296-AM307-AM318-AM329</f>
        <v>0</v>
      </c>
    </row>
    <row r="297" customFormat="false" ht="15" hidden="false" customHeight="false" outlineLevel="0" collapsed="false">
      <c r="B297" s="37" t="n">
        <v>2</v>
      </c>
      <c r="C297" s="38" t="n">
        <f aca="false">'Inputs &amp; Assumptions'!$C$141</f>
        <v>1</v>
      </c>
      <c r="D297" s="38" t="n">
        <f aca="false">'Inputs &amp; Assumptions'!$D$141</f>
        <v>3</v>
      </c>
      <c r="E297" s="39" t="n">
        <f aca="false">'Inputs &amp; Assumptions'!$G$141</f>
        <v>60000000</v>
      </c>
      <c r="F297" s="39" t="n">
        <f aca="false">E297-E308-E319-E330</f>
        <v>57419820.3599464</v>
      </c>
      <c r="G297" s="39" t="n">
        <f aca="false">F297-F308-F319-F330</f>
        <v>54950596.1694753</v>
      </c>
      <c r="H297" s="39" t="n">
        <f aca="false">G297-G308-G319-G330</f>
        <v>52587556.0120539</v>
      </c>
      <c r="I297" s="39" t="n">
        <f aca="false">H297-H308-H319-H330</f>
        <v>48612551.9164301</v>
      </c>
      <c r="J297" s="39" t="n">
        <f aca="false">I297-I308-I319-I330</f>
        <v>44938011.6331312</v>
      </c>
      <c r="K297" s="39" t="n">
        <f aca="false">J297-J308-J319-J330</f>
        <v>41541223.6125976</v>
      </c>
      <c r="L297" s="39" t="n">
        <f aca="false">K297-K308-K319-K330</f>
        <v>38401193.03275</v>
      </c>
      <c r="M297" s="39" t="n">
        <f aca="false">L297-L308-L319-L330</f>
        <v>35563451.6367516</v>
      </c>
      <c r="N297" s="39" t="n">
        <f aca="false">M297-M308-M319-M330</f>
        <v>32935411.4399762</v>
      </c>
      <c r="O297" s="39" t="n">
        <f aca="false">N297-N308-N319-N330</f>
        <v>30501576.106846</v>
      </c>
      <c r="P297" s="39" t="n">
        <f aca="false">O297-O308-O319-O330</f>
        <v>28247594.4378969</v>
      </c>
      <c r="Q297" s="39" t="n">
        <f aca="false">P297-P308-P319-P330</f>
        <v>26235810.0369094</v>
      </c>
      <c r="R297" s="39" t="n">
        <f aca="false">Q297-Q308-Q319-Q330</f>
        <v>24367304.2604063</v>
      </c>
      <c r="S297" s="39" t="n">
        <f aca="false">R297-R308-R319-R330</f>
        <v>22631872.8517964</v>
      </c>
      <c r="T297" s="39" t="n">
        <f aca="false">S297-S308-S319-S330</f>
        <v>21020038.2982921</v>
      </c>
      <c r="U297" s="39" t="n">
        <f aca="false">T297-T308-T319-T330</f>
        <v>19572615.2408315</v>
      </c>
      <c r="V297" s="39" t="n">
        <f aca="false">U297-U308-U319-U330</f>
        <v>18224860.5796668</v>
      </c>
      <c r="W297" s="39" t="n">
        <f aca="false">V297-V308-V319-V330</f>
        <v>16969911.2285918</v>
      </c>
      <c r="X297" s="39" t="n">
        <f aca="false">W297-W308-W319-W330</f>
        <v>15801376.6880377</v>
      </c>
      <c r="Y297" s="39" t="n">
        <f aca="false">X297-X308-X319-X330</f>
        <v>14738357.8517196</v>
      </c>
      <c r="Z297" s="39" t="n">
        <f aca="false">Y297-Y308-Y319-Y330</f>
        <v>13746852.3441876</v>
      </c>
      <c r="AA297" s="39" t="n">
        <f aca="false">Z297-Z308-Z319-Z330</f>
        <v>12822049.1912435</v>
      </c>
      <c r="AB297" s="39" t="n">
        <f aca="false">AA297-AA308-AA319-AA330</f>
        <v>11959461.0712597</v>
      </c>
      <c r="AC297" s="39" t="n">
        <f aca="false">AB297-AB308-AB319-AB330</f>
        <v>11172177.5848056</v>
      </c>
      <c r="AD297" s="39" t="n">
        <f aca="false">AC297-AC308-AC319-AC330</f>
        <v>10436720.4544348</v>
      </c>
      <c r="AE297" s="39" t="n">
        <f aca="false">AD297-AD308-AD319-AD330</f>
        <v>9749677.98508309</v>
      </c>
      <c r="AF297" s="39" t="n">
        <f aca="false">AE297-AE308-AE319-AE330</f>
        <v>0</v>
      </c>
      <c r="AG297" s="39" t="n">
        <f aca="false">AF297-AF308-AF319-AF330</f>
        <v>0</v>
      </c>
      <c r="AH297" s="39" t="n">
        <f aca="false">AG297-AG308-AG319-AG330</f>
        <v>0</v>
      </c>
      <c r="AI297" s="39" t="n">
        <f aca="false">AH297-AH308-AH319-AH330</f>
        <v>0</v>
      </c>
      <c r="AJ297" s="39" t="n">
        <f aca="false">AI297-AI308-AI319-AI330</f>
        <v>0</v>
      </c>
      <c r="AK297" s="39" t="n">
        <f aca="false">AJ297-AJ308-AJ319-AJ330</f>
        <v>0</v>
      </c>
      <c r="AL297" s="39" t="n">
        <f aca="false">AK297-AK308-AK319-AK330</f>
        <v>0</v>
      </c>
      <c r="AM297" s="39" t="n">
        <f aca="false">AL297-AL308-AL319-AL330</f>
        <v>0</v>
      </c>
      <c r="AN297" s="39" t="n">
        <f aca="false">AM297-AM308-AM319-AM330</f>
        <v>0</v>
      </c>
    </row>
    <row r="298" customFormat="false" ht="15" hidden="false" customHeight="false" outlineLevel="0" collapsed="false">
      <c r="B298" s="37" t="n">
        <v>3</v>
      </c>
      <c r="C298" s="38" t="n">
        <f aca="false">'Inputs &amp; Assumptions'!$C$142</f>
        <v>2</v>
      </c>
      <c r="D298" s="38" t="n">
        <f aca="false">'Inputs &amp; Assumptions'!$D$142</f>
        <v>3</v>
      </c>
      <c r="E298" s="39" t="n">
        <f aca="false">'Inputs &amp; Assumptions'!$G$142</f>
        <v>60000000</v>
      </c>
      <c r="F298" s="39" t="n">
        <f aca="false">E298-E309-E320-E331</f>
        <v>57419820.3599464</v>
      </c>
      <c r="G298" s="39" t="n">
        <f aca="false">F298-F309-F320-F331</f>
        <v>54950596.1694753</v>
      </c>
      <c r="H298" s="39" t="n">
        <f aca="false">G298-G309-G320-G331</f>
        <v>50796973.8794308</v>
      </c>
      <c r="I298" s="39" t="n">
        <f aca="false">H298-H309-H320-H331</f>
        <v>46957316.8478368</v>
      </c>
      <c r="J298" s="39" t="n">
        <f aca="false">I298-I309-I320-I331</f>
        <v>43407892.9737387</v>
      </c>
      <c r="K298" s="39" t="n">
        <f aca="false">J298-J309-J320-J331</f>
        <v>40126764.02541</v>
      </c>
      <c r="L298" s="39" t="n">
        <f aca="false">K298-K309-K320-K331</f>
        <v>37161507.7307617</v>
      </c>
      <c r="M298" s="39" t="n">
        <f aca="false">L298-L309-L320-L331</f>
        <v>34415375.6318094</v>
      </c>
      <c r="N298" s="39" t="n">
        <f aca="false">M298-M309-M320-M331</f>
        <v>31872175.0597352</v>
      </c>
      <c r="O298" s="39" t="n">
        <f aca="false">N298-N309-N320-N331</f>
        <v>29516909.9389254</v>
      </c>
      <c r="P298" s="39" t="n">
        <f aca="false">O298-O309-O320-O331</f>
        <v>27414725.3047246</v>
      </c>
      <c r="Q298" s="39" t="n">
        <f aca="false">P298-P309-P320-P331</f>
        <v>25462257.5699354</v>
      </c>
      <c r="R298" s="39" t="n">
        <f aca="false">Q298-Q309-Q320-Q331</f>
        <v>23648843.9461403</v>
      </c>
      <c r="S298" s="39" t="n">
        <f aca="false">R298-R309-R320-R331</f>
        <v>21964581.0452115</v>
      </c>
      <c r="T298" s="39" t="n">
        <f aca="false">S298-S309-S320-S331</f>
        <v>20452117.5282024</v>
      </c>
      <c r="U298" s="39" t="n">
        <f aca="false">T298-T309-T320-T331</f>
        <v>19043801.0416135</v>
      </c>
      <c r="V298" s="39" t="n">
        <f aca="false">U298-U309-U320-U331</f>
        <v>17732460.1040681</v>
      </c>
      <c r="W298" s="39" t="n">
        <f aca="false">V298-V309-V320-V331</f>
        <v>16511417.056672</v>
      </c>
      <c r="X298" s="39" t="n">
        <f aca="false">W298-W309-W320-W331</f>
        <v>15400631.0984564</v>
      </c>
      <c r="Y298" s="39" t="n">
        <f aca="false">X298-X309-X320-X331</f>
        <v>14364571.9453802</v>
      </c>
      <c r="Z298" s="39" t="n">
        <f aca="false">Y298-Y309-Y320-Y331</f>
        <v>13398212.4404425</v>
      </c>
      <c r="AA298" s="39" t="n">
        <f aca="false">Z298-Z309-Z320-Z331</f>
        <v>12496863.6226547</v>
      </c>
      <c r="AB298" s="39" t="n">
        <f aca="false">AA298-AA309-AA320-AA331</f>
        <v>11674203.2783497</v>
      </c>
      <c r="AC298" s="39" t="n">
        <f aca="false">AB298-AB309-AB320-AB331</f>
        <v>10905698.1255013</v>
      </c>
      <c r="AD298" s="39" t="n">
        <f aca="false">AC298-AC309-AC320-AC331</f>
        <v>10187783.1633385</v>
      </c>
      <c r="AE298" s="39" t="n">
        <f aca="false">AD298-AD309-AD320-AD331</f>
        <v>0</v>
      </c>
      <c r="AF298" s="39" t="n">
        <f aca="false">AE298-AE309-AE320-AE331</f>
        <v>0</v>
      </c>
      <c r="AG298" s="39" t="n">
        <f aca="false">AF298-AF309-AF320-AF331</f>
        <v>0</v>
      </c>
      <c r="AH298" s="39" t="n">
        <f aca="false">AG298-AG309-AG320-AG331</f>
        <v>0</v>
      </c>
      <c r="AI298" s="39" t="n">
        <f aca="false">AH298-AH309-AH320-AH331</f>
        <v>0</v>
      </c>
      <c r="AJ298" s="39" t="n">
        <f aca="false">AI298-AI309-AI320-AI331</f>
        <v>0</v>
      </c>
      <c r="AK298" s="39" t="n">
        <f aca="false">AJ298-AJ309-AJ320-AJ331</f>
        <v>0</v>
      </c>
      <c r="AL298" s="39" t="n">
        <f aca="false">AK298-AK309-AK320-AK331</f>
        <v>0</v>
      </c>
      <c r="AM298" s="39" t="n">
        <f aca="false">AL298-AL309-AL320-AL331</f>
        <v>0</v>
      </c>
      <c r="AN298" s="39" t="n">
        <f aca="false">AM298-AM309-AM320-AM331</f>
        <v>0</v>
      </c>
    </row>
    <row r="299" customFormat="false" ht="15" hidden="false" customHeight="false" outlineLevel="0" collapsed="false">
      <c r="B299" s="37" t="n">
        <v>4</v>
      </c>
      <c r="C299" s="38" t="n">
        <f aca="false">'Inputs &amp; Assumptions'!$C$143</f>
        <v>3</v>
      </c>
      <c r="D299" s="38" t="n">
        <f aca="false">'Inputs &amp; Assumptions'!$D$143</f>
        <v>3</v>
      </c>
      <c r="E299" s="39" t="n">
        <f aca="false">'Inputs &amp; Assumptions'!$G$143</f>
        <v>60000000</v>
      </c>
      <c r="F299" s="39" t="n">
        <f aca="false">E299-E310-E321-E332</f>
        <v>57419820.3599464</v>
      </c>
      <c r="G299" s="39" t="n">
        <f aca="false">F299-F310-F321-F332</f>
        <v>53079553.6046622</v>
      </c>
      <c r="H299" s="39" t="n">
        <f aca="false">G299-G310-G321-G332</f>
        <v>49067360.2461412</v>
      </c>
      <c r="I299" s="39" t="n">
        <f aca="false">H299-H310-H321-H332</f>
        <v>45358441.7732015</v>
      </c>
      <c r="J299" s="39" t="n">
        <f aca="false">I299-I310-I321-I332</f>
        <v>41929874.1520278</v>
      </c>
      <c r="K299" s="39" t="n">
        <f aca="false">J299-J310-J321-J332</f>
        <v>38831373.0323168</v>
      </c>
      <c r="L299" s="39" t="n">
        <f aca="false">K299-K310-K321-K332</f>
        <v>35961842.5304055</v>
      </c>
      <c r="M299" s="39" t="n">
        <f aca="false">L299-L310-L321-L332</f>
        <v>33304362.354259</v>
      </c>
      <c r="N299" s="39" t="n">
        <f aca="false">M299-M310-M321-M332</f>
        <v>30843262.5743794</v>
      </c>
      <c r="O299" s="39" t="n">
        <f aca="false">N299-N310-N321-N332</f>
        <v>28646615.5409792</v>
      </c>
      <c r="P299" s="39" t="n">
        <f aca="false">O299-O310-O321-O332</f>
        <v>26606412.9880457</v>
      </c>
      <c r="Q299" s="39" t="n">
        <f aca="false">P299-P310-P321-P332</f>
        <v>24711512.9910473</v>
      </c>
      <c r="R299" s="39" t="n">
        <f aca="false">Q299-Q310-Q321-Q332</f>
        <v>22951567.1496594</v>
      </c>
      <c r="S299" s="39" t="n">
        <f aca="false">R299-R310-R321-R332</f>
        <v>21371140.5573838</v>
      </c>
      <c r="T299" s="39" t="n">
        <f aca="false">S299-S310-S321-S332</f>
        <v>19899540.8786381</v>
      </c>
      <c r="U299" s="39" t="n">
        <f aca="false">T299-T310-T321-T332</f>
        <v>18529274.3790304</v>
      </c>
      <c r="V299" s="39" t="n">
        <f aca="false">U299-U310-U321-U332</f>
        <v>17253363.336737</v>
      </c>
      <c r="W299" s="39" t="n">
        <f aca="false">V299-V310-V321-V332</f>
        <v>16092663.8243535</v>
      </c>
      <c r="X299" s="39" t="n">
        <f aca="false">W299-W310-W321-W332</f>
        <v>15010048.9921424</v>
      </c>
      <c r="Y299" s="39" t="n">
        <f aca="false">X299-X310-X321-X332</f>
        <v>14000265.7860509</v>
      </c>
      <c r="Z299" s="39" t="n">
        <f aca="false">Y299-Y310-Y321-Y332</f>
        <v>13058414.5449942</v>
      </c>
      <c r="AA299" s="39" t="n">
        <f aca="false">Z299-Z310-Z321-Z332</f>
        <v>12198787.6714011</v>
      </c>
      <c r="AB299" s="39" t="n">
        <f aca="false">AA299-AA310-AA321-AA332</f>
        <v>11395749.4716671</v>
      </c>
      <c r="AC299" s="39" t="n">
        <f aca="false">AB299-AB310-AB321-AB332</f>
        <v>10645574.750469</v>
      </c>
      <c r="AD299" s="39" t="n">
        <f aca="false">AC299-AC310-AC321-AC332</f>
        <v>0</v>
      </c>
      <c r="AE299" s="39" t="n">
        <f aca="false">AD299-AD310-AD321-AD332</f>
        <v>0</v>
      </c>
      <c r="AF299" s="39" t="n">
        <f aca="false">AE299-AE310-AE321-AE332</f>
        <v>0</v>
      </c>
      <c r="AG299" s="39" t="n">
        <f aca="false">AF299-AF310-AF321-AF332</f>
        <v>0</v>
      </c>
      <c r="AH299" s="39" t="n">
        <f aca="false">AG299-AG310-AG321-AG332</f>
        <v>0</v>
      </c>
      <c r="AI299" s="39" t="n">
        <f aca="false">AH299-AH310-AH321-AH332</f>
        <v>0</v>
      </c>
      <c r="AJ299" s="39" t="n">
        <f aca="false">AI299-AI310-AI321-AI332</f>
        <v>0</v>
      </c>
      <c r="AK299" s="39" t="n">
        <f aca="false">AJ299-AJ310-AJ321-AJ332</f>
        <v>0</v>
      </c>
      <c r="AL299" s="39" t="n">
        <f aca="false">AK299-AK310-AK321-AK332</f>
        <v>0</v>
      </c>
      <c r="AM299" s="39" t="n">
        <f aca="false">AL299-AL310-AL321-AL332</f>
        <v>0</v>
      </c>
      <c r="AN299" s="39" t="n">
        <f aca="false">AM299-AM310-AM321-AM332</f>
        <v>0</v>
      </c>
    </row>
    <row r="300" customFormat="false" ht="15" hidden="false" customHeight="false" outlineLevel="0" collapsed="false">
      <c r="B300" s="37" t="n">
        <v>5</v>
      </c>
      <c r="C300" s="38" t="n">
        <f aca="false">'Inputs &amp; Assumptions'!$C$144</f>
        <v>4</v>
      </c>
      <c r="D300" s="38" t="n">
        <f aca="false">'Inputs &amp; Assumptions'!$D$144</f>
        <v>3</v>
      </c>
      <c r="E300" s="39" t="n">
        <f aca="false">'Inputs &amp; Assumptions'!$G$144</f>
        <v>60000000</v>
      </c>
      <c r="F300" s="39" t="n">
        <f aca="false">E300-E311-E322-E333</f>
        <v>55464701.8453804</v>
      </c>
      <c r="G300" s="39" t="n">
        <f aca="false">F300-F311-F322-F333</f>
        <v>51272219.179949</v>
      </c>
      <c r="H300" s="39" t="n">
        <f aca="false">G300-G311-G322-G333</f>
        <v>47396639.1627811</v>
      </c>
      <c r="I300" s="39" t="n">
        <f aca="false">H300-H311-H322-H333</f>
        <v>43814007.6606122</v>
      </c>
      <c r="J300" s="39" t="n">
        <f aca="false">I300-I311-I322-I333</f>
        <v>40576274.3131853</v>
      </c>
      <c r="K300" s="39" t="n">
        <f aca="false">J300-J311-J322-J333</f>
        <v>37577800.4580706</v>
      </c>
      <c r="L300" s="39" t="n">
        <f aca="false">K300-K311-K322-K333</f>
        <v>34800905.4840136</v>
      </c>
      <c r="M300" s="39" t="n">
        <f aca="false">L300-L311-L322-L333</f>
        <v>32229215.3277731</v>
      </c>
      <c r="N300" s="39" t="n">
        <f aca="false">M300-M311-M322-M333</f>
        <v>29933861.1943431</v>
      </c>
      <c r="O300" s="39" t="n">
        <f aca="false">N300-N311-N322-N333</f>
        <v>27801981.4286341</v>
      </c>
      <c r="P300" s="39" t="n">
        <f aca="false">O300-O311-O322-O333</f>
        <v>25821933.4398527</v>
      </c>
      <c r="Q300" s="39" t="n">
        <f aca="false">P300-P311-P322-P333</f>
        <v>23982903.8186988</v>
      </c>
      <c r="R300" s="39" t="n">
        <f aca="false">Q300-Q311-Q322-Q333</f>
        <v>22331460.2066829</v>
      </c>
      <c r="S300" s="39" t="n">
        <f aca="false">R300-R311-R322-R333</f>
        <v>20793733.6834852</v>
      </c>
      <c r="T300" s="39" t="n">
        <f aca="false">S300-S311-S322-S333</f>
        <v>19361893.781147</v>
      </c>
      <c r="U300" s="39" t="n">
        <f aca="false">T300-T311-T322-T333</f>
        <v>18028649.2314826</v>
      </c>
      <c r="V300" s="39" t="n">
        <f aca="false">U300-U311-U322-U333</f>
        <v>16815793.2819787</v>
      </c>
      <c r="W300" s="39" t="n">
        <f aca="false">V300-V311-V322-V333</f>
        <v>15684530.7749651</v>
      </c>
      <c r="X300" s="39" t="n">
        <f aca="false">W300-W311-W322-W333</f>
        <v>14629372.6085743</v>
      </c>
      <c r="Y300" s="39" t="n">
        <f aca="false">X300-X311-X322-X333</f>
        <v>13645198.953743</v>
      </c>
      <c r="Z300" s="39" t="n">
        <f aca="false">Y300-Y311-Y322-Y333</f>
        <v>12746944.4469845</v>
      </c>
      <c r="AA300" s="39" t="n">
        <f aca="false">Z300-Z311-Z322-Z333</f>
        <v>11907821.4458674</v>
      </c>
      <c r="AB300" s="39" t="n">
        <f aca="false">AA300-AA311-AA322-AA333</f>
        <v>11123937.3621185</v>
      </c>
      <c r="AC300" s="39" t="n">
        <f aca="false">AB300-AB311-AB322-AB333</f>
        <v>0</v>
      </c>
      <c r="AD300" s="39" t="n">
        <f aca="false">AC300-AC311-AC322-AC333</f>
        <v>0</v>
      </c>
      <c r="AE300" s="39" t="n">
        <f aca="false">AD300-AD311-AD322-AD333</f>
        <v>0</v>
      </c>
      <c r="AF300" s="39" t="n">
        <f aca="false">AE300-AE311-AE322-AE333</f>
        <v>0</v>
      </c>
      <c r="AG300" s="39" t="n">
        <f aca="false">AF300-AF311-AF322-AF333</f>
        <v>0</v>
      </c>
      <c r="AH300" s="39" t="n">
        <f aca="false">AG300-AG311-AG322-AG333</f>
        <v>0</v>
      </c>
      <c r="AI300" s="39" t="n">
        <f aca="false">AH300-AH311-AH322-AH333</f>
        <v>0</v>
      </c>
      <c r="AJ300" s="39" t="n">
        <f aca="false">AI300-AI311-AI322-AI333</f>
        <v>0</v>
      </c>
      <c r="AK300" s="39" t="n">
        <f aca="false">AJ300-AJ311-AJ322-AJ333</f>
        <v>0</v>
      </c>
      <c r="AL300" s="39" t="n">
        <f aca="false">AK300-AK311-AK322-AK333</f>
        <v>0</v>
      </c>
      <c r="AM300" s="39" t="n">
        <f aca="false">AL300-AL311-AL322-AL333</f>
        <v>0</v>
      </c>
      <c r="AN300" s="39" t="n">
        <f aca="false">AM300-AM311-AM322-AM333</f>
        <v>0</v>
      </c>
    </row>
    <row r="301" customFormat="false" ht="15" hidden="false" customHeight="false" outlineLevel="0" collapsed="false">
      <c r="B301" s="37" t="n">
        <v>6</v>
      </c>
      <c r="C301" s="38" t="n">
        <f aca="false">'Inputs &amp; Assumptions'!$C$145</f>
        <v>5</v>
      </c>
      <c r="D301" s="38" t="n">
        <f aca="false">'Inputs &amp; Assumptions'!$D$145</f>
        <v>3</v>
      </c>
      <c r="E301" s="39" t="n">
        <f aca="false">'Inputs &amp; Assumptions'!$G$145</f>
        <v>58200000</v>
      </c>
      <c r="F301" s="39" t="n">
        <f aca="false">E301-E312-E323-E334</f>
        <v>53800760.790019</v>
      </c>
      <c r="G301" s="39" t="n">
        <f aca="false">F301-F312-F323-F334</f>
        <v>49734052.6045506</v>
      </c>
      <c r="H301" s="39" t="n">
        <f aca="false">G301-G312-G323-G334</f>
        <v>45974739.9878977</v>
      </c>
      <c r="I301" s="39" t="n">
        <f aca="false">H301-H312-H323-H334</f>
        <v>42577334.529097</v>
      </c>
      <c r="J301" s="39" t="n">
        <f aca="false">I301-I312-I323-I334</f>
        <v>39430987.8876932</v>
      </c>
      <c r="K301" s="39" t="n">
        <f aca="false">J301-J312-J323-J334</f>
        <v>36517147.5151144</v>
      </c>
      <c r="L301" s="39" t="n">
        <f aca="false">K301-K312-K323-K334</f>
        <v>33818631.8445454</v>
      </c>
      <c r="M301" s="39" t="n">
        <f aca="false">L301-L312-L323-L334</f>
        <v>31410079.9886635</v>
      </c>
      <c r="N301" s="39" t="n">
        <f aca="false">M301-M312-M323-M334</f>
        <v>29173064.4051281</v>
      </c>
      <c r="O301" s="39" t="n">
        <f aca="false">N301-N312-N323-N334</f>
        <v>27095368.3369452</v>
      </c>
      <c r="P301" s="39" t="n">
        <f aca="false">O301-O312-O323-O334</f>
        <v>25165645.100543</v>
      </c>
      <c r="Q301" s="39" t="n">
        <f aca="false">P301-P312-P323-P334</f>
        <v>23432758.8680114</v>
      </c>
      <c r="R301" s="39" t="n">
        <f aca="false">Q301-Q312-Q323-Q334</f>
        <v>21819197.7981332</v>
      </c>
      <c r="S301" s="39" t="n">
        <f aca="false">R301-R312-R323-R334</f>
        <v>20316745.2554622</v>
      </c>
      <c r="T301" s="39" t="n">
        <f aca="false">S301-S312-S323-S334</f>
        <v>18917750.39551</v>
      </c>
      <c r="U301" s="39" t="n">
        <f aca="false">T301-T312-T323-T334</f>
        <v>17645081.2219172</v>
      </c>
      <c r="V301" s="39" t="n">
        <f aca="false">U301-U312-U323-U334</f>
        <v>16458029.3543757</v>
      </c>
      <c r="W301" s="39" t="n">
        <f aca="false">V301-V312-V323-V334</f>
        <v>15350834.9903794</v>
      </c>
      <c r="X301" s="39" t="n">
        <f aca="false">W301-W312-W323-W334</f>
        <v>14318125.81129</v>
      </c>
      <c r="Y301" s="39" t="n">
        <f aca="false">X301-X312-X323-X334</f>
        <v>13375572.9704024</v>
      </c>
      <c r="Z301" s="39" t="n">
        <f aca="false">Y301-Y312-Y323-Y334</f>
        <v>12495067.7654676</v>
      </c>
      <c r="AA301" s="39" t="n">
        <f aca="false">Z301-Z312-Z323-Z334</f>
        <v>11672525.6412646</v>
      </c>
      <c r="AB301" s="39" t="n">
        <f aca="false">AA301-AA312-AA323-AA334</f>
        <v>0</v>
      </c>
      <c r="AC301" s="39" t="n">
        <f aca="false">AB301-AB312-AB323-AB334</f>
        <v>0</v>
      </c>
      <c r="AD301" s="39" t="n">
        <f aca="false">AC301-AC312-AC323-AC334</f>
        <v>0</v>
      </c>
      <c r="AE301" s="39" t="n">
        <f aca="false">AD301-AD312-AD323-AD334</f>
        <v>0</v>
      </c>
      <c r="AF301" s="39" t="n">
        <f aca="false">AE301-AE312-AE323-AE334</f>
        <v>0</v>
      </c>
      <c r="AG301" s="39" t="n">
        <f aca="false">AF301-AF312-AF323-AF334</f>
        <v>0</v>
      </c>
      <c r="AH301" s="39" t="n">
        <f aca="false">AG301-AG312-AG323-AG334</f>
        <v>0</v>
      </c>
      <c r="AI301" s="39" t="n">
        <f aca="false">AH301-AH312-AH323-AH334</f>
        <v>0</v>
      </c>
      <c r="AJ301" s="39" t="n">
        <f aca="false">AI301-AI312-AI323-AI334</f>
        <v>0</v>
      </c>
      <c r="AK301" s="39" t="n">
        <f aca="false">AJ301-AJ312-AJ323-AJ334</f>
        <v>0</v>
      </c>
      <c r="AL301" s="39" t="n">
        <f aca="false">AK301-AK312-AK323-AK334</f>
        <v>0</v>
      </c>
      <c r="AM301" s="39" t="n">
        <f aca="false">AL301-AL312-AL323-AL334</f>
        <v>0</v>
      </c>
      <c r="AN301" s="39" t="n">
        <f aca="false">AM301-AM312-AM323-AM334</f>
        <v>0</v>
      </c>
    </row>
    <row r="302" customFormat="false" ht="15" hidden="false" customHeight="false" outlineLevel="0" collapsed="false">
      <c r="B302" s="37" t="n">
        <v>7</v>
      </c>
      <c r="C302" s="38" t="n">
        <f aca="false">'Inputs &amp; Assumptions'!$C$146</f>
        <v>6</v>
      </c>
      <c r="D302" s="38" t="n">
        <f aca="false">'Inputs &amp; Assumptions'!$D$146</f>
        <v>3</v>
      </c>
      <c r="E302" s="39" t="n">
        <f aca="false">'Inputs &amp; Assumptions'!$G$146</f>
        <v>56454000</v>
      </c>
      <c r="F302" s="39" t="n">
        <f aca="false">E302-E313-E324-E335</f>
        <v>52186737.9663184</v>
      </c>
      <c r="G302" s="39" t="n">
        <f aca="false">F302-F313-F324-F335</f>
        <v>48242031.026414</v>
      </c>
      <c r="H302" s="39" t="n">
        <f aca="false">G302-G313-G324-G335</f>
        <v>44677079.0637512</v>
      </c>
      <c r="I302" s="39" t="n">
        <f aca="false">H302-H313-H324-H335</f>
        <v>41375567.1392811</v>
      </c>
      <c r="J302" s="39" t="n">
        <f aca="false">I302-I313-I324-I335</f>
        <v>38318027.7666393</v>
      </c>
      <c r="K302" s="39" t="n">
        <f aca="false">J302-J313-J324-J335</f>
        <v>35486432.0525772</v>
      </c>
      <c r="L302" s="39" t="n">
        <f aca="false">K302-K313-K324-K335</f>
        <v>32959100.0134885</v>
      </c>
      <c r="M302" s="39" t="n">
        <f aca="false">L302-L313-L324-L335</f>
        <v>30611763.7323938</v>
      </c>
      <c r="N302" s="39" t="n">
        <f aca="false">M302-M313-M324-M335</f>
        <v>28431603.970509</v>
      </c>
      <c r="O302" s="39" t="n">
        <f aca="false">N302-N313-N324-N335</f>
        <v>26406714.4710269</v>
      </c>
      <c r="P302" s="39" t="n">
        <f aca="false">O302-O313-O324-O335</f>
        <v>24588369.1923579</v>
      </c>
      <c r="Q302" s="39" t="n">
        <f aca="false">P302-P313-P324-P335</f>
        <v>22895233.7180394</v>
      </c>
      <c r="R302" s="39" t="n">
        <f aca="false">Q302-Q313-Q324-Q335</f>
        <v>21318686.2008956</v>
      </c>
      <c r="S302" s="39" t="n">
        <f aca="false">R302-R313-R324-R335</f>
        <v>19850698.4872647</v>
      </c>
      <c r="T302" s="39" t="n">
        <f aca="false">S302-S313-S324-S335</f>
        <v>18515266.3396336</v>
      </c>
      <c r="U302" s="39" t="n">
        <f aca="false">T302-T313-T324-T335</f>
        <v>17269673.8025366</v>
      </c>
      <c r="V302" s="39" t="n">
        <f aca="false">U302-U313-U324-U335</f>
        <v>16107877.0229519</v>
      </c>
      <c r="W302" s="39" t="n">
        <f aca="false">V302-V313-V324-V335</f>
        <v>15024238.7408864</v>
      </c>
      <c r="X302" s="39" t="n">
        <f aca="false">W302-W313-W324-W335</f>
        <v>14035202.9484903</v>
      </c>
      <c r="Y302" s="39" t="n">
        <f aca="false">X302-X313-X324-X335</f>
        <v>13111274.7342891</v>
      </c>
      <c r="Z302" s="39" t="n">
        <f aca="false">Y302-Y313-Y324-Y335</f>
        <v>12248168.1090688</v>
      </c>
      <c r="AA302" s="39" t="n">
        <f aca="false">Z302-Z313-Z324-Z335</f>
        <v>0</v>
      </c>
      <c r="AB302" s="39" t="n">
        <f aca="false">AA302-AA313-AA324-AA335</f>
        <v>0</v>
      </c>
      <c r="AC302" s="39" t="n">
        <f aca="false">AB302-AB313-AB324-AB335</f>
        <v>0</v>
      </c>
      <c r="AD302" s="39" t="n">
        <f aca="false">AC302-AC313-AC324-AC335</f>
        <v>0</v>
      </c>
      <c r="AE302" s="39" t="n">
        <f aca="false">AD302-AD313-AD324-AD335</f>
        <v>0</v>
      </c>
      <c r="AF302" s="39" t="n">
        <f aca="false">AE302-AE313-AE324-AE335</f>
        <v>0</v>
      </c>
      <c r="AG302" s="39" t="n">
        <f aca="false">AF302-AF313-AF324-AF335</f>
        <v>0</v>
      </c>
      <c r="AH302" s="39" t="n">
        <f aca="false">AG302-AG313-AG324-AG335</f>
        <v>0</v>
      </c>
      <c r="AI302" s="39" t="n">
        <f aca="false">AH302-AH313-AH324-AH335</f>
        <v>0</v>
      </c>
      <c r="AJ302" s="39" t="n">
        <f aca="false">AI302-AI313-AI324-AI335</f>
        <v>0</v>
      </c>
      <c r="AK302" s="39" t="n">
        <f aca="false">AJ302-AJ313-AJ324-AJ335</f>
        <v>0</v>
      </c>
      <c r="AL302" s="39" t="n">
        <f aca="false">AK302-AK313-AK324-AK335</f>
        <v>0</v>
      </c>
      <c r="AM302" s="39" t="n">
        <f aca="false">AL302-AL313-AL324-AL335</f>
        <v>0</v>
      </c>
      <c r="AN302" s="39" t="n">
        <f aca="false">AM302-AM313-AM324-AM335</f>
        <v>0</v>
      </c>
    </row>
    <row r="303" customFormat="false" ht="15" hidden="false" customHeight="false" outlineLevel="0" collapsed="false">
      <c r="B303" s="37" t="n">
        <v>8</v>
      </c>
      <c r="C303" s="38" t="n">
        <f aca="false">'Inputs &amp; Assumptions'!$C$147</f>
        <v>7</v>
      </c>
      <c r="D303" s="38" t="n">
        <f aca="false">'Inputs &amp; Assumptions'!$D$147</f>
        <v>3</v>
      </c>
      <c r="E303" s="39" t="n">
        <f aca="false">'Inputs &amp; Assumptions'!$G$147</f>
        <v>54760380</v>
      </c>
      <c r="F303" s="39" t="n">
        <f aca="false">E303-E314-E325-E336</f>
        <v>50621135.8273288</v>
      </c>
      <c r="G303" s="39" t="n">
        <f aca="false">F303-F314-F325-F336</f>
        <v>46880374.6346451</v>
      </c>
      <c r="H303" s="39" t="n">
        <f aca="false">G303-G314-G325-G336</f>
        <v>43416045.2934397</v>
      </c>
      <c r="I303" s="39" t="n">
        <f aca="false">H303-H314-H325-H336</f>
        <v>40207720.2584684</v>
      </c>
      <c r="J303" s="39" t="n">
        <f aca="false">I303-I314-I325-I336</f>
        <v>37236481.5232845</v>
      </c>
      <c r="K303" s="39" t="n">
        <f aca="false">J303-J314-J325-J336</f>
        <v>34584511.5355073</v>
      </c>
      <c r="L303" s="39" t="n">
        <f aca="false">K303-K314-K325-K336</f>
        <v>32121413.9795058</v>
      </c>
      <c r="M303" s="39" t="n">
        <f aca="false">L303-L314-L325-L336</f>
        <v>29833737.4227036</v>
      </c>
      <c r="N303" s="39" t="n">
        <f aca="false">M303-M314-M325-M336</f>
        <v>27708988.4391359</v>
      </c>
      <c r="O303" s="39" t="n">
        <f aca="false">N303-N314-N325-N336</f>
        <v>25800969.614595</v>
      </c>
      <c r="P303" s="39" t="n">
        <f aca="false">O303-O314-O325-O336</f>
        <v>24024335.4431891</v>
      </c>
      <c r="Q303" s="39" t="n">
        <f aca="false">P303-P314-P325-P336</f>
        <v>22370038.8825847</v>
      </c>
      <c r="R303" s="39" t="n">
        <f aca="false">Q303-Q314-Q325-Q336</f>
        <v>20829655.8625607</v>
      </c>
      <c r="S303" s="39" t="n">
        <f aca="false">R303-R314-R325-R336</f>
        <v>19428365.5210242</v>
      </c>
      <c r="T303" s="39" t="n">
        <f aca="false">S303-S314-S325-S336</f>
        <v>18121345.3217425</v>
      </c>
      <c r="U303" s="39" t="n">
        <f aca="false">T303-T314-T325-T336</f>
        <v>16902253.3529382</v>
      </c>
      <c r="V303" s="39" t="n">
        <f aca="false">U303-U314-U325-U336</f>
        <v>15765174.347411</v>
      </c>
      <c r="W303" s="39" t="n">
        <f aca="false">V303-V314-V325-V336</f>
        <v>14727363.2495001</v>
      </c>
      <c r="X303" s="39" t="n">
        <f aca="false">W303-W314-W325-W336</f>
        <v>13757870.5761885</v>
      </c>
      <c r="Y303" s="39" t="n">
        <f aca="false">X303-X314-X325-X336</f>
        <v>12852198.9703471</v>
      </c>
      <c r="Z303" s="39" t="n">
        <f aca="false">Y303-Y314-Y325-Y336</f>
        <v>0</v>
      </c>
      <c r="AA303" s="39" t="n">
        <f aca="false">Z303-Z314-Z325-Z336</f>
        <v>0</v>
      </c>
      <c r="AB303" s="39" t="n">
        <f aca="false">AA303-AA314-AA325-AA336</f>
        <v>0</v>
      </c>
      <c r="AC303" s="39" t="n">
        <f aca="false">AB303-AB314-AB325-AB336</f>
        <v>0</v>
      </c>
      <c r="AD303" s="39" t="n">
        <f aca="false">AC303-AC314-AC325-AC336</f>
        <v>0</v>
      </c>
      <c r="AE303" s="39" t="n">
        <f aca="false">AD303-AD314-AD325-AD336</f>
        <v>0</v>
      </c>
      <c r="AF303" s="39" t="n">
        <f aca="false">AE303-AE314-AE325-AE336</f>
        <v>0</v>
      </c>
      <c r="AG303" s="39" t="n">
        <f aca="false">AF303-AF314-AF325-AF336</f>
        <v>0</v>
      </c>
      <c r="AH303" s="39" t="n">
        <f aca="false">AG303-AG314-AG325-AG336</f>
        <v>0</v>
      </c>
      <c r="AI303" s="39" t="n">
        <f aca="false">AH303-AH314-AH325-AH336</f>
        <v>0</v>
      </c>
      <c r="AJ303" s="39" t="n">
        <f aca="false">AI303-AI314-AI325-AI336</f>
        <v>0</v>
      </c>
      <c r="AK303" s="39" t="n">
        <f aca="false">AJ303-AJ314-AJ325-AJ336</f>
        <v>0</v>
      </c>
      <c r="AL303" s="39" t="n">
        <f aca="false">AK303-AK314-AK325-AK336</f>
        <v>0</v>
      </c>
      <c r="AM303" s="39" t="n">
        <f aca="false">AL303-AL314-AL325-AL336</f>
        <v>0</v>
      </c>
      <c r="AN303" s="39" t="n">
        <f aca="false">AM303-AM314-AM325-AM336</f>
        <v>0</v>
      </c>
    </row>
    <row r="304" customFormat="false" ht="15" hidden="false" customHeight="false" outlineLevel="0" collapsed="false">
      <c r="B304" s="37" t="n">
        <v>9</v>
      </c>
      <c r="C304" s="38" t="n">
        <f aca="false">'Inputs &amp; Assumptions'!$C$148</f>
        <v>8</v>
      </c>
      <c r="D304" s="38" t="n">
        <f aca="false">'Inputs &amp; Assumptions'!$D$148</f>
        <v>3</v>
      </c>
      <c r="E304" s="39" t="n">
        <f aca="false">'Inputs &amp; Assumptions'!$G$148</f>
        <v>53117568.6</v>
      </c>
      <c r="F304" s="39" t="n">
        <f aca="false">E304-E315-E326-E337</f>
        <v>49192327.9663964</v>
      </c>
      <c r="G304" s="39" t="n">
        <f aca="false">F304-F315-F326-F337</f>
        <v>45557151.702036</v>
      </c>
      <c r="H304" s="39" t="n">
        <f aca="false">G304-G315-G326-G337</f>
        <v>42190604.856515</v>
      </c>
      <c r="I304" s="39" t="n">
        <f aca="false">H304-H315-H326-H337</f>
        <v>39072836.4626675</v>
      </c>
      <c r="J304" s="39" t="n">
        <f aca="false">I304-I315-I326-I337</f>
        <v>36290081.8790604</v>
      </c>
      <c r="K304" s="39" t="n">
        <f aca="false">J304-J315-J326-J337</f>
        <v>33705514.1632019</v>
      </c>
      <c r="L304" s="39" t="n">
        <f aca="false">K304-K315-K326-K337</f>
        <v>31305018.5114439</v>
      </c>
      <c r="M304" s="39" t="n">
        <f aca="false">L304-L315-L326-L337</f>
        <v>29075485.3718199</v>
      </c>
      <c r="N304" s="39" t="n">
        <f aca="false">M304-M315-M326-M337</f>
        <v>27073370.6593339</v>
      </c>
      <c r="O304" s="39" t="n">
        <f aca="false">N304-N315-N326-N337</f>
        <v>25209119.9677127</v>
      </c>
      <c r="P304" s="39" t="n">
        <f aca="false">O304-O315-O326-O337</f>
        <v>23473240.0905327</v>
      </c>
      <c r="Q304" s="39" t="n">
        <f aca="false">P304-P315-P326-P337</f>
        <v>21856891.5159868</v>
      </c>
      <c r="R304" s="39" t="n">
        <f aca="false">Q304-Q315-Q326-Q337</f>
        <v>20386495.1167638</v>
      </c>
      <c r="S304" s="39" t="n">
        <f aca="false">R304-R315-R326-R337</f>
        <v>19015017.8876921</v>
      </c>
      <c r="T304" s="39" t="n">
        <f aca="false">S304-S315-S326-S337</f>
        <v>17735805.1591678</v>
      </c>
      <c r="U304" s="39" t="n">
        <f aca="false">T304-T315-T326-T337</f>
        <v>16542649.9465757</v>
      </c>
      <c r="V304" s="39" t="n">
        <f aca="false">U304-U315-U326-U337</f>
        <v>15453658.1393756</v>
      </c>
      <c r="W304" s="39" t="n">
        <f aca="false">V304-V315-V326-V337</f>
        <v>14436353.9493336</v>
      </c>
      <c r="X304" s="39" t="n">
        <f aca="false">W304-W315-W326-W337</f>
        <v>13486018.227582</v>
      </c>
      <c r="Y304" s="39" t="n">
        <f aca="false">X304-X315-X326-X337</f>
        <v>0</v>
      </c>
      <c r="Z304" s="39" t="n">
        <f aca="false">Y304-Y315-Y326-Y337</f>
        <v>0</v>
      </c>
      <c r="AA304" s="39" t="n">
        <f aca="false">Z304-Z315-Z326-Z337</f>
        <v>0</v>
      </c>
      <c r="AB304" s="39" t="n">
        <f aca="false">AA304-AA315-AA326-AA337</f>
        <v>0</v>
      </c>
      <c r="AC304" s="39" t="n">
        <f aca="false">AB304-AB315-AB326-AB337</f>
        <v>0</v>
      </c>
      <c r="AD304" s="39" t="n">
        <f aca="false">AC304-AC315-AC326-AC337</f>
        <v>0</v>
      </c>
      <c r="AE304" s="39" t="n">
        <f aca="false">AD304-AD315-AD326-AD337</f>
        <v>0</v>
      </c>
      <c r="AF304" s="39" t="n">
        <f aca="false">AE304-AE315-AE326-AE337</f>
        <v>0</v>
      </c>
      <c r="AG304" s="39" t="n">
        <f aca="false">AF304-AF315-AF326-AF337</f>
        <v>0</v>
      </c>
      <c r="AH304" s="39" t="n">
        <f aca="false">AG304-AG315-AG326-AG337</f>
        <v>0</v>
      </c>
      <c r="AI304" s="39" t="n">
        <f aca="false">AH304-AH315-AH326-AH337</f>
        <v>0</v>
      </c>
      <c r="AJ304" s="39" t="n">
        <f aca="false">AI304-AI315-AI326-AI337</f>
        <v>0</v>
      </c>
      <c r="AK304" s="39" t="n">
        <f aca="false">AJ304-AJ315-AJ326-AJ337</f>
        <v>0</v>
      </c>
      <c r="AL304" s="39" t="n">
        <f aca="false">AK304-AK315-AK326-AK337</f>
        <v>0</v>
      </c>
      <c r="AM304" s="39" t="n">
        <f aca="false">AL304-AL315-AL326-AL337</f>
        <v>0</v>
      </c>
      <c r="AN304" s="39" t="n">
        <f aca="false">AM304-AM315-AM326-AM337</f>
        <v>0</v>
      </c>
    </row>
    <row r="305" customFormat="false" ht="15" hidden="false" customHeight="false" outlineLevel="0" collapsed="false">
      <c r="B305" s="37" t="n">
        <v>10</v>
      </c>
      <c r="C305" s="38" t="n">
        <f aca="false">'Inputs &amp; Assumptions'!$C$149</f>
        <v>9</v>
      </c>
      <c r="D305" s="38" t="n">
        <f aca="false">'Inputs &amp; Assumptions'!$D$149</f>
        <v>3</v>
      </c>
      <c r="E305" s="39" t="n">
        <f aca="false">'Inputs &amp; Assumptions'!$G$149</f>
        <v>51524041.542</v>
      </c>
      <c r="F305" s="39" t="n">
        <f aca="false">E305-E316-E327-E338</f>
        <v>47716558.1274045</v>
      </c>
      <c r="G305" s="39" t="n">
        <f aca="false">F305-F316-F327-F338</f>
        <v>44190437.1509749</v>
      </c>
      <c r="H305" s="39" t="n">
        <f aca="false">G305-G316-G327-G338</f>
        <v>40924886.7108195</v>
      </c>
      <c r="I305" s="39" t="n">
        <f aca="false">H305-H316-H327-H338</f>
        <v>38010229.7166455</v>
      </c>
      <c r="J305" s="39" t="n">
        <f aca="false">I305-I316-I327-I338</f>
        <v>35303153.6365914</v>
      </c>
      <c r="K305" s="39" t="n">
        <f aca="false">J305-J316-J327-J338</f>
        <v>32788874.6261112</v>
      </c>
      <c r="L305" s="39" t="n">
        <f aca="false">K305-K316-K327-K338</f>
        <v>30453661.7412134</v>
      </c>
      <c r="M305" s="39" t="n">
        <f aca="false">L305-L316-L327-L338</f>
        <v>28356646.9040939</v>
      </c>
      <c r="N305" s="39" t="n">
        <f aca="false">M305-M316-M327-M338</f>
        <v>26404030.8346651</v>
      </c>
      <c r="O305" s="39" t="n">
        <f aca="false">N305-N316-N327-N338</f>
        <v>24585870.3490537</v>
      </c>
      <c r="P305" s="39" t="n">
        <f aca="false">O305-O316-O327-O338</f>
        <v>22892906.9430903</v>
      </c>
      <c r="Q305" s="39" t="n">
        <f aca="false">P305-P316-P327-P338</f>
        <v>21352813.8373417</v>
      </c>
      <c r="R305" s="39" t="n">
        <f aca="false">Q305-Q316-Q327-Q338</f>
        <v>19916328.6648394</v>
      </c>
      <c r="S305" s="39" t="n">
        <f aca="false">R305-R316-R327-R338</f>
        <v>18576481.3250151</v>
      </c>
      <c r="T305" s="39" t="n">
        <f aca="false">S305-S316-S327-S338</f>
        <v>17326770.6225323</v>
      </c>
      <c r="U305" s="39" t="n">
        <f aca="false">T305-T316-T327-T338</f>
        <v>16186160.6649917</v>
      </c>
      <c r="V305" s="39" t="n">
        <f aca="false">U305-U316-U327-U338</f>
        <v>15120636.3136258</v>
      </c>
      <c r="W305" s="39" t="n">
        <f aca="false">V305-V316-V327-V338</f>
        <v>14125254.7321762</v>
      </c>
      <c r="X305" s="39" t="n">
        <f aca="false">W305-W316-W327-W338</f>
        <v>0</v>
      </c>
      <c r="Y305" s="39" t="n">
        <f aca="false">X305-X316-X327-X338</f>
        <v>0</v>
      </c>
      <c r="Z305" s="39" t="n">
        <f aca="false">Y305-Y316-Y327-Y338</f>
        <v>0</v>
      </c>
      <c r="AA305" s="39" t="n">
        <f aca="false">Z305-Z316-Z327-Z338</f>
        <v>0</v>
      </c>
      <c r="AB305" s="39" t="n">
        <f aca="false">AA305-AA316-AA327-AA338</f>
        <v>0</v>
      </c>
      <c r="AC305" s="39" t="n">
        <f aca="false">AB305-AB316-AB327-AB338</f>
        <v>0</v>
      </c>
      <c r="AD305" s="39" t="n">
        <f aca="false">AC305-AC316-AC327-AC338</f>
        <v>0</v>
      </c>
      <c r="AE305" s="39" t="n">
        <f aca="false">AD305-AD316-AD327-AD338</f>
        <v>0</v>
      </c>
      <c r="AF305" s="39" t="n">
        <f aca="false">AE305-AE316-AE327-AE338</f>
        <v>0</v>
      </c>
      <c r="AG305" s="39" t="n">
        <f aca="false">AF305-AF316-AF327-AF338</f>
        <v>0</v>
      </c>
      <c r="AH305" s="39" t="n">
        <f aca="false">AG305-AG316-AG327-AG338</f>
        <v>0</v>
      </c>
      <c r="AI305" s="39" t="n">
        <f aca="false">AH305-AH316-AH327-AH338</f>
        <v>0</v>
      </c>
      <c r="AJ305" s="39" t="n">
        <f aca="false">AI305-AI316-AI327-AI338</f>
        <v>0</v>
      </c>
      <c r="AK305" s="39" t="n">
        <f aca="false">AJ305-AJ316-AJ327-AJ338</f>
        <v>0</v>
      </c>
      <c r="AL305" s="39" t="n">
        <f aca="false">AK305-AK316-AK327-AK338</f>
        <v>0</v>
      </c>
      <c r="AM305" s="39" t="n">
        <f aca="false">AL305-AL316-AL327-AL338</f>
        <v>0</v>
      </c>
      <c r="AN305" s="39" t="n">
        <f aca="false">AM305-AM316-AM327-AM338</f>
        <v>0</v>
      </c>
    </row>
    <row r="306" customFormat="false" ht="15" hidden="false" customHeight="false" outlineLevel="0" collapsed="false">
      <c r="B306" s="37" t="n">
        <v>11</v>
      </c>
      <c r="C306" s="38" t="n">
        <f aca="false">'Inputs &amp; Assumptions'!$C$150</f>
        <v>10</v>
      </c>
      <c r="D306" s="38" t="n">
        <f aca="false">'Inputs &amp; Assumptions'!$D$150</f>
        <v>2</v>
      </c>
      <c r="E306" s="39" t="n">
        <f aca="false">'Inputs &amp; Assumptions'!$G$150</f>
        <v>33318880.19716</v>
      </c>
      <c r="F306" s="39" t="n">
        <f aca="false">E306-E317-E328-E339</f>
        <v>30856707.5890549</v>
      </c>
      <c r="G306" s="39" t="n">
        <f aca="false">F306-F317-F328-F339</f>
        <v>28576482.6909638</v>
      </c>
      <c r="H306" s="39" t="n">
        <f aca="false">G306-G317-G328-G339</f>
        <v>26541274.9765807</v>
      </c>
      <c r="I306" s="39" t="n">
        <f aca="false">H306-H317-H328-H339</f>
        <v>24651014.0873713</v>
      </c>
      <c r="J306" s="39" t="n">
        <f aca="false">I306-I317-I328-I339</f>
        <v>22895376.9580389</v>
      </c>
      <c r="K306" s="39" t="n">
        <f aca="false">J306-J317-J328-J339</f>
        <v>21264775.7286075</v>
      </c>
      <c r="L306" s="39" t="n">
        <f aca="false">K306-K317-K328-K339</f>
        <v>19800500.2470631</v>
      </c>
      <c r="M306" s="39" t="n">
        <f aca="false">L306-L317-L328-L339</f>
        <v>18437053.6062841</v>
      </c>
      <c r="N306" s="39" t="n">
        <f aca="false">M306-M317-M328-M339</f>
        <v>17167492.8127844</v>
      </c>
      <c r="O306" s="39" t="n">
        <f aca="false">N306-N317-N328-N339</f>
        <v>15985352.9620672</v>
      </c>
      <c r="P306" s="39" t="n">
        <f aca="false">O306-O317-O328-O339</f>
        <v>14909957.3405746</v>
      </c>
      <c r="Q306" s="39" t="n">
        <f aca="false">P306-P317-P328-P339</f>
        <v>13906907.6813806</v>
      </c>
      <c r="R306" s="39" t="n">
        <f aca="false">Q306-Q317-Q328-Q339</f>
        <v>12971336.9958569</v>
      </c>
      <c r="S306" s="39" t="n">
        <f aca="false">R306-R317-R328-R339</f>
        <v>12098705.7162504</v>
      </c>
      <c r="T306" s="39" t="n">
        <f aca="false">S306-S317-S328-S339</f>
        <v>11302255.84605</v>
      </c>
      <c r="U306" s="39" t="n">
        <f aca="false">T306-T317-T328-T339</f>
        <v>10558235.7489691</v>
      </c>
      <c r="V306" s="39" t="n">
        <f aca="false">U306-U317-U328-U339</f>
        <v>9863194.00739529</v>
      </c>
      <c r="W306" s="39" t="n">
        <f aca="false">V306-V317-V328-V339</f>
        <v>0</v>
      </c>
      <c r="X306" s="39" t="n">
        <f aca="false">W306-W317-W328-W339</f>
        <v>0</v>
      </c>
      <c r="Y306" s="39" t="n">
        <f aca="false">X306-X317-X328-X339</f>
        <v>0</v>
      </c>
      <c r="Z306" s="39" t="n">
        <f aca="false">Y306-Y317-Y328-Y339</f>
        <v>0</v>
      </c>
      <c r="AA306" s="39" t="n">
        <f aca="false">Z306-Z317-Z328-Z339</f>
        <v>0</v>
      </c>
      <c r="AB306" s="39" t="n">
        <f aca="false">AA306-AA317-AA328-AA339</f>
        <v>0</v>
      </c>
      <c r="AC306" s="39" t="n">
        <f aca="false">AB306-AB317-AB328-AB339</f>
        <v>0</v>
      </c>
      <c r="AD306" s="39" t="n">
        <f aca="false">AC306-AC317-AC328-AC339</f>
        <v>0</v>
      </c>
      <c r="AE306" s="39" t="n">
        <f aca="false">AD306-AD317-AD328-AD339</f>
        <v>0</v>
      </c>
      <c r="AF306" s="39" t="n">
        <f aca="false">AE306-AE317-AE328-AE339</f>
        <v>0</v>
      </c>
      <c r="AG306" s="39" t="n">
        <f aca="false">AF306-AF317-AF328-AF339</f>
        <v>0</v>
      </c>
      <c r="AH306" s="39" t="n">
        <f aca="false">AG306-AG317-AG328-AG339</f>
        <v>0</v>
      </c>
      <c r="AI306" s="39" t="n">
        <f aca="false">AH306-AH317-AH328-AH339</f>
        <v>0</v>
      </c>
      <c r="AJ306" s="39" t="n">
        <f aca="false">AI306-AI317-AI328-AI339</f>
        <v>0</v>
      </c>
      <c r="AK306" s="39" t="n">
        <f aca="false">AJ306-AJ317-AJ328-AJ339</f>
        <v>0</v>
      </c>
      <c r="AL306" s="39" t="n">
        <f aca="false">AK306-AK317-AK328-AK339</f>
        <v>0</v>
      </c>
      <c r="AM306" s="39" t="n">
        <f aca="false">AL306-AL317-AL328-AL339</f>
        <v>0</v>
      </c>
      <c r="AN306" s="39" t="n">
        <f aca="false">AM306-AM317-AM328-AM339</f>
        <v>0</v>
      </c>
    </row>
    <row r="307" customFormat="false" ht="15" hidden="false" customHeight="false" outlineLevel="0" collapsed="false">
      <c r="A307" s="14" t="s">
        <v>128</v>
      </c>
      <c r="B307" s="37" t="n">
        <v>1</v>
      </c>
      <c r="C307" s="38" t="n">
        <f aca="false">'Inputs &amp; Assumptions'!$C$140</f>
        <v>0</v>
      </c>
      <c r="D307" s="38" t="n">
        <f aca="false">'Inputs &amp; Assumptions'!$D$140</f>
        <v>1</v>
      </c>
      <c r="E307" s="39" t="n">
        <f aca="false">IF(1&lt;='Inputs &amp; Assumptions'!$E$140,'Inputs &amp; Assumptions'!$D$60*INDEX('Inputs &amp; Assumptions'!$C$26:$I$26,CEILING(('Inputs &amp; Assumptions'!$C$140+1)/4,1))*E296,0)</f>
        <v>238500</v>
      </c>
      <c r="F307" s="39" t="n">
        <f aca="false">IF(2&lt;='Inputs &amp; Assumptions'!$E$140,'Inputs &amp; Assumptions'!$D$60*INDEX('Inputs &amp; Assumptions'!$C$26:$I$26,CEILING(('Inputs &amp; Assumptions'!$C$140+2)/4,1))*F296,0)</f>
        <v>228243.785930787</v>
      </c>
      <c r="G307" s="39" t="n">
        <f aca="false">IF(3&lt;='Inputs &amp; Assumptions'!$E$140,'Inputs &amp; Assumptions'!$D$60*INDEX('Inputs &amp; Assumptions'!$C$26:$I$26,CEILING(('Inputs &amp; Assumptions'!$C$140+3)/4,1))*G296,0)</f>
        <v>218428.619773664</v>
      </c>
      <c r="H307" s="39" t="n">
        <f aca="false">IF(4&lt;='Inputs &amp; Assumptions'!$E$140,'Inputs &amp; Assumptions'!$D$60*INDEX('Inputs &amp; Assumptions'!$C$26:$I$26,CEILING(('Inputs &amp; Assumptions'!$C$140+4)/4,1))*H296,0)</f>
        <v>209035.535147914</v>
      </c>
      <c r="I307" s="39" t="n">
        <f aca="false">IF(5&lt;='Inputs &amp; Assumptions'!$E$140,'Inputs &amp; Assumptions'!$D$60*INDEX('Inputs &amp; Assumptions'!$C$26:$I$26,CEILING(('Inputs &amp; Assumptions'!$C$140+5)/4,1))*I296,0)</f>
        <v>269244.815061451</v>
      </c>
      <c r="J307" s="39" t="n">
        <f aca="false">IF(6&lt;='Inputs &amp; Assumptions'!$E$140,'Inputs &amp; Assumptions'!$D$60*INDEX('Inputs &amp; Assumptions'!$C$26:$I$26,CEILING(('Inputs &amp; Assumptions'!$C$140+6)/4,1))*J296,0)</f>
        <v>248893.056513299</v>
      </c>
      <c r="K307" s="39" t="n">
        <f aca="false">IF(7&lt;='Inputs &amp; Assumptions'!$E$140,'Inputs &amp; Assumptions'!$D$60*INDEX('Inputs &amp; Assumptions'!$C$26:$I$26,CEILING(('Inputs &amp; Assumptions'!$C$140+7)/4,1))*K296,0)</f>
        <v>230079.652848259</v>
      </c>
      <c r="L307" s="39" t="n">
        <f aca="false">IF(8&lt;='Inputs &amp; Assumptions'!$E$140,'Inputs &amp; Assumptions'!$D$60*INDEX('Inputs &amp; Assumptions'!$C$26:$I$26,CEILING(('Inputs &amp; Assumptions'!$C$140+8)/4,1))*L296,0)</f>
        <v>212688.322431955</v>
      </c>
      <c r="M307" s="39" t="n">
        <f aca="false">IF(9&lt;='Inputs &amp; Assumptions'!$E$140,'Inputs &amp; Assumptions'!$D$60*INDEX('Inputs &amp; Assumptions'!$C$26:$I$26,CEILING(('Inputs &amp; Assumptions'!$C$140+9)/4,1))*M296,0)</f>
        <v>174561.677105894</v>
      </c>
      <c r="N307" s="39" t="n">
        <f aca="false">IF(10&lt;='Inputs &amp; Assumptions'!$E$140,'Inputs &amp; Assumptions'!$D$60*INDEX('Inputs &amp; Assumptions'!$C$26:$I$26,CEILING(('Inputs &amp; Assumptions'!$C$140+10)/4,1))*N296,0)</f>
        <v>161662.054511985</v>
      </c>
      <c r="O307" s="39" t="n">
        <f aca="false">IF(11&lt;='Inputs &amp; Assumptions'!$E$140,'Inputs &amp; Assumptions'!$D$60*INDEX('Inputs &amp; Assumptions'!$C$26:$I$26,CEILING(('Inputs &amp; Assumptions'!$C$140+11)/4,1))*O296,0)</f>
        <v>149715.678162179</v>
      </c>
      <c r="P307" s="39" t="n">
        <f aca="false">IF(12&lt;='Inputs &amp; Assumptions'!$E$140,'Inputs &amp; Assumptions'!$D$60*INDEX('Inputs &amp; Assumptions'!$C$26:$I$26,CEILING(('Inputs &amp; Assumptions'!$C$140+12)/4,1))*P296,0)</f>
        <v>138652.105809401</v>
      </c>
      <c r="Q307" s="39" t="n">
        <f aca="false">IF(13&lt;='Inputs &amp; Assumptions'!$E$140,'Inputs &amp; Assumptions'!$D$60*INDEX('Inputs &amp; Assumptions'!$C$26:$I$26,CEILING(('Inputs &amp; Assumptions'!$C$140+13)/4,1))*Q296,0)</f>
        <v>102724.880554229</v>
      </c>
      <c r="R307" s="39" t="n">
        <f aca="false">IF(14&lt;='Inputs &amp; Assumptions'!$E$140,'Inputs &amp; Assumptions'!$D$60*INDEX('Inputs &amp; Assumptions'!$C$26:$I$26,CEILING(('Inputs &amp; Assumptions'!$C$140+14)/4,1))*R296,0)</f>
        <v>95408.8482900777</v>
      </c>
      <c r="S307" s="39" t="n">
        <f aca="false">IF(15&lt;='Inputs &amp; Assumptions'!$E$140,'Inputs &amp; Assumptions'!$D$60*INDEX('Inputs &amp; Assumptions'!$C$26:$I$26,CEILING(('Inputs &amp; Assumptions'!$C$140+15)/4,1))*S296,0)</f>
        <v>88613.8614416169</v>
      </c>
      <c r="T307" s="39" t="n">
        <f aca="false">IF(16&lt;='Inputs &amp; Assumptions'!$E$140,'Inputs &amp; Assumptions'!$D$60*INDEX('Inputs &amp; Assumptions'!$C$26:$I$26,CEILING(('Inputs &amp; Assumptions'!$C$140+16)/4,1))*T296,0)</f>
        <v>82302.8113254221</v>
      </c>
      <c r="U307" s="39" t="n">
        <f aca="false">IF(17&lt;='Inputs &amp; Assumptions'!$E$140,'Inputs &amp; Assumptions'!$D$60*INDEX('Inputs &amp; Assumptions'!$C$26:$I$26,CEILING(('Inputs &amp; Assumptions'!$C$140+17)/4,1))*U296,0)</f>
        <v>59593.9868879519</v>
      </c>
      <c r="V307" s="39" t="n">
        <f aca="false">IF(18&lt;='Inputs &amp; Assumptions'!$E$140,'Inputs &amp; Assumptions'!$D$60*INDEX('Inputs &amp; Assumptions'!$C$26:$I$26,CEILING(('Inputs &amp; Assumptions'!$C$140+18)/4,1))*V296,0)</f>
        <v>55490.3925232055</v>
      </c>
      <c r="W307" s="39" t="n">
        <f aca="false">IF(19&lt;='Inputs &amp; Assumptions'!$E$140,'Inputs &amp; Assumptions'!$D$60*INDEX('Inputs &amp; Assumptions'!$C$26:$I$26,CEILING(('Inputs &amp; Assumptions'!$C$140+19)/4,1))*W296,0)</f>
        <v>51669.3683906209</v>
      </c>
      <c r="X307" s="39" t="n">
        <f aca="false">IF(20&lt;='Inputs &amp; Assumptions'!$E$140,'Inputs &amp; Assumptions'!$D$60*INDEX('Inputs &amp; Assumptions'!$C$26:$I$26,CEILING(('Inputs &amp; Assumptions'!$C$140+20)/4,1))*X296,0)</f>
        <v>48111.4569295802</v>
      </c>
      <c r="Y307" s="39" t="n">
        <f aca="false">IF(21&lt;='Inputs &amp; Assumptions'!$E$140,'Inputs &amp; Assumptions'!$D$60*INDEX('Inputs &amp; Assumptions'!$C$26:$I$26,CEILING(('Inputs &amp; Assumptions'!$C$140+21)/4,1))*Y296,0)</f>
        <v>36292.488434679</v>
      </c>
      <c r="Z307" s="39" t="n">
        <f aca="false">IF(22&lt;='Inputs &amp; Assumptions'!$E$140,'Inputs &amp; Assumptions'!$D$60*INDEX('Inputs &amp; Assumptions'!$C$26:$I$26,CEILING(('Inputs &amp; Assumptions'!$C$140+22)/4,1))*Z296,0)</f>
        <v>33850.9544098538</v>
      </c>
      <c r="AA307" s="39" t="n">
        <f aca="false">IF(23&lt;='Inputs &amp; Assumptions'!$E$140,'Inputs &amp; Assumptions'!$D$60*INDEX('Inputs &amp; Assumptions'!$C$26:$I$26,CEILING(('Inputs &amp; Assumptions'!$C$140+23)/4,1))*AA296,0)</f>
        <v>31573.6716847186</v>
      </c>
      <c r="AB307" s="39" t="n">
        <f aca="false">IF(24&lt;='Inputs &amp; Assumptions'!$E$140,'Inputs &amp; Assumptions'!$D$60*INDEX('Inputs &amp; Assumptions'!$C$26:$I$26,CEILING(('Inputs &amp; Assumptions'!$C$140+24)/4,1))*AB296,0)</f>
        <v>29449.5904483039</v>
      </c>
      <c r="AC307" s="39" t="n">
        <f aca="false">IF(25&lt;='Inputs &amp; Assumptions'!$E$140,'Inputs &amp; Assumptions'!$D$60*INDEX('Inputs &amp; Assumptions'!$C$26:$I$26,CEILING(('Inputs &amp; Assumptions'!$C$140+25)/4,1))*AC296,0)</f>
        <v>21602.7554277789</v>
      </c>
      <c r="AD307" s="39" t="n">
        <f aca="false">IF(26&lt;='Inputs &amp; Assumptions'!$E$140,'Inputs &amp; Assumptions'!$D$60*INDEX('Inputs &amp; Assumptions'!$C$26:$I$26,CEILING(('Inputs &amp; Assumptions'!$C$140+26)/4,1))*AD296,0)</f>
        <v>20180.6601921443</v>
      </c>
      <c r="AE307" s="39" t="n">
        <f aca="false">IF(27&lt;='Inputs &amp; Assumptions'!$E$140,'Inputs &amp; Assumptions'!$D$60*INDEX('Inputs &amp; Assumptions'!$C$26:$I$26,CEILING(('Inputs &amp; Assumptions'!$C$140+27)/4,1))*AE296,0)</f>
        <v>18852.1805541113</v>
      </c>
      <c r="AF307" s="39" t="n">
        <f aca="false">IF(28&lt;='Inputs &amp; Assumptions'!$E$140,'Inputs &amp; Assumptions'!$D$60*INDEX('Inputs &amp; Assumptions'!$C$26:$I$26,CEILING(('Inputs &amp; Assumptions'!$C$140+28)/4,1))*AF296,0)</f>
        <v>17611.1538602271</v>
      </c>
      <c r="AG307" s="39" t="n">
        <f aca="false">IF(29&lt;='Inputs &amp; Assumptions'!$E$140,'Inputs &amp; Assumptions'!$D$60*INDEX('Inputs &amp; Assumptions'!$C$26:$I$26,CEILING(('Inputs &amp; Assumptions'!$C$140+29)/4,1))*AG296,0)</f>
        <v>0</v>
      </c>
      <c r="AH307" s="39" t="n">
        <f aca="false">IF(30&lt;='Inputs &amp; Assumptions'!$E$140,'Inputs &amp; Assumptions'!$D$60*INDEX('Inputs &amp; Assumptions'!$C$26:$I$26,CEILING(('Inputs &amp; Assumptions'!$C$140+30)/4,1))*AH296,0)</f>
        <v>0</v>
      </c>
      <c r="AI307" s="39" t="n">
        <f aca="false">IF(31&lt;='Inputs &amp; Assumptions'!$E$140,'Inputs &amp; Assumptions'!$D$60*INDEX('Inputs &amp; Assumptions'!$C$26:$I$26,CEILING(('Inputs &amp; Assumptions'!$C$140+31)/4,1))*AI296,0)</f>
        <v>0</v>
      </c>
      <c r="AJ307" s="39" t="n">
        <f aca="false">IF(32&lt;='Inputs &amp; Assumptions'!$E$140,'Inputs &amp; Assumptions'!$D$60*INDEX('Inputs &amp; Assumptions'!$C$26:$I$26,CEILING(('Inputs &amp; Assumptions'!$C$140+32)/4,1))*AJ296,0)</f>
        <v>0</v>
      </c>
      <c r="AK307" s="39" t="n">
        <f aca="false">IF(33&lt;='Inputs &amp; Assumptions'!$E$140,'Inputs &amp; Assumptions'!$D$60*INDEX('Inputs &amp; Assumptions'!$C$26:$I$26,CEILING(('Inputs &amp; Assumptions'!$C$140+33)/4,1))*AK296,0)</f>
        <v>0</v>
      </c>
      <c r="AL307" s="39" t="n">
        <f aca="false">IF(34&lt;='Inputs &amp; Assumptions'!$E$140,'Inputs &amp; Assumptions'!$D$60*INDEX('Inputs &amp; Assumptions'!$C$26:$I$26,CEILING(('Inputs &amp; Assumptions'!$C$140+34)/4,1))*AL296,0)</f>
        <v>0</v>
      </c>
      <c r="AM307" s="39" t="n">
        <f aca="false">IF(35&lt;='Inputs &amp; Assumptions'!$E$140,'Inputs &amp; Assumptions'!$D$60*INDEX('Inputs &amp; Assumptions'!$C$26:$I$26,CEILING(('Inputs &amp; Assumptions'!$C$140+35)/4,1))*AM296,0)</f>
        <v>0</v>
      </c>
      <c r="AN307" s="39" t="n">
        <f aca="false">IF(36&lt;='Inputs &amp; Assumptions'!$E$140,'Inputs &amp; Assumptions'!$D$60*INDEX('Inputs &amp; Assumptions'!$C$26:$I$26,CEILING(('Inputs &amp; Assumptions'!$C$140+36)/4,1))*AN296,0)</f>
        <v>0</v>
      </c>
    </row>
    <row r="308" customFormat="false" ht="15" hidden="false" customHeight="false" outlineLevel="0" collapsed="false">
      <c r="B308" s="37" t="n">
        <v>2</v>
      </c>
      <c r="C308" s="38" t="n">
        <f aca="false">'Inputs &amp; Assumptions'!$C$141</f>
        <v>1</v>
      </c>
      <c r="D308" s="38" t="n">
        <f aca="false">'Inputs &amp; Assumptions'!$D$141</f>
        <v>3</v>
      </c>
      <c r="E308" s="39" t="n">
        <f aca="false">IF(1&lt;='Inputs &amp; Assumptions'!$E$141,'Inputs &amp; Assumptions'!$D$60*INDEX('Inputs &amp; Assumptions'!$C$26:$I$26,CEILING(('Inputs &amp; Assumptions'!$C$141+1)/4,1))*E297,0)</f>
        <v>715500</v>
      </c>
      <c r="F308" s="39" t="n">
        <f aca="false">IF(2&lt;='Inputs &amp; Assumptions'!$E$141,'Inputs &amp; Assumptions'!$D$60*INDEX('Inputs &amp; Assumptions'!$C$26:$I$26,CEILING(('Inputs &amp; Assumptions'!$C$141+2)/4,1))*F297,0)</f>
        <v>684731.357792361</v>
      </c>
      <c r="G308" s="39" t="n">
        <f aca="false">IF(3&lt;='Inputs &amp; Assumptions'!$E$141,'Inputs &amp; Assumptions'!$D$60*INDEX('Inputs &amp; Assumptions'!$C$26:$I$26,CEILING(('Inputs &amp; Assumptions'!$C$141+3)/4,1))*G297,0)</f>
        <v>655285.859320993</v>
      </c>
      <c r="H308" s="39" t="n">
        <f aca="false">IF(4&lt;='Inputs &amp; Assumptions'!$E$141,'Inputs &amp; Assumptions'!$D$60*INDEX('Inputs &amp; Assumptions'!$C$26:$I$26,CEILING(('Inputs &amp; Assumptions'!$C$141+4)/4,1))*H297,0)</f>
        <v>844030.273993465</v>
      </c>
      <c r="I308" s="39" t="n">
        <f aca="false">IF(5&lt;='Inputs &amp; Assumptions'!$E$141,'Inputs &amp; Assumptions'!$D$60*INDEX('Inputs &amp; Assumptions'!$C$26:$I$26,CEILING(('Inputs &amp; Assumptions'!$C$141+5)/4,1))*I297,0)</f>
        <v>780231.458258704</v>
      </c>
      <c r="J308" s="39" t="n">
        <f aca="false">IF(6&lt;='Inputs &amp; Assumptions'!$E$141,'Inputs &amp; Assumptions'!$D$60*INDEX('Inputs &amp; Assumptions'!$C$26:$I$26,CEILING(('Inputs &amp; Assumptions'!$C$141+6)/4,1))*J297,0)</f>
        <v>721255.086711756</v>
      </c>
      <c r="K308" s="39" t="n">
        <f aca="false">IF(7&lt;='Inputs &amp; Assumptions'!$E$141,'Inputs &amp; Assumptions'!$D$60*INDEX('Inputs &amp; Assumptions'!$C$26:$I$26,CEILING(('Inputs &amp; Assumptions'!$C$141+7)/4,1))*K297,0)</f>
        <v>666736.638982192</v>
      </c>
      <c r="L308" s="39" t="n">
        <f aca="false">IF(8&lt;='Inputs &amp; Assumptions'!$E$141,'Inputs &amp; Assumptions'!$D$60*INDEX('Inputs &amp; Assumptions'!$C$26:$I$26,CEILING(('Inputs &amp; Assumptions'!$C$141+8)/4,1))*L297,0)</f>
        <v>547217.000716688</v>
      </c>
      <c r="M308" s="39" t="n">
        <f aca="false">IF(9&lt;='Inputs &amp; Assumptions'!$E$141,'Inputs &amp; Assumptions'!$D$60*INDEX('Inputs &amp; Assumptions'!$C$26:$I$26,CEILING(('Inputs &amp; Assumptions'!$C$141+9)/4,1))*M297,0)</f>
        <v>506779.18582371</v>
      </c>
      <c r="N308" s="39" t="n">
        <f aca="false">IF(10&lt;='Inputs &amp; Assumptions'!$E$141,'Inputs &amp; Assumptions'!$D$60*INDEX('Inputs &amp; Assumptions'!$C$26:$I$26,CEILING(('Inputs &amp; Assumptions'!$C$141+10)/4,1))*N297,0)</f>
        <v>469329.613019661</v>
      </c>
      <c r="O308" s="39" t="n">
        <f aca="false">IF(11&lt;='Inputs &amp; Assumptions'!$E$141,'Inputs &amp; Assumptions'!$D$60*INDEX('Inputs &amp; Assumptions'!$C$26:$I$26,CEILING(('Inputs &amp; Assumptions'!$C$141+11)/4,1))*O297,0)</f>
        <v>434647.459522556</v>
      </c>
      <c r="P308" s="39" t="n">
        <f aca="false">IF(12&lt;='Inputs &amp; Assumptions'!$E$141,'Inputs &amp; Assumptions'!$D$60*INDEX('Inputs &amp; Assumptions'!$C$26:$I$26,CEILING(('Inputs &amp; Assumptions'!$C$141+12)/4,1))*P297,0)</f>
        <v>322022.576592025</v>
      </c>
      <c r="Q308" s="39" t="n">
        <f aca="false">IF(13&lt;='Inputs &amp; Assumptions'!$E$141,'Inputs &amp; Assumptions'!$D$60*INDEX('Inputs &amp; Assumptions'!$C$26:$I$26,CEILING(('Inputs &amp; Assumptions'!$C$141+13)/4,1))*Q297,0)</f>
        <v>299088.234420767</v>
      </c>
      <c r="R308" s="39" t="n">
        <f aca="false">IF(14&lt;='Inputs &amp; Assumptions'!$E$141,'Inputs &amp; Assumptions'!$D$60*INDEX('Inputs &amp; Assumptions'!$C$26:$I$26,CEILING(('Inputs &amp; Assumptions'!$C$141+14)/4,1))*R297,0)</f>
        <v>277787.268568632</v>
      </c>
      <c r="S308" s="39" t="n">
        <f aca="false">IF(15&lt;='Inputs &amp; Assumptions'!$E$141,'Inputs &amp; Assumptions'!$D$60*INDEX('Inputs &amp; Assumptions'!$C$26:$I$26,CEILING(('Inputs &amp; Assumptions'!$C$141+15)/4,1))*S297,0)</f>
        <v>258003.350510479</v>
      </c>
      <c r="T308" s="39" t="n">
        <f aca="false">IF(16&lt;='Inputs &amp; Assumptions'!$E$141,'Inputs &amp; Assumptions'!$D$60*INDEX('Inputs &amp; Assumptions'!$C$26:$I$26,CEILING(('Inputs &amp; Assumptions'!$C$141+16)/4,1))*T297,0)</f>
        <v>186815.590376071</v>
      </c>
      <c r="U308" s="39" t="n">
        <f aca="false">IF(17&lt;='Inputs &amp; Assumptions'!$E$141,'Inputs &amp; Assumptions'!$D$60*INDEX('Inputs &amp; Assumptions'!$C$26:$I$26,CEILING(('Inputs &amp; Assumptions'!$C$141+17)/4,1))*U297,0)</f>
        <v>173951.61795289</v>
      </c>
      <c r="V308" s="39" t="n">
        <f aca="false">IF(18&lt;='Inputs &amp; Assumptions'!$E$141,'Inputs &amp; Assumptions'!$D$60*INDEX('Inputs &amp; Assumptions'!$C$26:$I$26,CEILING(('Inputs &amp; Assumptions'!$C$141+18)/4,1))*V297,0)</f>
        <v>161973.448401789</v>
      </c>
      <c r="W308" s="39" t="n">
        <f aca="false">IF(19&lt;='Inputs &amp; Assumptions'!$E$141,'Inputs &amp; Assumptions'!$D$60*INDEX('Inputs &amp; Assumptions'!$C$26:$I$26,CEILING(('Inputs &amp; Assumptions'!$C$141+19)/4,1))*W297,0)</f>
        <v>150820.086044109</v>
      </c>
      <c r="X308" s="39" t="n">
        <f aca="false">IF(20&lt;='Inputs &amp; Assumptions'!$E$141,'Inputs &amp; Assumptions'!$D$60*INDEX('Inputs &amp; Assumptions'!$C$26:$I$26,CEILING(('Inputs &amp; Assumptions'!$C$141+20)/4,1))*X297,0)</f>
        <v>113769.912153872</v>
      </c>
      <c r="Y308" s="39" t="n">
        <f aca="false">IF(21&lt;='Inputs &amp; Assumptions'!$E$141,'Inputs &amp; Assumptions'!$D$60*INDEX('Inputs &amp; Assumptions'!$C$26:$I$26,CEILING(('Inputs &amp; Assumptions'!$C$141+21)/4,1))*Y297,0)</f>
        <v>106116.176532381</v>
      </c>
      <c r="Z308" s="39" t="n">
        <f aca="false">IF(22&lt;='Inputs &amp; Assumptions'!$E$141,'Inputs &amp; Assumptions'!$D$60*INDEX('Inputs &amp; Assumptions'!$C$26:$I$26,CEILING(('Inputs &amp; Assumptions'!$C$141+22)/4,1))*Z297,0)</f>
        <v>98977.3368781512</v>
      </c>
      <c r="AA308" s="39" t="n">
        <f aca="false">IF(23&lt;='Inputs &amp; Assumptions'!$E$141,'Inputs &amp; Assumptions'!$D$60*INDEX('Inputs &amp; Assumptions'!$C$26:$I$26,CEILING(('Inputs &amp; Assumptions'!$C$141+23)/4,1))*AA297,0)</f>
        <v>92318.754176953</v>
      </c>
      <c r="AB308" s="39" t="n">
        <f aca="false">IF(24&lt;='Inputs &amp; Assumptions'!$E$141,'Inputs &amp; Assumptions'!$D$60*INDEX('Inputs &amp; Assumptions'!$C$26:$I$26,CEILING(('Inputs &amp; Assumptions'!$C$141+24)/4,1))*AB297,0)</f>
        <v>67720.4483160079</v>
      </c>
      <c r="AC308" s="39" t="n">
        <f aca="false">IF(25&lt;='Inputs &amp; Assumptions'!$E$141,'Inputs &amp; Assumptions'!$D$60*INDEX('Inputs &amp; Assumptions'!$C$26:$I$26,CEILING(('Inputs &amp; Assumptions'!$C$141+25)/4,1))*AC297,0)</f>
        <v>63262.4555739617</v>
      </c>
      <c r="AD308" s="39" t="n">
        <f aca="false">IF(26&lt;='Inputs &amp; Assumptions'!$E$141,'Inputs &amp; Assumptions'!$D$60*INDEX('Inputs &amp; Assumptions'!$C$26:$I$26,CEILING(('Inputs &amp; Assumptions'!$C$141+26)/4,1))*AD297,0)</f>
        <v>59097.9295732371</v>
      </c>
      <c r="AE308" s="39" t="n">
        <f aca="false">IF(27&lt;='Inputs &amp; Assumptions'!$E$141,'Inputs &amp; Assumptions'!$D$60*INDEX('Inputs &amp; Assumptions'!$C$26:$I$26,CEILING(('Inputs &amp; Assumptions'!$C$141+27)/4,1))*AE297,0)</f>
        <v>55207.551590533</v>
      </c>
      <c r="AF308" s="39" t="n">
        <f aca="false">IF(28&lt;='Inputs &amp; Assumptions'!$E$141,'Inputs &amp; Assumptions'!$D$60*INDEX('Inputs &amp; Assumptions'!$C$26:$I$26,CEILING(('Inputs &amp; Assumptions'!$C$141+28)/4,1))*AF297,0)</f>
        <v>0</v>
      </c>
      <c r="AG308" s="39" t="n">
        <f aca="false">IF(29&lt;='Inputs &amp; Assumptions'!$E$141,'Inputs &amp; Assumptions'!$D$60*INDEX('Inputs &amp; Assumptions'!$C$26:$I$26,CEILING(('Inputs &amp; Assumptions'!$C$141+29)/4,1))*AG297,0)</f>
        <v>0</v>
      </c>
      <c r="AH308" s="39" t="n">
        <f aca="false">IF(30&lt;='Inputs &amp; Assumptions'!$E$141,'Inputs &amp; Assumptions'!$D$60*INDEX('Inputs &amp; Assumptions'!$C$26:$I$26,CEILING(('Inputs &amp; Assumptions'!$C$141+30)/4,1))*AH297,0)</f>
        <v>0</v>
      </c>
      <c r="AI308" s="39" t="n">
        <f aca="false">IF(31&lt;='Inputs &amp; Assumptions'!$E$141,'Inputs &amp; Assumptions'!$D$60*INDEX('Inputs &amp; Assumptions'!$C$26:$I$26,CEILING(('Inputs &amp; Assumptions'!$C$141+31)/4,1))*AI297,0)</f>
        <v>0</v>
      </c>
      <c r="AJ308" s="39" t="n">
        <f aca="false">IF(32&lt;='Inputs &amp; Assumptions'!$E$141,'Inputs &amp; Assumptions'!$D$60*INDEX('Inputs &amp; Assumptions'!$C$26:$I$26,CEILING(('Inputs &amp; Assumptions'!$C$141+32)/4,1))*AJ297,0)</f>
        <v>0</v>
      </c>
      <c r="AK308" s="39" t="n">
        <f aca="false">IF(33&lt;='Inputs &amp; Assumptions'!$E$141,'Inputs &amp; Assumptions'!$D$60*INDEX('Inputs &amp; Assumptions'!$C$26:$I$26,CEILING(('Inputs &amp; Assumptions'!$C$141+33)/4,1))*AK297,0)</f>
        <v>0</v>
      </c>
      <c r="AL308" s="39" t="n">
        <f aca="false">IF(34&lt;='Inputs &amp; Assumptions'!$E$141,'Inputs &amp; Assumptions'!$D$60*INDEX('Inputs &amp; Assumptions'!$C$26:$I$26,CEILING(('Inputs &amp; Assumptions'!$C$141+34)/4,1))*AL297,0)</f>
        <v>0</v>
      </c>
      <c r="AM308" s="39" t="n">
        <f aca="false">IF(35&lt;='Inputs &amp; Assumptions'!$E$141,'Inputs &amp; Assumptions'!$D$60*INDEX('Inputs &amp; Assumptions'!$C$26:$I$26,CEILING(('Inputs &amp; Assumptions'!$C$141+35)/4,1))*AM297,0)</f>
        <v>0</v>
      </c>
      <c r="AN308" s="39" t="n">
        <f aca="false">IF(36&lt;='Inputs &amp; Assumptions'!$E$141,'Inputs &amp; Assumptions'!$D$60*INDEX('Inputs &amp; Assumptions'!$C$26:$I$26,CEILING(('Inputs &amp; Assumptions'!$C$141+36)/4,1))*AN297,0)</f>
        <v>0</v>
      </c>
    </row>
    <row r="309" customFormat="false" ht="15" hidden="false" customHeight="false" outlineLevel="0" collapsed="false">
      <c r="B309" s="37" t="n">
        <v>3</v>
      </c>
      <c r="C309" s="38" t="n">
        <f aca="false">'Inputs &amp; Assumptions'!$C$142</f>
        <v>2</v>
      </c>
      <c r="D309" s="38" t="n">
        <f aca="false">'Inputs &amp; Assumptions'!$D$142</f>
        <v>3</v>
      </c>
      <c r="E309" s="39" t="n">
        <f aca="false">IF(1&lt;='Inputs &amp; Assumptions'!$E$142,'Inputs &amp; Assumptions'!$D$60*INDEX('Inputs &amp; Assumptions'!$C$26:$I$26,CEILING(('Inputs &amp; Assumptions'!$C$142+1)/4,1))*E298,0)</f>
        <v>715500</v>
      </c>
      <c r="F309" s="39" t="n">
        <f aca="false">IF(2&lt;='Inputs &amp; Assumptions'!$E$142,'Inputs &amp; Assumptions'!$D$60*INDEX('Inputs &amp; Assumptions'!$C$26:$I$26,CEILING(('Inputs &amp; Assumptions'!$C$142+2)/4,1))*F298,0)</f>
        <v>684731.357792361</v>
      </c>
      <c r="G309" s="39" t="n">
        <f aca="false">IF(3&lt;='Inputs &amp; Assumptions'!$E$142,'Inputs &amp; Assumptions'!$D$60*INDEX('Inputs &amp; Assumptions'!$C$26:$I$26,CEILING(('Inputs &amp; Assumptions'!$C$142+3)/4,1))*G298,0)</f>
        <v>881957.068520079</v>
      </c>
      <c r="H309" s="39" t="n">
        <f aca="false">IF(4&lt;='Inputs &amp; Assumptions'!$E$142,'Inputs &amp; Assumptions'!$D$60*INDEX('Inputs &amp; Assumptions'!$C$26:$I$26,CEILING(('Inputs &amp; Assumptions'!$C$142+4)/4,1))*H298,0)</f>
        <v>815291.430764865</v>
      </c>
      <c r="I309" s="39" t="n">
        <f aca="false">IF(5&lt;='Inputs &amp; Assumptions'!$E$142,'Inputs &amp; Assumptions'!$D$60*INDEX('Inputs &amp; Assumptions'!$C$26:$I$26,CEILING(('Inputs &amp; Assumptions'!$C$142+5)/4,1))*I298,0)</f>
        <v>753664.93540778</v>
      </c>
      <c r="J309" s="39" t="n">
        <f aca="false">IF(6&lt;='Inputs &amp; Assumptions'!$E$142,'Inputs &amp; Assumptions'!$D$60*INDEX('Inputs &amp; Assumptions'!$C$26:$I$26,CEILING(('Inputs &amp; Assumptions'!$C$142+6)/4,1))*J298,0)</f>
        <v>696696.682228506</v>
      </c>
      <c r="K309" s="39" t="n">
        <f aca="false">IF(7&lt;='Inputs &amp; Assumptions'!$E$142,'Inputs &amp; Assumptions'!$D$60*INDEX('Inputs &amp; Assumptions'!$C$26:$I$26,CEILING(('Inputs &amp; Assumptions'!$C$142+7)/4,1))*K298,0)</f>
        <v>571806.387362092</v>
      </c>
      <c r="L309" s="39" t="n">
        <f aca="false">IF(8&lt;='Inputs &amp; Assumptions'!$E$142,'Inputs &amp; Assumptions'!$D$60*INDEX('Inputs &amp; Assumptions'!$C$26:$I$26,CEILING(('Inputs &amp; Assumptions'!$C$142+8)/4,1))*L298,0)</f>
        <v>529551.485163354</v>
      </c>
      <c r="M309" s="39" t="n">
        <f aca="false">IF(9&lt;='Inputs &amp; Assumptions'!$E$142,'Inputs &amp; Assumptions'!$D$60*INDEX('Inputs &amp; Assumptions'!$C$26:$I$26,CEILING(('Inputs &amp; Assumptions'!$C$142+9)/4,1))*M298,0)</f>
        <v>490419.102753284</v>
      </c>
      <c r="N309" s="39" t="n">
        <f aca="false">IF(10&lt;='Inputs &amp; Assumptions'!$E$142,'Inputs &amp; Assumptions'!$D$60*INDEX('Inputs &amp; Assumptions'!$C$26:$I$26,CEILING(('Inputs &amp; Assumptions'!$C$142+10)/4,1))*N298,0)</f>
        <v>454178.494601227</v>
      </c>
      <c r="O309" s="39" t="n">
        <f aca="false">IF(11&lt;='Inputs &amp; Assumptions'!$E$142,'Inputs &amp; Assumptions'!$D$60*INDEX('Inputs &amp; Assumptions'!$C$26:$I$26,CEILING(('Inputs &amp; Assumptions'!$C$142+11)/4,1))*O298,0)</f>
        <v>336492.77330375</v>
      </c>
      <c r="P309" s="39" t="n">
        <f aca="false">IF(12&lt;='Inputs &amp; Assumptions'!$E$142,'Inputs &amp; Assumptions'!$D$60*INDEX('Inputs &amp; Assumptions'!$C$26:$I$26,CEILING(('Inputs &amp; Assumptions'!$C$142+12)/4,1))*P298,0)</f>
        <v>312527.86847386</v>
      </c>
      <c r="Q309" s="39" t="n">
        <f aca="false">IF(13&lt;='Inputs &amp; Assumptions'!$E$142,'Inputs &amp; Assumptions'!$D$60*INDEX('Inputs &amp; Assumptions'!$C$26:$I$26,CEILING(('Inputs &amp; Assumptions'!$C$142+13)/4,1))*Q298,0)</f>
        <v>290269.736297264</v>
      </c>
      <c r="R309" s="39" t="n">
        <f aca="false">IF(14&lt;='Inputs &amp; Assumptions'!$E$142,'Inputs &amp; Assumptions'!$D$60*INDEX('Inputs &amp; Assumptions'!$C$26:$I$26,CEILING(('Inputs &amp; Assumptions'!$C$142+14)/4,1))*R298,0)</f>
        <v>269596.820985999</v>
      </c>
      <c r="S309" s="39" t="n">
        <f aca="false">IF(15&lt;='Inputs &amp; Assumptions'!$E$142,'Inputs &amp; Assumptions'!$D$60*INDEX('Inputs &amp; Assumptions'!$C$26:$I$26,CEILING(('Inputs &amp; Assumptions'!$C$142+15)/4,1))*S298,0)</f>
        <v>195210.214039317</v>
      </c>
      <c r="T309" s="39" t="n">
        <f aca="false">IF(16&lt;='Inputs &amp; Assumptions'!$E$142,'Inputs &amp; Assumptions'!$D$60*INDEX('Inputs &amp; Assumptions'!$C$26:$I$26,CEILING(('Inputs &amp; Assumptions'!$C$142+16)/4,1))*T298,0)</f>
        <v>181768.194531898</v>
      </c>
      <c r="U309" s="39" t="n">
        <f aca="false">IF(17&lt;='Inputs &amp; Assumptions'!$E$142,'Inputs &amp; Assumptions'!$D$60*INDEX('Inputs &amp; Assumptions'!$C$26:$I$26,CEILING(('Inputs &amp; Assumptions'!$C$142+17)/4,1))*U298,0)</f>
        <v>169251.78175734</v>
      </c>
      <c r="V309" s="39" t="n">
        <f aca="false">IF(18&lt;='Inputs &amp; Assumptions'!$E$142,'Inputs &amp; Assumptions'!$D$60*INDEX('Inputs &amp; Assumptions'!$C$26:$I$26,CEILING(('Inputs &amp; Assumptions'!$C$142+18)/4,1))*V298,0)</f>
        <v>157597.239174905</v>
      </c>
      <c r="W309" s="39" t="n">
        <f aca="false">IF(19&lt;='Inputs &amp; Assumptions'!$E$142,'Inputs &amp; Assumptions'!$D$60*INDEX('Inputs &amp; Assumptions'!$C$26:$I$26,CEILING(('Inputs &amp; Assumptions'!$C$142+19)/4,1))*W298,0)</f>
        <v>118882.202808039</v>
      </c>
      <c r="X309" s="39" t="n">
        <f aca="false">IF(20&lt;='Inputs &amp; Assumptions'!$E$142,'Inputs &amp; Assumptions'!$D$60*INDEX('Inputs &amp; Assumptions'!$C$26:$I$26,CEILING(('Inputs &amp; Assumptions'!$C$142+20)/4,1))*X298,0)</f>
        <v>110884.543908887</v>
      </c>
      <c r="Y309" s="39" t="n">
        <f aca="false">IF(21&lt;='Inputs &amp; Assumptions'!$E$142,'Inputs &amp; Assumptions'!$D$60*INDEX('Inputs &amp; Assumptions'!$C$26:$I$26,CEILING(('Inputs &amp; Assumptions'!$C$142+21)/4,1))*Y298,0)</f>
        <v>103424.918006738</v>
      </c>
      <c r="Z309" s="39" t="n">
        <f aca="false">IF(22&lt;='Inputs &amp; Assumptions'!$E$142,'Inputs &amp; Assumptions'!$D$60*INDEX('Inputs &amp; Assumptions'!$C$26:$I$26,CEILING(('Inputs &amp; Assumptions'!$C$142+22)/4,1))*Z298,0)</f>
        <v>96467.129571186</v>
      </c>
      <c r="AA309" s="39" t="n">
        <f aca="false">IF(23&lt;='Inputs &amp; Assumptions'!$E$142,'Inputs &amp; Assumptions'!$D$60*INDEX('Inputs &amp; Assumptions'!$C$26:$I$26,CEILING(('Inputs &amp; Assumptions'!$C$142+23)/4,1))*AA298,0)</f>
        <v>70763.490263282</v>
      </c>
      <c r="AB309" s="39" t="n">
        <f aca="false">IF(24&lt;='Inputs &amp; Assumptions'!$E$142,'Inputs &amp; Assumptions'!$D$60*INDEX('Inputs &amp; Assumptions'!$C$26:$I$26,CEILING(('Inputs &amp; Assumptions'!$C$142+24)/4,1))*AB298,0)</f>
        <v>66105.176063655</v>
      </c>
      <c r="AC309" s="39" t="n">
        <f aca="false">IF(25&lt;='Inputs &amp; Assumptions'!$E$142,'Inputs &amp; Assumptions'!$D$60*INDEX('Inputs &amp; Assumptions'!$C$26:$I$26,CEILING(('Inputs &amp; Assumptions'!$C$142+25)/4,1))*AC298,0)</f>
        <v>61753.515635651</v>
      </c>
      <c r="AD309" s="39" t="n">
        <f aca="false">IF(26&lt;='Inputs &amp; Assumptions'!$E$142,'Inputs &amp; Assumptions'!$D$60*INDEX('Inputs &amp; Assumptions'!$C$26:$I$26,CEILING(('Inputs &amp; Assumptions'!$C$142+26)/4,1))*AD298,0)</f>
        <v>57688.3221624045</v>
      </c>
      <c r="AE309" s="39" t="n">
        <f aca="false">IF(27&lt;='Inputs &amp; Assumptions'!$E$142,'Inputs &amp; Assumptions'!$D$60*INDEX('Inputs &amp; Assumptions'!$C$26:$I$26,CEILING(('Inputs &amp; Assumptions'!$C$142+27)/4,1))*AE298,0)</f>
        <v>0</v>
      </c>
      <c r="AF309" s="39" t="n">
        <f aca="false">IF(28&lt;='Inputs &amp; Assumptions'!$E$142,'Inputs &amp; Assumptions'!$D$60*INDEX('Inputs &amp; Assumptions'!$C$26:$I$26,CEILING(('Inputs &amp; Assumptions'!$C$142+28)/4,1))*AF298,0)</f>
        <v>0</v>
      </c>
      <c r="AG309" s="39" t="n">
        <f aca="false">IF(29&lt;='Inputs &amp; Assumptions'!$E$142,'Inputs &amp; Assumptions'!$D$60*INDEX('Inputs &amp; Assumptions'!$C$26:$I$26,CEILING(('Inputs &amp; Assumptions'!$C$142+29)/4,1))*AG298,0)</f>
        <v>0</v>
      </c>
      <c r="AH309" s="39" t="n">
        <f aca="false">IF(30&lt;='Inputs &amp; Assumptions'!$E$142,'Inputs &amp; Assumptions'!$D$60*INDEX('Inputs &amp; Assumptions'!$C$26:$I$26,CEILING(('Inputs &amp; Assumptions'!$C$142+30)/4,1))*AH298,0)</f>
        <v>0</v>
      </c>
      <c r="AI309" s="39" t="n">
        <f aca="false">IF(31&lt;='Inputs &amp; Assumptions'!$E$142,'Inputs &amp; Assumptions'!$D$60*INDEX('Inputs &amp; Assumptions'!$C$26:$I$26,CEILING(('Inputs &amp; Assumptions'!$C$142+31)/4,1))*AI298,0)</f>
        <v>0</v>
      </c>
      <c r="AJ309" s="39" t="n">
        <f aca="false">IF(32&lt;='Inputs &amp; Assumptions'!$E$142,'Inputs &amp; Assumptions'!$D$60*INDEX('Inputs &amp; Assumptions'!$C$26:$I$26,CEILING(('Inputs &amp; Assumptions'!$C$142+32)/4,1))*AJ298,0)</f>
        <v>0</v>
      </c>
      <c r="AK309" s="39" t="n">
        <f aca="false">IF(33&lt;='Inputs &amp; Assumptions'!$E$142,'Inputs &amp; Assumptions'!$D$60*INDEX('Inputs &amp; Assumptions'!$C$26:$I$26,CEILING(('Inputs &amp; Assumptions'!$C$142+33)/4,1))*AK298,0)</f>
        <v>0</v>
      </c>
      <c r="AL309" s="39" t="n">
        <f aca="false">IF(34&lt;='Inputs &amp; Assumptions'!$E$142,'Inputs &amp; Assumptions'!$D$60*INDEX('Inputs &amp; Assumptions'!$C$26:$I$26,CEILING(('Inputs &amp; Assumptions'!$C$142+34)/4,1))*AL298,0)</f>
        <v>0</v>
      </c>
      <c r="AM309" s="39" t="n">
        <f aca="false">IF(35&lt;='Inputs &amp; Assumptions'!$E$142,'Inputs &amp; Assumptions'!$D$60*INDEX('Inputs &amp; Assumptions'!$C$26:$I$26,CEILING(('Inputs &amp; Assumptions'!$C$142+35)/4,1))*AM298,0)</f>
        <v>0</v>
      </c>
      <c r="AN309" s="39" t="n">
        <f aca="false">IF(36&lt;='Inputs &amp; Assumptions'!$E$142,'Inputs &amp; Assumptions'!$D$60*INDEX('Inputs &amp; Assumptions'!$C$26:$I$26,CEILING(('Inputs &amp; Assumptions'!$C$142+36)/4,1))*AN298,0)</f>
        <v>0</v>
      </c>
    </row>
    <row r="310" customFormat="false" ht="15" hidden="false" customHeight="false" outlineLevel="0" collapsed="false">
      <c r="B310" s="37" t="n">
        <v>4</v>
      </c>
      <c r="C310" s="38" t="n">
        <f aca="false">'Inputs &amp; Assumptions'!$C$143</f>
        <v>3</v>
      </c>
      <c r="D310" s="38" t="n">
        <f aca="false">'Inputs &amp; Assumptions'!$D$143</f>
        <v>3</v>
      </c>
      <c r="E310" s="39" t="n">
        <f aca="false">IF(1&lt;='Inputs &amp; Assumptions'!$E$143,'Inputs &amp; Assumptions'!$D$60*INDEX('Inputs &amp; Assumptions'!$C$26:$I$26,CEILING(('Inputs &amp; Assumptions'!$C$143+1)/4,1))*E299,0)</f>
        <v>715500</v>
      </c>
      <c r="F310" s="39" t="n">
        <f aca="false">IF(2&lt;='Inputs &amp; Assumptions'!$E$143,'Inputs &amp; Assumptions'!$D$60*INDEX('Inputs &amp; Assumptions'!$C$26:$I$26,CEILING(('Inputs &amp; Assumptions'!$C$143+2)/4,1))*F299,0)</f>
        <v>921588.11677714</v>
      </c>
      <c r="G310" s="39" t="n">
        <f aca="false">IF(3&lt;='Inputs &amp; Assumptions'!$E$143,'Inputs &amp; Assumptions'!$D$60*INDEX('Inputs &amp; Assumptions'!$C$26:$I$26,CEILING(('Inputs &amp; Assumptions'!$C$143+3)/4,1))*G299,0)</f>
        <v>851926.835354828</v>
      </c>
      <c r="H310" s="39" t="n">
        <f aca="false">IF(4&lt;='Inputs &amp; Assumptions'!$E$143,'Inputs &amp; Assumptions'!$D$60*INDEX('Inputs &amp; Assumptions'!$C$26:$I$26,CEILING(('Inputs &amp; Assumptions'!$C$143+4)/4,1))*H299,0)</f>
        <v>787531.131950566</v>
      </c>
      <c r="I310" s="39" t="n">
        <f aca="false">IF(5&lt;='Inputs &amp; Assumptions'!$E$143,'Inputs &amp; Assumptions'!$D$60*INDEX('Inputs &amp; Assumptions'!$C$26:$I$26,CEILING(('Inputs &amp; Assumptions'!$C$143+5)/4,1))*I299,0)</f>
        <v>728002.990459885</v>
      </c>
      <c r="J310" s="39" t="n">
        <f aca="false">IF(6&lt;='Inputs &amp; Assumptions'!$E$143,'Inputs &amp; Assumptions'!$D$60*INDEX('Inputs &amp; Assumptions'!$C$26:$I$26,CEILING(('Inputs &amp; Assumptions'!$C$143+6)/4,1))*J299,0)</f>
        <v>597500.706666397</v>
      </c>
      <c r="K310" s="39" t="n">
        <f aca="false">IF(7&lt;='Inputs &amp; Assumptions'!$E$143,'Inputs &amp; Assumptions'!$D$60*INDEX('Inputs &amp; Assumptions'!$C$26:$I$26,CEILING(('Inputs &amp; Assumptions'!$C$143+7)/4,1))*K299,0)</f>
        <v>553347.065710515</v>
      </c>
      <c r="L310" s="39" t="n">
        <f aca="false">IF(8&lt;='Inputs &amp; Assumptions'!$E$143,'Inputs &amp; Assumptions'!$D$60*INDEX('Inputs &amp; Assumptions'!$C$26:$I$26,CEILING(('Inputs &amp; Assumptions'!$C$143+8)/4,1))*L299,0)</f>
        <v>512456.256058278</v>
      </c>
      <c r="M310" s="39" t="n">
        <f aca="false">IF(9&lt;='Inputs &amp; Assumptions'!$E$143,'Inputs &amp; Assumptions'!$D$60*INDEX('Inputs &amp; Assumptions'!$C$26:$I$26,CEILING(('Inputs &amp; Assumptions'!$C$143+9)/4,1))*M299,0)</f>
        <v>474587.16354819</v>
      </c>
      <c r="N310" s="39" t="n">
        <f aca="false">IF(10&lt;='Inputs &amp; Assumptions'!$E$143,'Inputs &amp; Assumptions'!$D$60*INDEX('Inputs &amp; Assumptions'!$C$26:$I$26,CEILING(('Inputs &amp; Assumptions'!$C$143+10)/4,1))*N299,0)</f>
        <v>351613.193347925</v>
      </c>
      <c r="O310" s="39" t="n">
        <f aca="false">IF(11&lt;='Inputs &amp; Assumptions'!$E$143,'Inputs &amp; Assumptions'!$D$60*INDEX('Inputs &amp; Assumptions'!$C$26:$I$26,CEILING(('Inputs &amp; Assumptions'!$C$143+11)/4,1))*O299,0)</f>
        <v>326571.417167163</v>
      </c>
      <c r="P310" s="39" t="n">
        <f aca="false">IF(12&lt;='Inputs &amp; Assumptions'!$E$143,'Inputs &amp; Assumptions'!$D$60*INDEX('Inputs &amp; Assumptions'!$C$26:$I$26,CEILING(('Inputs &amp; Assumptions'!$C$143+12)/4,1))*P299,0)</f>
        <v>303313.10806372</v>
      </c>
      <c r="Q310" s="39" t="n">
        <f aca="false">IF(13&lt;='Inputs &amp; Assumptions'!$E$143,'Inputs &amp; Assumptions'!$D$60*INDEX('Inputs &amp; Assumptions'!$C$26:$I$26,CEILING(('Inputs &amp; Assumptions'!$C$143+13)/4,1))*Q299,0)</f>
        <v>281711.248097939</v>
      </c>
      <c r="R310" s="39" t="n">
        <f aca="false">IF(14&lt;='Inputs &amp; Assumptions'!$E$143,'Inputs &amp; Assumptions'!$D$60*INDEX('Inputs &amp; Assumptions'!$C$26:$I$26,CEILING(('Inputs &amp; Assumptions'!$C$143+14)/4,1))*R299,0)</f>
        <v>203982.053042598</v>
      </c>
      <c r="S310" s="39" t="n">
        <f aca="false">IF(15&lt;='Inputs &amp; Assumptions'!$E$143,'Inputs &amp; Assumptions'!$D$60*INDEX('Inputs &amp; Assumptions'!$C$26:$I$26,CEILING(('Inputs &amp; Assumptions'!$C$143+15)/4,1))*S299,0)</f>
        <v>189936.011703748</v>
      </c>
      <c r="T310" s="39" t="n">
        <f aca="false">IF(16&lt;='Inputs &amp; Assumptions'!$E$143,'Inputs &amp; Assumptions'!$D$60*INDEX('Inputs &amp; Assumptions'!$C$26:$I$26,CEILING(('Inputs &amp; Assumptions'!$C$143+16)/4,1))*T299,0)</f>
        <v>176857.169558896</v>
      </c>
      <c r="U310" s="39" t="n">
        <f aca="false">IF(17&lt;='Inputs &amp; Assumptions'!$E$143,'Inputs &amp; Assumptions'!$D$60*INDEX('Inputs &amp; Assumptions'!$C$26:$I$26,CEILING(('Inputs &amp; Assumptions'!$C$143+17)/4,1))*U299,0)</f>
        <v>164678.926043633</v>
      </c>
      <c r="V310" s="39" t="n">
        <f aca="false">IF(18&lt;='Inputs &amp; Assumptions'!$E$143,'Inputs &amp; Assumptions'!$D$60*INDEX('Inputs &amp; Assumptions'!$C$26:$I$26,CEILING(('Inputs &amp; Assumptions'!$C$143+18)/4,1))*V299,0)</f>
        <v>124224.216024506</v>
      </c>
      <c r="W310" s="39" t="n">
        <f aca="false">IF(19&lt;='Inputs &amp; Assumptions'!$E$143,'Inputs &amp; Assumptions'!$D$60*INDEX('Inputs &amp; Assumptions'!$C$26:$I$26,CEILING(('Inputs &amp; Assumptions'!$C$143+19)/4,1))*W299,0)</f>
        <v>115867.179535345</v>
      </c>
      <c r="X310" s="39" t="n">
        <f aca="false">IF(20&lt;='Inputs &amp; Assumptions'!$E$143,'Inputs &amp; Assumptions'!$D$60*INDEX('Inputs &amp; Assumptions'!$C$26:$I$26,CEILING(('Inputs &amp; Assumptions'!$C$143+20)/4,1))*X299,0)</f>
        <v>108072.352743426</v>
      </c>
      <c r="Y310" s="39" t="n">
        <f aca="false">IF(21&lt;='Inputs &amp; Assumptions'!$E$143,'Inputs &amp; Assumptions'!$D$60*INDEX('Inputs &amp; Assumptions'!$C$26:$I$26,CEILING(('Inputs &amp; Assumptions'!$C$143+21)/4,1))*Y299,0)</f>
        <v>100801.913659567</v>
      </c>
      <c r="Z310" s="39" t="n">
        <f aca="false">IF(22&lt;='Inputs &amp; Assumptions'!$E$143,'Inputs &amp; Assumptions'!$D$60*INDEX('Inputs &amp; Assumptions'!$C$26:$I$26,CEILING(('Inputs &amp; Assumptions'!$C$143+22)/4,1))*Z299,0)</f>
        <v>73943.2723610298</v>
      </c>
      <c r="AA310" s="39" t="n">
        <f aca="false">IF(23&lt;='Inputs &amp; Assumptions'!$E$143,'Inputs &amp; Assumptions'!$D$60*INDEX('Inputs &amp; Assumptions'!$C$26:$I$26,CEILING(('Inputs &amp; Assumptions'!$C$143+23)/4,1))*AA299,0)</f>
        <v>69075.6351893087</v>
      </c>
      <c r="AB310" s="39" t="n">
        <f aca="false">IF(24&lt;='Inputs &amp; Assumptions'!$E$143,'Inputs &amp; Assumptions'!$D$60*INDEX('Inputs &amp; Assumptions'!$C$26:$I$26,CEILING(('Inputs &amp; Assumptions'!$C$143+24)/4,1))*AB299,0)</f>
        <v>64528.4313833148</v>
      </c>
      <c r="AC310" s="39" t="n">
        <f aca="false">IF(25&lt;='Inputs &amp; Assumptions'!$E$143,'Inputs &amp; Assumptions'!$D$60*INDEX('Inputs &amp; Assumptions'!$C$26:$I$26,CEILING(('Inputs &amp; Assumptions'!$C$143+25)/4,1))*AC299,0)</f>
        <v>60280.5670245308</v>
      </c>
      <c r="AD310" s="39" t="n">
        <f aca="false">IF(26&lt;='Inputs &amp; Assumptions'!$E$143,'Inputs &amp; Assumptions'!$D$60*INDEX('Inputs &amp; Assumptions'!$C$26:$I$26,CEILING(('Inputs &amp; Assumptions'!$C$143+26)/4,1))*AD299,0)</f>
        <v>0</v>
      </c>
      <c r="AE310" s="39" t="n">
        <f aca="false">IF(27&lt;='Inputs &amp; Assumptions'!$E$143,'Inputs &amp; Assumptions'!$D$60*INDEX('Inputs &amp; Assumptions'!$C$26:$I$26,CEILING(('Inputs &amp; Assumptions'!$C$143+27)/4,1))*AE299,0)</f>
        <v>0</v>
      </c>
      <c r="AF310" s="39" t="n">
        <f aca="false">IF(28&lt;='Inputs &amp; Assumptions'!$E$143,'Inputs &amp; Assumptions'!$D$60*INDEX('Inputs &amp; Assumptions'!$C$26:$I$26,CEILING(('Inputs &amp; Assumptions'!$C$143+28)/4,1))*AF299,0)</f>
        <v>0</v>
      </c>
      <c r="AG310" s="39" t="n">
        <f aca="false">IF(29&lt;='Inputs &amp; Assumptions'!$E$143,'Inputs &amp; Assumptions'!$D$60*INDEX('Inputs &amp; Assumptions'!$C$26:$I$26,CEILING(('Inputs &amp; Assumptions'!$C$143+29)/4,1))*AG299,0)</f>
        <v>0</v>
      </c>
      <c r="AH310" s="39" t="n">
        <f aca="false">IF(30&lt;='Inputs &amp; Assumptions'!$E$143,'Inputs &amp; Assumptions'!$D$60*INDEX('Inputs &amp; Assumptions'!$C$26:$I$26,CEILING(('Inputs &amp; Assumptions'!$C$143+30)/4,1))*AH299,0)</f>
        <v>0</v>
      </c>
      <c r="AI310" s="39" t="n">
        <f aca="false">IF(31&lt;='Inputs &amp; Assumptions'!$E$143,'Inputs &amp; Assumptions'!$D$60*INDEX('Inputs &amp; Assumptions'!$C$26:$I$26,CEILING(('Inputs &amp; Assumptions'!$C$143+31)/4,1))*AI299,0)</f>
        <v>0</v>
      </c>
      <c r="AJ310" s="39" t="n">
        <f aca="false">IF(32&lt;='Inputs &amp; Assumptions'!$E$143,'Inputs &amp; Assumptions'!$D$60*INDEX('Inputs &amp; Assumptions'!$C$26:$I$26,CEILING(('Inputs &amp; Assumptions'!$C$143+32)/4,1))*AJ299,0)</f>
        <v>0</v>
      </c>
      <c r="AK310" s="39" t="n">
        <f aca="false">IF(33&lt;='Inputs &amp; Assumptions'!$E$143,'Inputs &amp; Assumptions'!$D$60*INDEX('Inputs &amp; Assumptions'!$C$26:$I$26,CEILING(('Inputs &amp; Assumptions'!$C$143+33)/4,1))*AK299,0)</f>
        <v>0</v>
      </c>
      <c r="AL310" s="39" t="n">
        <f aca="false">IF(34&lt;='Inputs &amp; Assumptions'!$E$143,'Inputs &amp; Assumptions'!$D$60*INDEX('Inputs &amp; Assumptions'!$C$26:$I$26,CEILING(('Inputs &amp; Assumptions'!$C$143+34)/4,1))*AL299,0)</f>
        <v>0</v>
      </c>
      <c r="AM310" s="39" t="n">
        <f aca="false">IF(35&lt;='Inputs &amp; Assumptions'!$E$143,'Inputs &amp; Assumptions'!$D$60*INDEX('Inputs &amp; Assumptions'!$C$26:$I$26,CEILING(('Inputs &amp; Assumptions'!$C$143+35)/4,1))*AM299,0)</f>
        <v>0</v>
      </c>
      <c r="AN310" s="39" t="n">
        <f aca="false">IF(36&lt;='Inputs &amp; Assumptions'!$E$143,'Inputs &amp; Assumptions'!$D$60*INDEX('Inputs &amp; Assumptions'!$C$26:$I$26,CEILING(('Inputs &amp; Assumptions'!$C$143+36)/4,1))*AN299,0)</f>
        <v>0</v>
      </c>
    </row>
    <row r="311" customFormat="false" ht="15" hidden="false" customHeight="false" outlineLevel="0" collapsed="false">
      <c r="B311" s="37" t="n">
        <v>5</v>
      </c>
      <c r="C311" s="38" t="n">
        <f aca="false">'Inputs &amp; Assumptions'!$C$144</f>
        <v>4</v>
      </c>
      <c r="D311" s="38" t="n">
        <f aca="false">'Inputs &amp; Assumptions'!$D$144</f>
        <v>3</v>
      </c>
      <c r="E311" s="39" t="n">
        <f aca="false">IF(1&lt;='Inputs &amp; Assumptions'!$E$144,'Inputs &amp; Assumptions'!$D$60*INDEX('Inputs &amp; Assumptions'!$C$26:$I$26,CEILING(('Inputs &amp; Assumptions'!$C$144+1)/4,1))*E300,0)</f>
        <v>963000</v>
      </c>
      <c r="F311" s="39" t="n">
        <f aca="false">IF(2&lt;='Inputs &amp; Assumptions'!$E$144,'Inputs &amp; Assumptions'!$D$60*INDEX('Inputs &amp; Assumptions'!$C$26:$I$26,CEILING(('Inputs &amp; Assumptions'!$C$144+2)/4,1))*F300,0)</f>
        <v>890208.464618355</v>
      </c>
      <c r="G311" s="39" t="n">
        <f aca="false">IF(3&lt;='Inputs &amp; Assumptions'!$E$144,'Inputs &amp; Assumptions'!$D$60*INDEX('Inputs &amp; Assumptions'!$C$26:$I$26,CEILING(('Inputs &amp; Assumptions'!$C$144+3)/4,1))*G300,0)</f>
        <v>822919.117838182</v>
      </c>
      <c r="H311" s="39" t="n">
        <f aca="false">IF(4&lt;='Inputs &amp; Assumptions'!$E$144,'Inputs &amp; Assumptions'!$D$60*INDEX('Inputs &amp; Assumptions'!$C$26:$I$26,CEILING(('Inputs &amp; Assumptions'!$C$144+4)/4,1))*H300,0)</f>
        <v>760716.058562637</v>
      </c>
      <c r="I311" s="39" t="n">
        <f aca="false">IF(5&lt;='Inputs &amp; Assumptions'!$E$144,'Inputs &amp; Assumptions'!$D$60*INDEX('Inputs &amp; Assumptions'!$C$26:$I$26,CEILING(('Inputs &amp; Assumptions'!$C$144+5)/4,1))*I300,0)</f>
        <v>624349.609163724</v>
      </c>
      <c r="J311" s="39" t="n">
        <f aca="false">IF(6&lt;='Inputs &amp; Assumptions'!$E$144,'Inputs &amp; Assumptions'!$D$60*INDEX('Inputs &amp; Assumptions'!$C$26:$I$26,CEILING(('Inputs &amp; Assumptions'!$C$144+6)/4,1))*J300,0)</f>
        <v>578211.908962891</v>
      </c>
      <c r="K311" s="39" t="n">
        <f aca="false">IF(7&lt;='Inputs &amp; Assumptions'!$E$144,'Inputs &amp; Assumptions'!$D$60*INDEX('Inputs &amp; Assumptions'!$C$26:$I$26,CEILING(('Inputs &amp; Assumptions'!$C$144+7)/4,1))*K300,0)</f>
        <v>535483.656527506</v>
      </c>
      <c r="L311" s="39" t="n">
        <f aca="false">IF(8&lt;='Inputs &amp; Assumptions'!$E$144,'Inputs &amp; Assumptions'!$D$60*INDEX('Inputs &amp; Assumptions'!$C$26:$I$26,CEILING(('Inputs &amp; Assumptions'!$C$144+8)/4,1))*L300,0)</f>
        <v>495912.903147194</v>
      </c>
      <c r="M311" s="39" t="n">
        <f aca="false">IF(9&lt;='Inputs &amp; Assumptions'!$E$144,'Inputs &amp; Assumptions'!$D$60*INDEX('Inputs &amp; Assumptions'!$C$26:$I$26,CEILING(('Inputs &amp; Assumptions'!$C$144+9)/4,1))*M300,0)</f>
        <v>367413.054736614</v>
      </c>
      <c r="N311" s="39" t="n">
        <f aca="false">IF(10&lt;='Inputs &amp; Assumptions'!$E$144,'Inputs &amp; Assumptions'!$D$60*INDEX('Inputs &amp; Assumptions'!$C$26:$I$26,CEILING(('Inputs &amp; Assumptions'!$C$144+10)/4,1))*N300,0)</f>
        <v>341246.017615511</v>
      </c>
      <c r="O311" s="39" t="n">
        <f aca="false">IF(11&lt;='Inputs &amp; Assumptions'!$E$144,'Inputs &amp; Assumptions'!$D$60*INDEX('Inputs &amp; Assumptions'!$C$26:$I$26,CEILING(('Inputs &amp; Assumptions'!$C$144+11)/4,1))*O300,0)</f>
        <v>316942.588286429</v>
      </c>
      <c r="P311" s="39" t="n">
        <f aca="false">IF(12&lt;='Inputs &amp; Assumptions'!$E$144,'Inputs &amp; Assumptions'!$D$60*INDEX('Inputs &amp; Assumptions'!$C$26:$I$26,CEILING(('Inputs &amp; Assumptions'!$C$144+12)/4,1))*P300,0)</f>
        <v>294370.041214321</v>
      </c>
      <c r="Q311" s="39" t="n">
        <f aca="false">IF(13&lt;='Inputs &amp; Assumptions'!$E$144,'Inputs &amp; Assumptions'!$D$60*INDEX('Inputs &amp; Assumptions'!$C$26:$I$26,CEILING(('Inputs &amp; Assumptions'!$C$144+13)/4,1))*Q300,0)</f>
        <v>213148.057688686</v>
      </c>
      <c r="R311" s="39" t="n">
        <f aca="false">IF(14&lt;='Inputs &amp; Assumptions'!$E$144,'Inputs &amp; Assumptions'!$D$60*INDEX('Inputs &amp; Assumptions'!$C$26:$I$26,CEILING(('Inputs &amp; Assumptions'!$C$144+14)/4,1))*R300,0)</f>
        <v>198470.852586895</v>
      </c>
      <c r="S311" s="39" t="n">
        <f aca="false">IF(15&lt;='Inputs &amp; Assumptions'!$E$144,'Inputs &amp; Assumptions'!$D$60*INDEX('Inputs &amp; Assumptions'!$C$26:$I$26,CEILING(('Inputs &amp; Assumptions'!$C$144+15)/4,1))*S300,0)</f>
        <v>184804.308111975</v>
      </c>
      <c r="T311" s="39" t="n">
        <f aca="false">IF(16&lt;='Inputs &amp; Assumptions'!$E$144,'Inputs &amp; Assumptions'!$D$60*INDEX('Inputs &amp; Assumptions'!$C$26:$I$26,CEILING(('Inputs &amp; Assumptions'!$C$144+16)/4,1))*T300,0)</f>
        <v>172078.830979944</v>
      </c>
      <c r="U311" s="39" t="n">
        <f aca="false">IF(17&lt;='Inputs &amp; Assumptions'!$E$144,'Inputs &amp; Assumptions'!$D$60*INDEX('Inputs &amp; Assumptions'!$C$26:$I$26,CEILING(('Inputs &amp; Assumptions'!$C$144+17)/4,1))*U300,0)</f>
        <v>129806.274466675</v>
      </c>
      <c r="V311" s="39" t="n">
        <f aca="false">IF(18&lt;='Inputs &amp; Assumptions'!$E$144,'Inputs &amp; Assumptions'!$D$60*INDEX('Inputs &amp; Assumptions'!$C$26:$I$26,CEILING(('Inputs &amp; Assumptions'!$C$144+18)/4,1))*V300,0)</f>
        <v>121073.711630247</v>
      </c>
      <c r="W311" s="39" t="n">
        <f aca="false">IF(19&lt;='Inputs &amp; Assumptions'!$E$144,'Inputs &amp; Assumptions'!$D$60*INDEX('Inputs &amp; Assumptions'!$C$26:$I$26,CEILING(('Inputs &amp; Assumptions'!$C$144+19)/4,1))*W300,0)</f>
        <v>112928.621579749</v>
      </c>
      <c r="X311" s="39" t="n">
        <f aca="false">IF(20&lt;='Inputs &amp; Assumptions'!$E$144,'Inputs &amp; Assumptions'!$D$60*INDEX('Inputs &amp; Assumptions'!$C$26:$I$26,CEILING(('Inputs &amp; Assumptions'!$C$144+20)/4,1))*X300,0)</f>
        <v>105331.482781735</v>
      </c>
      <c r="Y311" s="39" t="n">
        <f aca="false">IF(21&lt;='Inputs &amp; Assumptions'!$E$144,'Inputs &amp; Assumptions'!$D$60*INDEX('Inputs &amp; Assumptions'!$C$26:$I$26,CEILING(('Inputs &amp; Assumptions'!$C$144+21)/4,1))*Y300,0)</f>
        <v>77265.9390755699</v>
      </c>
      <c r="Z311" s="39" t="n">
        <f aca="false">IF(22&lt;='Inputs &amp; Assumptions'!$E$144,'Inputs &amp; Assumptions'!$D$60*INDEX('Inputs &amp; Assumptions'!$C$26:$I$26,CEILING(('Inputs &amp; Assumptions'!$C$144+22)/4,1))*Z300,0)</f>
        <v>72179.5729310496</v>
      </c>
      <c r="AA311" s="39" t="n">
        <f aca="false">IF(23&lt;='Inputs &amp; Assumptions'!$E$144,'Inputs &amp; Assumptions'!$D$60*INDEX('Inputs &amp; Assumptions'!$C$26:$I$26,CEILING(('Inputs &amp; Assumptions'!$C$144+23)/4,1))*AA300,0)</f>
        <v>67428.0389372242</v>
      </c>
      <c r="AB311" s="39" t="n">
        <f aca="false">IF(24&lt;='Inputs &amp; Assumptions'!$E$144,'Inputs &amp; Assumptions'!$D$60*INDEX('Inputs &amp; Assumptions'!$C$26:$I$26,CEILING(('Inputs &amp; Assumptions'!$C$144+24)/4,1))*AB300,0)</f>
        <v>62989.295312996</v>
      </c>
      <c r="AC311" s="39" t="n">
        <f aca="false">IF(25&lt;='Inputs &amp; Assumptions'!$E$144,'Inputs &amp; Assumptions'!$D$60*INDEX('Inputs &amp; Assumptions'!$C$26:$I$26,CEILING(('Inputs &amp; Assumptions'!$C$144+25)/4,1))*AC300,0)</f>
        <v>0</v>
      </c>
      <c r="AD311" s="39" t="n">
        <f aca="false">IF(26&lt;='Inputs &amp; Assumptions'!$E$144,'Inputs &amp; Assumptions'!$D$60*INDEX('Inputs &amp; Assumptions'!$C$26:$I$26,CEILING(('Inputs &amp; Assumptions'!$C$144+26)/4,1))*AD300,0)</f>
        <v>0</v>
      </c>
      <c r="AE311" s="39" t="n">
        <f aca="false">IF(27&lt;='Inputs &amp; Assumptions'!$E$144,'Inputs &amp; Assumptions'!$D$60*INDEX('Inputs &amp; Assumptions'!$C$26:$I$26,CEILING(('Inputs &amp; Assumptions'!$C$144+27)/4,1))*AE300,0)</f>
        <v>0</v>
      </c>
      <c r="AF311" s="39" t="n">
        <f aca="false">IF(28&lt;='Inputs &amp; Assumptions'!$E$144,'Inputs &amp; Assumptions'!$D$60*INDEX('Inputs &amp; Assumptions'!$C$26:$I$26,CEILING(('Inputs &amp; Assumptions'!$C$144+28)/4,1))*AF300,0)</f>
        <v>0</v>
      </c>
      <c r="AG311" s="39" t="n">
        <f aca="false">IF(29&lt;='Inputs &amp; Assumptions'!$E$144,'Inputs &amp; Assumptions'!$D$60*INDEX('Inputs &amp; Assumptions'!$C$26:$I$26,CEILING(('Inputs &amp; Assumptions'!$C$144+29)/4,1))*AG300,0)</f>
        <v>0</v>
      </c>
      <c r="AH311" s="39" t="n">
        <f aca="false">IF(30&lt;='Inputs &amp; Assumptions'!$E$144,'Inputs &amp; Assumptions'!$D$60*INDEX('Inputs &amp; Assumptions'!$C$26:$I$26,CEILING(('Inputs &amp; Assumptions'!$C$144+30)/4,1))*AH300,0)</f>
        <v>0</v>
      </c>
      <c r="AI311" s="39" t="n">
        <f aca="false">IF(31&lt;='Inputs &amp; Assumptions'!$E$144,'Inputs &amp; Assumptions'!$D$60*INDEX('Inputs &amp; Assumptions'!$C$26:$I$26,CEILING(('Inputs &amp; Assumptions'!$C$144+31)/4,1))*AI300,0)</f>
        <v>0</v>
      </c>
      <c r="AJ311" s="39" t="n">
        <f aca="false">IF(32&lt;='Inputs &amp; Assumptions'!$E$144,'Inputs &amp; Assumptions'!$D$60*INDEX('Inputs &amp; Assumptions'!$C$26:$I$26,CEILING(('Inputs &amp; Assumptions'!$C$144+32)/4,1))*AJ300,0)</f>
        <v>0</v>
      </c>
      <c r="AK311" s="39" t="n">
        <f aca="false">IF(33&lt;='Inputs &amp; Assumptions'!$E$144,'Inputs &amp; Assumptions'!$D$60*INDEX('Inputs &amp; Assumptions'!$C$26:$I$26,CEILING(('Inputs &amp; Assumptions'!$C$144+33)/4,1))*AK300,0)</f>
        <v>0</v>
      </c>
      <c r="AL311" s="39" t="n">
        <f aca="false">IF(34&lt;='Inputs &amp; Assumptions'!$E$144,'Inputs &amp; Assumptions'!$D$60*INDEX('Inputs &amp; Assumptions'!$C$26:$I$26,CEILING(('Inputs &amp; Assumptions'!$C$144+34)/4,1))*AL300,0)</f>
        <v>0</v>
      </c>
      <c r="AM311" s="39" t="n">
        <f aca="false">IF(35&lt;='Inputs &amp; Assumptions'!$E$144,'Inputs &amp; Assumptions'!$D$60*INDEX('Inputs &amp; Assumptions'!$C$26:$I$26,CEILING(('Inputs &amp; Assumptions'!$C$144+35)/4,1))*AM300,0)</f>
        <v>0</v>
      </c>
      <c r="AN311" s="39" t="n">
        <f aca="false">IF(36&lt;='Inputs &amp; Assumptions'!$E$144,'Inputs &amp; Assumptions'!$D$60*INDEX('Inputs &amp; Assumptions'!$C$26:$I$26,CEILING(('Inputs &amp; Assumptions'!$C$144+36)/4,1))*AN300,0)</f>
        <v>0</v>
      </c>
    </row>
    <row r="312" customFormat="false" ht="15" hidden="false" customHeight="false" outlineLevel="0" collapsed="false">
      <c r="B312" s="37" t="n">
        <v>6</v>
      </c>
      <c r="C312" s="38" t="n">
        <f aca="false">'Inputs &amp; Assumptions'!$C$145</f>
        <v>5</v>
      </c>
      <c r="D312" s="38" t="n">
        <f aca="false">'Inputs &amp; Assumptions'!$D$145</f>
        <v>3</v>
      </c>
      <c r="E312" s="39" t="n">
        <f aca="false">IF(1&lt;='Inputs &amp; Assumptions'!$E$145,'Inputs &amp; Assumptions'!$D$60*INDEX('Inputs &amp; Assumptions'!$C$26:$I$26,CEILING(('Inputs &amp; Assumptions'!$C$145+1)/4,1))*E301,0)</f>
        <v>934110</v>
      </c>
      <c r="F312" s="39" t="n">
        <f aca="false">IF(2&lt;='Inputs &amp; Assumptions'!$E$145,'Inputs &amp; Assumptions'!$D$60*INDEX('Inputs &amp; Assumptions'!$C$26:$I$26,CEILING(('Inputs &amp; Assumptions'!$C$145+2)/4,1))*F301,0)</f>
        <v>863502.210679804</v>
      </c>
      <c r="G312" s="39" t="n">
        <f aca="false">IF(3&lt;='Inputs &amp; Assumptions'!$E$145,'Inputs &amp; Assumptions'!$D$60*INDEX('Inputs &amp; Assumptions'!$C$26:$I$26,CEILING(('Inputs &amp; Assumptions'!$C$145+3)/4,1))*G301,0)</f>
        <v>798231.544303036</v>
      </c>
      <c r="H312" s="39" t="n">
        <f aca="false">IF(4&lt;='Inputs &amp; Assumptions'!$E$145,'Inputs &amp; Assumptions'!$D$60*INDEX('Inputs &amp; Assumptions'!$C$26:$I$26,CEILING(('Inputs &amp; Assumptions'!$C$145+4)/4,1))*H301,0)</f>
        <v>655140.044827542</v>
      </c>
      <c r="I312" s="39" t="n">
        <f aca="false">IF(5&lt;='Inputs &amp; Assumptions'!$E$145,'Inputs &amp; Assumptions'!$D$60*INDEX('Inputs &amp; Assumptions'!$C$26:$I$26,CEILING(('Inputs &amp; Assumptions'!$C$145+5)/4,1))*I301,0)</f>
        <v>606727.017039633</v>
      </c>
      <c r="J312" s="39" t="n">
        <f aca="false">IF(6&lt;='Inputs &amp; Assumptions'!$E$145,'Inputs &amp; Assumptions'!$D$60*INDEX('Inputs &amp; Assumptions'!$C$26:$I$26,CEILING(('Inputs &amp; Assumptions'!$C$145+6)/4,1))*J301,0)</f>
        <v>561891.577399629</v>
      </c>
      <c r="K312" s="39" t="n">
        <f aca="false">IF(7&lt;='Inputs &amp; Assumptions'!$E$145,'Inputs &amp; Assumptions'!$D$60*INDEX('Inputs &amp; Assumptions'!$C$26:$I$26,CEILING(('Inputs &amp; Assumptions'!$C$145+7)/4,1))*K301,0)</f>
        <v>520369.35209038</v>
      </c>
      <c r="L312" s="39" t="n">
        <f aca="false">IF(8&lt;='Inputs &amp; Assumptions'!$E$145,'Inputs &amp; Assumptions'!$D$60*INDEX('Inputs &amp; Assumptions'!$C$26:$I$26,CEILING(('Inputs &amp; Assumptions'!$C$145+8)/4,1))*L301,0)</f>
        <v>385532.403027817</v>
      </c>
      <c r="M312" s="39" t="n">
        <f aca="false">IF(9&lt;='Inputs &amp; Assumptions'!$E$145,'Inputs &amp; Assumptions'!$D$60*INDEX('Inputs &amp; Assumptions'!$C$26:$I$26,CEILING(('Inputs &amp; Assumptions'!$C$145+9)/4,1))*M301,0)</f>
        <v>358074.911870763</v>
      </c>
      <c r="N312" s="39" t="n">
        <f aca="false">IF(10&lt;='Inputs &amp; Assumptions'!$E$145,'Inputs &amp; Assumptions'!$D$60*INDEX('Inputs &amp; Assumptions'!$C$26:$I$26,CEILING(('Inputs &amp; Assumptions'!$C$145+10)/4,1))*N301,0)</f>
        <v>332572.93421846</v>
      </c>
      <c r="O312" s="39" t="n">
        <f aca="false">IF(11&lt;='Inputs &amp; Assumptions'!$E$145,'Inputs &amp; Assumptions'!$D$60*INDEX('Inputs &amp; Assumptions'!$C$26:$I$26,CEILING(('Inputs &amp; Assumptions'!$C$145+11)/4,1))*O301,0)</f>
        <v>308887.199041176</v>
      </c>
      <c r="P312" s="39" t="n">
        <f aca="false">IF(12&lt;='Inputs &amp; Assumptions'!$E$145,'Inputs &amp; Assumptions'!$D$60*INDEX('Inputs &amp; Assumptions'!$C$26:$I$26,CEILING(('Inputs &amp; Assumptions'!$C$145+12)/4,1))*P301,0)</f>
        <v>223659.670831076</v>
      </c>
      <c r="Q312" s="39" t="n">
        <f aca="false">IF(13&lt;='Inputs &amp; Assumptions'!$E$145,'Inputs &amp; Assumptions'!$D$60*INDEX('Inputs &amp; Assumptions'!$C$26:$I$26,CEILING(('Inputs &amp; Assumptions'!$C$145+13)/4,1))*Q301,0)</f>
        <v>208258.644439452</v>
      </c>
      <c r="R312" s="39" t="n">
        <f aca="false">IF(14&lt;='Inputs &amp; Assumptions'!$E$145,'Inputs &amp; Assumptions'!$D$60*INDEX('Inputs &amp; Assumptions'!$C$26:$I$26,CEILING(('Inputs &amp; Assumptions'!$C$145+14)/4,1))*R301,0)</f>
        <v>193918.120430909</v>
      </c>
      <c r="S312" s="39" t="n">
        <f aca="false">IF(15&lt;='Inputs &amp; Assumptions'!$E$145,'Inputs &amp; Assumptions'!$D$60*INDEX('Inputs &amp; Assumptions'!$C$26:$I$26,CEILING(('Inputs &amp; Assumptions'!$C$145+15)/4,1))*S301,0)</f>
        <v>180565.07345792</v>
      </c>
      <c r="T312" s="39" t="n">
        <f aca="false">IF(16&lt;='Inputs &amp; Assumptions'!$E$145,'Inputs &amp; Assumptions'!$D$60*INDEX('Inputs &amp; Assumptions'!$C$26:$I$26,CEILING(('Inputs &amp; Assumptions'!$C$145+16)/4,1))*T301,0)</f>
        <v>136207.802847672</v>
      </c>
      <c r="U312" s="39" t="n">
        <f aca="false">IF(17&lt;='Inputs &amp; Assumptions'!$E$145,'Inputs &amp; Assumptions'!$D$60*INDEX('Inputs &amp; Assumptions'!$C$26:$I$26,CEILING(('Inputs &amp; Assumptions'!$C$145+17)/4,1))*U301,0)</f>
        <v>127044.584797804</v>
      </c>
      <c r="V312" s="39" t="n">
        <f aca="false">IF(18&lt;='Inputs &amp; Assumptions'!$E$145,'Inputs &amp; Assumptions'!$D$60*INDEX('Inputs &amp; Assumptions'!$C$26:$I$26,CEILING(('Inputs &amp; Assumptions'!$C$145+18)/4,1))*V301,0)</f>
        <v>118497.811351505</v>
      </c>
      <c r="W312" s="39" t="n">
        <f aca="false">IF(19&lt;='Inputs &amp; Assumptions'!$E$145,'Inputs &amp; Assumptions'!$D$60*INDEX('Inputs &amp; Assumptions'!$C$26:$I$26,CEILING(('Inputs &amp; Assumptions'!$C$145+19)/4,1))*W301,0)</f>
        <v>110526.011930731</v>
      </c>
      <c r="X312" s="39" t="n">
        <f aca="false">IF(20&lt;='Inputs &amp; Assumptions'!$E$145,'Inputs &amp; Assumptions'!$D$60*INDEX('Inputs &amp; Assumptions'!$C$26:$I$26,CEILING(('Inputs &amp; Assumptions'!$C$145+20)/4,1))*X301,0)</f>
        <v>81076.3874064295</v>
      </c>
      <c r="Y312" s="39" t="n">
        <f aca="false">IF(21&lt;='Inputs &amp; Assumptions'!$E$145,'Inputs &amp; Assumptions'!$D$60*INDEX('Inputs &amp; Assumptions'!$C$26:$I$26,CEILING(('Inputs &amp; Assumptions'!$C$145+21)/4,1))*Y301,0)</f>
        <v>75739.1819449035</v>
      </c>
      <c r="Z312" s="39" t="n">
        <f aca="false">IF(22&lt;='Inputs &amp; Assumptions'!$E$145,'Inputs &amp; Assumptions'!$D$60*INDEX('Inputs &amp; Assumptions'!$C$26:$I$26,CEILING(('Inputs &amp; Assumptions'!$C$145+22)/4,1))*Z301,0)</f>
        <v>70753.3212219602</v>
      </c>
      <c r="AA312" s="39" t="n">
        <f aca="false">IF(23&lt;='Inputs &amp; Assumptions'!$E$145,'Inputs &amp; Assumptions'!$D$60*INDEX('Inputs &amp; Assumptions'!$C$26:$I$26,CEILING(('Inputs &amp; Assumptions'!$C$145+23)/4,1))*AA301,0)</f>
        <v>66095.6764436607</v>
      </c>
      <c r="AB312" s="39" t="n">
        <f aca="false">IF(24&lt;='Inputs &amp; Assumptions'!$E$145,'Inputs &amp; Assumptions'!$D$60*INDEX('Inputs &amp; Assumptions'!$C$26:$I$26,CEILING(('Inputs &amp; Assumptions'!$C$145+24)/4,1))*AB301,0)</f>
        <v>0</v>
      </c>
      <c r="AC312" s="39" t="n">
        <f aca="false">IF(25&lt;='Inputs &amp; Assumptions'!$E$145,'Inputs &amp; Assumptions'!$D$60*INDEX('Inputs &amp; Assumptions'!$C$26:$I$26,CEILING(('Inputs &amp; Assumptions'!$C$145+25)/4,1))*AC301,0)</f>
        <v>0</v>
      </c>
      <c r="AD312" s="39" t="n">
        <f aca="false">IF(26&lt;='Inputs &amp; Assumptions'!$E$145,'Inputs &amp; Assumptions'!$D$60*INDEX('Inputs &amp; Assumptions'!$C$26:$I$26,CEILING(('Inputs &amp; Assumptions'!$C$145+26)/4,1))*AD301,0)</f>
        <v>0</v>
      </c>
      <c r="AE312" s="39" t="n">
        <f aca="false">IF(27&lt;='Inputs &amp; Assumptions'!$E$145,'Inputs &amp; Assumptions'!$D$60*INDEX('Inputs &amp; Assumptions'!$C$26:$I$26,CEILING(('Inputs &amp; Assumptions'!$C$145+27)/4,1))*AE301,0)</f>
        <v>0</v>
      </c>
      <c r="AF312" s="39" t="n">
        <f aca="false">IF(28&lt;='Inputs &amp; Assumptions'!$E$145,'Inputs &amp; Assumptions'!$D$60*INDEX('Inputs &amp; Assumptions'!$C$26:$I$26,CEILING(('Inputs &amp; Assumptions'!$C$145+28)/4,1))*AF301,0)</f>
        <v>0</v>
      </c>
      <c r="AG312" s="39" t="n">
        <f aca="false">IF(29&lt;='Inputs &amp; Assumptions'!$E$145,'Inputs &amp; Assumptions'!$D$60*INDEX('Inputs &amp; Assumptions'!$C$26:$I$26,CEILING(('Inputs &amp; Assumptions'!$C$145+29)/4,1))*AG301,0)</f>
        <v>0</v>
      </c>
      <c r="AH312" s="39" t="n">
        <f aca="false">IF(30&lt;='Inputs &amp; Assumptions'!$E$145,'Inputs &amp; Assumptions'!$D$60*INDEX('Inputs &amp; Assumptions'!$C$26:$I$26,CEILING(('Inputs &amp; Assumptions'!$C$145+30)/4,1))*AH301,0)</f>
        <v>0</v>
      </c>
      <c r="AI312" s="39" t="n">
        <f aca="false">IF(31&lt;='Inputs &amp; Assumptions'!$E$145,'Inputs &amp; Assumptions'!$D$60*INDEX('Inputs &amp; Assumptions'!$C$26:$I$26,CEILING(('Inputs &amp; Assumptions'!$C$145+31)/4,1))*AI301,0)</f>
        <v>0</v>
      </c>
      <c r="AJ312" s="39" t="n">
        <f aca="false">IF(32&lt;='Inputs &amp; Assumptions'!$E$145,'Inputs &amp; Assumptions'!$D$60*INDEX('Inputs &amp; Assumptions'!$C$26:$I$26,CEILING(('Inputs &amp; Assumptions'!$C$145+32)/4,1))*AJ301,0)</f>
        <v>0</v>
      </c>
      <c r="AK312" s="39" t="n">
        <f aca="false">IF(33&lt;='Inputs &amp; Assumptions'!$E$145,'Inputs &amp; Assumptions'!$D$60*INDEX('Inputs &amp; Assumptions'!$C$26:$I$26,CEILING(('Inputs &amp; Assumptions'!$C$145+33)/4,1))*AK301,0)</f>
        <v>0</v>
      </c>
      <c r="AL312" s="39" t="n">
        <f aca="false">IF(34&lt;='Inputs &amp; Assumptions'!$E$145,'Inputs &amp; Assumptions'!$D$60*INDEX('Inputs &amp; Assumptions'!$C$26:$I$26,CEILING(('Inputs &amp; Assumptions'!$C$145+34)/4,1))*AL301,0)</f>
        <v>0</v>
      </c>
      <c r="AM312" s="39" t="n">
        <f aca="false">IF(35&lt;='Inputs &amp; Assumptions'!$E$145,'Inputs &amp; Assumptions'!$D$60*INDEX('Inputs &amp; Assumptions'!$C$26:$I$26,CEILING(('Inputs &amp; Assumptions'!$C$145+35)/4,1))*AM301,0)</f>
        <v>0</v>
      </c>
      <c r="AN312" s="39" t="n">
        <f aca="false">IF(36&lt;='Inputs &amp; Assumptions'!$E$145,'Inputs &amp; Assumptions'!$D$60*INDEX('Inputs &amp; Assumptions'!$C$26:$I$26,CEILING(('Inputs &amp; Assumptions'!$C$145+36)/4,1))*AN301,0)</f>
        <v>0</v>
      </c>
    </row>
    <row r="313" customFormat="false" ht="15" hidden="false" customHeight="false" outlineLevel="0" collapsed="false">
      <c r="B313" s="37" t="n">
        <v>7</v>
      </c>
      <c r="C313" s="38" t="n">
        <f aca="false">'Inputs &amp; Assumptions'!$C$146</f>
        <v>6</v>
      </c>
      <c r="D313" s="38" t="n">
        <f aca="false">'Inputs &amp; Assumptions'!$D$146</f>
        <v>3</v>
      </c>
      <c r="E313" s="39" t="n">
        <f aca="false">IF(1&lt;='Inputs &amp; Assumptions'!$E$146,'Inputs &amp; Assumptions'!$D$60*INDEX('Inputs &amp; Assumptions'!$C$26:$I$26,CEILING(('Inputs &amp; Assumptions'!$C$146+1)/4,1))*E302,0)</f>
        <v>906086.7</v>
      </c>
      <c r="F313" s="39" t="n">
        <f aca="false">IF(2&lt;='Inputs &amp; Assumptions'!$E$146,'Inputs &amp; Assumptions'!$D$60*INDEX('Inputs &amp; Assumptions'!$C$26:$I$26,CEILING(('Inputs &amp; Assumptions'!$C$146+2)/4,1))*F302,0)</f>
        <v>837597.14435941</v>
      </c>
      <c r="G313" s="39" t="n">
        <f aca="false">IF(3&lt;='Inputs &amp; Assumptions'!$E$146,'Inputs &amp; Assumptions'!$D$60*INDEX('Inputs &amp; Assumptions'!$C$26:$I$26,CEILING(('Inputs &amp; Assumptions'!$C$146+3)/4,1))*G302,0)</f>
        <v>687448.9421264</v>
      </c>
      <c r="H313" s="39" t="n">
        <f aca="false">IF(4&lt;='Inputs &amp; Assumptions'!$E$146,'Inputs &amp; Assumptions'!$D$60*INDEX('Inputs &amp; Assumptions'!$C$26:$I$26,CEILING(('Inputs &amp; Assumptions'!$C$146+4)/4,1))*H302,0)</f>
        <v>636648.376658455</v>
      </c>
      <c r="I313" s="39" t="n">
        <f aca="false">IF(5&lt;='Inputs &amp; Assumptions'!$E$146,'Inputs &amp; Assumptions'!$D$60*INDEX('Inputs &amp; Assumptions'!$C$26:$I$26,CEILING(('Inputs &amp; Assumptions'!$C$146+5)/4,1))*I302,0)</f>
        <v>589601.831734756</v>
      </c>
      <c r="J313" s="39" t="n">
        <f aca="false">IF(6&lt;='Inputs &amp; Assumptions'!$E$146,'Inputs &amp; Assumptions'!$D$60*INDEX('Inputs &amp; Assumptions'!$C$26:$I$26,CEILING(('Inputs &amp; Assumptions'!$C$146+6)/4,1))*J302,0)</f>
        <v>546031.895674611</v>
      </c>
      <c r="K313" s="39" t="n">
        <f aca="false">IF(7&lt;='Inputs &amp; Assumptions'!$E$146,'Inputs &amp; Assumptions'!$D$60*INDEX('Inputs &amp; Assumptions'!$C$26:$I$26,CEILING(('Inputs &amp; Assumptions'!$C$146+7)/4,1))*K302,0)</f>
        <v>404545.325399379</v>
      </c>
      <c r="L313" s="39" t="n">
        <f aca="false">IF(8&lt;='Inputs &amp; Assumptions'!$E$146,'Inputs &amp; Assumptions'!$D$60*INDEX('Inputs &amp; Assumptions'!$C$26:$I$26,CEILING(('Inputs &amp; Assumptions'!$C$146+8)/4,1))*L302,0)</f>
        <v>375733.740153769</v>
      </c>
      <c r="M313" s="39" t="n">
        <f aca="false">IF(9&lt;='Inputs &amp; Assumptions'!$E$146,'Inputs &amp; Assumptions'!$D$60*INDEX('Inputs &amp; Assumptions'!$C$26:$I$26,CEILING(('Inputs &amp; Assumptions'!$C$146+9)/4,1))*M302,0)</f>
        <v>348974.10654929</v>
      </c>
      <c r="N313" s="39" t="n">
        <f aca="false">IF(10&lt;='Inputs &amp; Assumptions'!$E$146,'Inputs &amp; Assumptions'!$D$60*INDEX('Inputs &amp; Assumptions'!$C$26:$I$26,CEILING(('Inputs &amp; Assumptions'!$C$146+10)/4,1))*N302,0)</f>
        <v>324120.285263802</v>
      </c>
      <c r="O313" s="39" t="n">
        <f aca="false">IF(11&lt;='Inputs &amp; Assumptions'!$E$146,'Inputs &amp; Assumptions'!$D$60*INDEX('Inputs &amp; Assumptions'!$C$26:$I$26,CEILING(('Inputs &amp; Assumptions'!$C$146+11)/4,1))*O302,0)</f>
        <v>234689.674861252</v>
      </c>
      <c r="P313" s="39" t="n">
        <f aca="false">IF(12&lt;='Inputs &amp; Assumptions'!$E$146,'Inputs &amp; Assumptions'!$D$60*INDEX('Inputs &amp; Assumptions'!$C$26:$I$26,CEILING(('Inputs &amp; Assumptions'!$C$146+12)/4,1))*P302,0)</f>
        <v>218529.131197081</v>
      </c>
      <c r="Q313" s="39" t="n">
        <f aca="false">IF(13&lt;='Inputs &amp; Assumptions'!$E$146,'Inputs &amp; Assumptions'!$D$60*INDEX('Inputs &amp; Assumptions'!$C$26:$I$26,CEILING(('Inputs &amp; Assumptions'!$C$146+13)/4,1))*Q302,0)</f>
        <v>203481.389669075</v>
      </c>
      <c r="R313" s="39" t="n">
        <f aca="false">IF(14&lt;='Inputs &amp; Assumptions'!$E$146,'Inputs &amp; Assumptions'!$D$60*INDEX('Inputs &amp; Assumptions'!$C$26:$I$26,CEILING(('Inputs &amp; Assumptions'!$C$146+14)/4,1))*R302,0)</f>
        <v>189469.82361046</v>
      </c>
      <c r="S313" s="39" t="n">
        <f aca="false">IF(15&lt;='Inputs &amp; Assumptions'!$E$146,'Inputs &amp; Assumptions'!$D$60*INDEX('Inputs &amp; Assumptions'!$C$26:$I$26,CEILING(('Inputs &amp; Assumptions'!$C$146+15)/4,1))*S302,0)</f>
        <v>142925.029108306</v>
      </c>
      <c r="T313" s="39" t="n">
        <f aca="false">IF(16&lt;='Inputs &amp; Assumptions'!$E$146,'Inputs &amp; Assumptions'!$D$60*INDEX('Inputs &amp; Assumptions'!$C$26:$I$26,CEILING(('Inputs &amp; Assumptions'!$C$146+16)/4,1))*T302,0)</f>
        <v>133309.917645362</v>
      </c>
      <c r="U313" s="39" t="n">
        <f aca="false">IF(17&lt;='Inputs &amp; Assumptions'!$E$146,'Inputs &amp; Assumptions'!$D$60*INDEX('Inputs &amp; Assumptions'!$C$26:$I$26,CEILING(('Inputs &amp; Assumptions'!$C$146+17)/4,1))*U302,0)</f>
        <v>124341.651378263</v>
      </c>
      <c r="V313" s="39" t="n">
        <f aca="false">IF(18&lt;='Inputs &amp; Assumptions'!$E$146,'Inputs &amp; Assumptions'!$D$60*INDEX('Inputs &amp; Assumptions'!$C$26:$I$26,CEILING(('Inputs &amp; Assumptions'!$C$146+18)/4,1))*V302,0)</f>
        <v>115976.714565254</v>
      </c>
      <c r="W313" s="39" t="n">
        <f aca="false">IF(19&lt;='Inputs &amp; Assumptions'!$E$146,'Inputs &amp; Assumptions'!$D$60*INDEX('Inputs &amp; Assumptions'!$C$26:$I$26,CEILING(('Inputs &amp; Assumptions'!$C$146+19)/4,1))*W302,0)</f>
        <v>85074.7518702693</v>
      </c>
      <c r="X313" s="39" t="n">
        <f aca="false">IF(20&lt;='Inputs &amp; Assumptions'!$E$146,'Inputs &amp; Assumptions'!$D$60*INDEX('Inputs &amp; Assumptions'!$C$26:$I$26,CEILING(('Inputs &amp; Assumptions'!$C$146+20)/4,1))*X302,0)</f>
        <v>79474.3366958264</v>
      </c>
      <c r="Y313" s="39" t="n">
        <f aca="false">IF(21&lt;='Inputs &amp; Assumptions'!$E$146,'Inputs &amp; Assumptions'!$D$60*INDEX('Inputs &amp; Assumptions'!$C$26:$I$26,CEILING(('Inputs &amp; Assumptions'!$C$146+21)/4,1))*Y302,0)</f>
        <v>74242.593182912</v>
      </c>
      <c r="Z313" s="39" t="n">
        <f aca="false">IF(22&lt;='Inputs &amp; Assumptions'!$E$146,'Inputs &amp; Assumptions'!$D$60*INDEX('Inputs &amp; Assumptions'!$C$26:$I$26,CEILING(('Inputs &amp; Assumptions'!$C$146+22)/4,1))*Z302,0)</f>
        <v>69355.2519176022</v>
      </c>
      <c r="AA313" s="39" t="n">
        <f aca="false">IF(23&lt;='Inputs &amp; Assumptions'!$E$146,'Inputs &amp; Assumptions'!$D$60*INDEX('Inputs &amp; Assumptions'!$C$26:$I$26,CEILING(('Inputs &amp; Assumptions'!$C$146+23)/4,1))*AA302,0)</f>
        <v>0</v>
      </c>
      <c r="AB313" s="39" t="n">
        <f aca="false">IF(24&lt;='Inputs &amp; Assumptions'!$E$146,'Inputs &amp; Assumptions'!$D$60*INDEX('Inputs &amp; Assumptions'!$C$26:$I$26,CEILING(('Inputs &amp; Assumptions'!$C$146+24)/4,1))*AB302,0)</f>
        <v>0</v>
      </c>
      <c r="AC313" s="39" t="n">
        <f aca="false">IF(25&lt;='Inputs &amp; Assumptions'!$E$146,'Inputs &amp; Assumptions'!$D$60*INDEX('Inputs &amp; Assumptions'!$C$26:$I$26,CEILING(('Inputs &amp; Assumptions'!$C$146+25)/4,1))*AC302,0)</f>
        <v>0</v>
      </c>
      <c r="AD313" s="39" t="n">
        <f aca="false">IF(26&lt;='Inputs &amp; Assumptions'!$E$146,'Inputs &amp; Assumptions'!$D$60*INDEX('Inputs &amp; Assumptions'!$C$26:$I$26,CEILING(('Inputs &amp; Assumptions'!$C$146+26)/4,1))*AD302,0)</f>
        <v>0</v>
      </c>
      <c r="AE313" s="39" t="n">
        <f aca="false">IF(27&lt;='Inputs &amp; Assumptions'!$E$146,'Inputs &amp; Assumptions'!$D$60*INDEX('Inputs &amp; Assumptions'!$C$26:$I$26,CEILING(('Inputs &amp; Assumptions'!$C$146+27)/4,1))*AE302,0)</f>
        <v>0</v>
      </c>
      <c r="AF313" s="39" t="n">
        <f aca="false">IF(28&lt;='Inputs &amp; Assumptions'!$E$146,'Inputs &amp; Assumptions'!$D$60*INDEX('Inputs &amp; Assumptions'!$C$26:$I$26,CEILING(('Inputs &amp; Assumptions'!$C$146+28)/4,1))*AF302,0)</f>
        <v>0</v>
      </c>
      <c r="AG313" s="39" t="n">
        <f aca="false">IF(29&lt;='Inputs &amp; Assumptions'!$E$146,'Inputs &amp; Assumptions'!$D$60*INDEX('Inputs &amp; Assumptions'!$C$26:$I$26,CEILING(('Inputs &amp; Assumptions'!$C$146+29)/4,1))*AG302,0)</f>
        <v>0</v>
      </c>
      <c r="AH313" s="39" t="n">
        <f aca="false">IF(30&lt;='Inputs &amp; Assumptions'!$E$146,'Inputs &amp; Assumptions'!$D$60*INDEX('Inputs &amp; Assumptions'!$C$26:$I$26,CEILING(('Inputs &amp; Assumptions'!$C$146+30)/4,1))*AH302,0)</f>
        <v>0</v>
      </c>
      <c r="AI313" s="39" t="n">
        <f aca="false">IF(31&lt;='Inputs &amp; Assumptions'!$E$146,'Inputs &amp; Assumptions'!$D$60*INDEX('Inputs &amp; Assumptions'!$C$26:$I$26,CEILING(('Inputs &amp; Assumptions'!$C$146+31)/4,1))*AI302,0)</f>
        <v>0</v>
      </c>
      <c r="AJ313" s="39" t="n">
        <f aca="false">IF(32&lt;='Inputs &amp; Assumptions'!$E$146,'Inputs &amp; Assumptions'!$D$60*INDEX('Inputs &amp; Assumptions'!$C$26:$I$26,CEILING(('Inputs &amp; Assumptions'!$C$146+32)/4,1))*AJ302,0)</f>
        <v>0</v>
      </c>
      <c r="AK313" s="39" t="n">
        <f aca="false">IF(33&lt;='Inputs &amp; Assumptions'!$E$146,'Inputs &amp; Assumptions'!$D$60*INDEX('Inputs &amp; Assumptions'!$C$26:$I$26,CEILING(('Inputs &amp; Assumptions'!$C$146+33)/4,1))*AK302,0)</f>
        <v>0</v>
      </c>
      <c r="AL313" s="39" t="n">
        <f aca="false">IF(34&lt;='Inputs &amp; Assumptions'!$E$146,'Inputs &amp; Assumptions'!$D$60*INDEX('Inputs &amp; Assumptions'!$C$26:$I$26,CEILING(('Inputs &amp; Assumptions'!$C$146+34)/4,1))*AL302,0)</f>
        <v>0</v>
      </c>
      <c r="AM313" s="39" t="n">
        <f aca="false">IF(35&lt;='Inputs &amp; Assumptions'!$E$146,'Inputs &amp; Assumptions'!$D$60*INDEX('Inputs &amp; Assumptions'!$C$26:$I$26,CEILING(('Inputs &amp; Assumptions'!$C$146+35)/4,1))*AM302,0)</f>
        <v>0</v>
      </c>
      <c r="AN313" s="39" t="n">
        <f aca="false">IF(36&lt;='Inputs &amp; Assumptions'!$E$146,'Inputs &amp; Assumptions'!$D$60*INDEX('Inputs &amp; Assumptions'!$C$26:$I$26,CEILING(('Inputs &amp; Assumptions'!$C$146+36)/4,1))*AN302,0)</f>
        <v>0</v>
      </c>
    </row>
    <row r="314" customFormat="false" ht="15" hidden="false" customHeight="false" outlineLevel="0" collapsed="false">
      <c r="B314" s="37" t="n">
        <v>8</v>
      </c>
      <c r="C314" s="38" t="n">
        <f aca="false">'Inputs &amp; Assumptions'!$C$147</f>
        <v>7</v>
      </c>
      <c r="D314" s="38" t="n">
        <f aca="false">'Inputs &amp; Assumptions'!$D$147</f>
        <v>3</v>
      </c>
      <c r="E314" s="39" t="n">
        <f aca="false">IF(1&lt;='Inputs &amp; Assumptions'!$E$147,'Inputs &amp; Assumptions'!$D$60*INDEX('Inputs &amp; Assumptions'!$C$26:$I$26,CEILING(('Inputs &amp; Assumptions'!$C$147+1)/4,1))*E303,0)</f>
        <v>878904.099</v>
      </c>
      <c r="F314" s="39" t="n">
        <f aca="false">IF(2&lt;='Inputs &amp; Assumptions'!$E$147,'Inputs &amp; Assumptions'!$D$60*INDEX('Inputs &amp; Assumptions'!$C$26:$I$26,CEILING(('Inputs &amp; Assumptions'!$C$147+2)/4,1))*F303,0)</f>
        <v>721351.185539436</v>
      </c>
      <c r="G314" s="39" t="n">
        <f aca="false">IF(3&lt;='Inputs &amp; Assumptions'!$E$147,'Inputs &amp; Assumptions'!$D$60*INDEX('Inputs &amp; Assumptions'!$C$26:$I$26,CEILING(('Inputs &amp; Assumptions'!$C$147+3)/4,1))*G303,0)</f>
        <v>668045.338543692</v>
      </c>
      <c r="H314" s="39" t="n">
        <f aca="false">IF(4&lt;='Inputs &amp; Assumptions'!$E$147,'Inputs &amp; Assumptions'!$D$60*INDEX('Inputs &amp; Assumptions'!$C$26:$I$26,CEILING(('Inputs &amp; Assumptions'!$C$147+4)/4,1))*H303,0)</f>
        <v>618678.645431516</v>
      </c>
      <c r="I314" s="39" t="n">
        <f aca="false">IF(5&lt;='Inputs &amp; Assumptions'!$E$147,'Inputs &amp; Assumptions'!$D$60*INDEX('Inputs &amp; Assumptions'!$C$26:$I$26,CEILING(('Inputs &amp; Assumptions'!$C$147+5)/4,1))*I303,0)</f>
        <v>572960.013683175</v>
      </c>
      <c r="J314" s="39" t="n">
        <f aca="false">IF(6&lt;='Inputs &amp; Assumptions'!$E$147,'Inputs &amp; Assumptions'!$D$60*INDEX('Inputs &amp; Assumptions'!$C$26:$I$26,CEILING(('Inputs &amp; Assumptions'!$C$147+6)/4,1))*J303,0)</f>
        <v>424495.889365443</v>
      </c>
      <c r="K314" s="39" t="n">
        <f aca="false">IF(7&lt;='Inputs &amp; Assumptions'!$E$147,'Inputs &amp; Assumptions'!$D$60*INDEX('Inputs &amp; Assumptions'!$C$26:$I$26,CEILING(('Inputs &amp; Assumptions'!$C$147+7)/4,1))*K303,0)</f>
        <v>394263.431504783</v>
      </c>
      <c r="L314" s="39" t="n">
        <f aca="false">IF(8&lt;='Inputs &amp; Assumptions'!$E$147,'Inputs &amp; Assumptions'!$D$60*INDEX('Inputs &amp; Assumptions'!$C$26:$I$26,CEILING(('Inputs &amp; Assumptions'!$C$147+8)/4,1))*L303,0)</f>
        <v>366184.119366366</v>
      </c>
      <c r="M314" s="39" t="n">
        <f aca="false">IF(9&lt;='Inputs &amp; Assumptions'!$E$147,'Inputs &amp; Assumptions'!$D$60*INDEX('Inputs &amp; Assumptions'!$C$26:$I$26,CEILING(('Inputs &amp; Assumptions'!$C$147+9)/4,1))*M303,0)</f>
        <v>340104.606618821</v>
      </c>
      <c r="N314" s="39" t="n">
        <f aca="false">IF(10&lt;='Inputs &amp; Assumptions'!$E$147,'Inputs &amp; Assumptions'!$D$60*INDEX('Inputs &amp; Assumptions'!$C$26:$I$26,CEILING(('Inputs &amp; Assumptions'!$C$147+10)/4,1))*N303,0)</f>
        <v>246263.634752821</v>
      </c>
      <c r="O314" s="39" t="n">
        <f aca="false">IF(11&lt;='Inputs &amp; Assumptions'!$E$147,'Inputs &amp; Assumptions'!$D$60*INDEX('Inputs &amp; Assumptions'!$C$26:$I$26,CEILING(('Inputs &amp; Assumptions'!$C$147+11)/4,1))*O303,0)</f>
        <v>229306.117449713</v>
      </c>
      <c r="P314" s="39" t="n">
        <f aca="false">IF(12&lt;='Inputs &amp; Assumptions'!$E$147,'Inputs &amp; Assumptions'!$D$60*INDEX('Inputs &amp; Assumptions'!$C$26:$I$26,CEILING(('Inputs &amp; Assumptions'!$C$147+12)/4,1))*P303,0)</f>
        <v>213516.281251344</v>
      </c>
      <c r="Q314" s="39" t="n">
        <f aca="false">IF(13&lt;='Inputs &amp; Assumptions'!$E$147,'Inputs &amp; Assumptions'!$D$60*INDEX('Inputs &amp; Assumptions'!$C$26:$I$26,CEILING(('Inputs &amp; Assumptions'!$C$147+13)/4,1))*Q303,0)</f>
        <v>198813.720568971</v>
      </c>
      <c r="R314" s="39" t="n">
        <f aca="false">IF(14&lt;='Inputs &amp; Assumptions'!$E$147,'Inputs &amp; Assumptions'!$D$60*INDEX('Inputs &amp; Assumptions'!$C$26:$I$26,CEILING(('Inputs &amp; Assumptions'!$C$147+14)/4,1))*R303,0)</f>
        <v>149973.522210437</v>
      </c>
      <c r="S314" s="39" t="n">
        <f aca="false">IF(15&lt;='Inputs &amp; Assumptions'!$E$147,'Inputs &amp; Assumptions'!$D$60*INDEX('Inputs &amp; Assumptions'!$C$26:$I$26,CEILING(('Inputs &amp; Assumptions'!$C$147+15)/4,1))*S303,0)</f>
        <v>139884.231751374</v>
      </c>
      <c r="T314" s="39" t="n">
        <f aca="false">IF(16&lt;='Inputs &amp; Assumptions'!$E$147,'Inputs &amp; Assumptions'!$D$60*INDEX('Inputs &amp; Assumptions'!$C$26:$I$26,CEILING(('Inputs &amp; Assumptions'!$C$147+16)/4,1))*T303,0)</f>
        <v>130473.686316546</v>
      </c>
      <c r="U314" s="39" t="n">
        <f aca="false">IF(17&lt;='Inputs &amp; Assumptions'!$E$147,'Inputs &amp; Assumptions'!$D$60*INDEX('Inputs &amp; Assumptions'!$C$26:$I$26,CEILING(('Inputs &amp; Assumptions'!$C$147+17)/4,1))*U303,0)</f>
        <v>121696.224141155</v>
      </c>
      <c r="V314" s="39" t="n">
        <f aca="false">IF(18&lt;='Inputs &amp; Assumptions'!$E$147,'Inputs &amp; Assumptions'!$D$60*INDEX('Inputs &amp; Assumptions'!$C$26:$I$26,CEILING(('Inputs &amp; Assumptions'!$C$147+18)/4,1))*V303,0)</f>
        <v>89270.2997422145</v>
      </c>
      <c r="W314" s="39" t="n">
        <f aca="false">IF(19&lt;='Inputs &amp; Assumptions'!$E$147,'Inputs &amp; Assumptions'!$D$60*INDEX('Inputs &amp; Assumptions'!$C$26:$I$26,CEILING(('Inputs &amp; Assumptions'!$C$147+19)/4,1))*W303,0)</f>
        <v>83393.6944002944</v>
      </c>
      <c r="X314" s="39" t="n">
        <f aca="false">IF(20&lt;='Inputs &amp; Assumptions'!$E$147,'Inputs &amp; Assumptions'!$D$60*INDEX('Inputs &amp; Assumptions'!$C$26:$I$26,CEILING(('Inputs &amp; Assumptions'!$C$147+20)/4,1))*X303,0)</f>
        <v>77903.9421376672</v>
      </c>
      <c r="Y314" s="39" t="n">
        <f aca="false">IF(21&lt;='Inputs &amp; Assumptions'!$E$147,'Inputs &amp; Assumptions'!$D$60*INDEX('Inputs &amp; Assumptions'!$C$26:$I$26,CEILING(('Inputs &amp; Assumptions'!$C$147+21)/4,1))*Y303,0)</f>
        <v>72775.5766695903</v>
      </c>
      <c r="Z314" s="39" t="n">
        <f aca="false">IF(22&lt;='Inputs &amp; Assumptions'!$E$147,'Inputs &amp; Assumptions'!$D$60*INDEX('Inputs &amp; Assumptions'!$C$26:$I$26,CEILING(('Inputs &amp; Assumptions'!$C$147+22)/4,1))*Z303,0)</f>
        <v>0</v>
      </c>
      <c r="AA314" s="39" t="n">
        <f aca="false">IF(23&lt;='Inputs &amp; Assumptions'!$E$147,'Inputs &amp; Assumptions'!$D$60*INDEX('Inputs &amp; Assumptions'!$C$26:$I$26,CEILING(('Inputs &amp; Assumptions'!$C$147+23)/4,1))*AA303,0)</f>
        <v>0</v>
      </c>
      <c r="AB314" s="39" t="n">
        <f aca="false">IF(24&lt;='Inputs &amp; Assumptions'!$E$147,'Inputs &amp; Assumptions'!$D$60*INDEX('Inputs &amp; Assumptions'!$C$26:$I$26,CEILING(('Inputs &amp; Assumptions'!$C$147+24)/4,1))*AB303,0)</f>
        <v>0</v>
      </c>
      <c r="AC314" s="39" t="n">
        <f aca="false">IF(25&lt;='Inputs &amp; Assumptions'!$E$147,'Inputs &amp; Assumptions'!$D$60*INDEX('Inputs &amp; Assumptions'!$C$26:$I$26,CEILING(('Inputs &amp; Assumptions'!$C$147+25)/4,1))*AC303,0)</f>
        <v>0</v>
      </c>
      <c r="AD314" s="39" t="n">
        <f aca="false">IF(26&lt;='Inputs &amp; Assumptions'!$E$147,'Inputs &amp; Assumptions'!$D$60*INDEX('Inputs &amp; Assumptions'!$C$26:$I$26,CEILING(('Inputs &amp; Assumptions'!$C$147+26)/4,1))*AD303,0)</f>
        <v>0</v>
      </c>
      <c r="AE314" s="39" t="n">
        <f aca="false">IF(27&lt;='Inputs &amp; Assumptions'!$E$147,'Inputs &amp; Assumptions'!$D$60*INDEX('Inputs &amp; Assumptions'!$C$26:$I$26,CEILING(('Inputs &amp; Assumptions'!$C$147+27)/4,1))*AE303,0)</f>
        <v>0</v>
      </c>
      <c r="AF314" s="39" t="n">
        <f aca="false">IF(28&lt;='Inputs &amp; Assumptions'!$E$147,'Inputs &amp; Assumptions'!$D$60*INDEX('Inputs &amp; Assumptions'!$C$26:$I$26,CEILING(('Inputs &amp; Assumptions'!$C$147+28)/4,1))*AF303,0)</f>
        <v>0</v>
      </c>
      <c r="AG314" s="39" t="n">
        <f aca="false">IF(29&lt;='Inputs &amp; Assumptions'!$E$147,'Inputs &amp; Assumptions'!$D$60*INDEX('Inputs &amp; Assumptions'!$C$26:$I$26,CEILING(('Inputs &amp; Assumptions'!$C$147+29)/4,1))*AG303,0)</f>
        <v>0</v>
      </c>
      <c r="AH314" s="39" t="n">
        <f aca="false">IF(30&lt;='Inputs &amp; Assumptions'!$E$147,'Inputs &amp; Assumptions'!$D$60*INDEX('Inputs &amp; Assumptions'!$C$26:$I$26,CEILING(('Inputs &amp; Assumptions'!$C$147+30)/4,1))*AH303,0)</f>
        <v>0</v>
      </c>
      <c r="AI314" s="39" t="n">
        <f aca="false">IF(31&lt;='Inputs &amp; Assumptions'!$E$147,'Inputs &amp; Assumptions'!$D$60*INDEX('Inputs &amp; Assumptions'!$C$26:$I$26,CEILING(('Inputs &amp; Assumptions'!$C$147+31)/4,1))*AI303,0)</f>
        <v>0</v>
      </c>
      <c r="AJ314" s="39" t="n">
        <f aca="false">IF(32&lt;='Inputs &amp; Assumptions'!$E$147,'Inputs &amp; Assumptions'!$D$60*INDEX('Inputs &amp; Assumptions'!$C$26:$I$26,CEILING(('Inputs &amp; Assumptions'!$C$147+32)/4,1))*AJ303,0)</f>
        <v>0</v>
      </c>
      <c r="AK314" s="39" t="n">
        <f aca="false">IF(33&lt;='Inputs &amp; Assumptions'!$E$147,'Inputs &amp; Assumptions'!$D$60*INDEX('Inputs &amp; Assumptions'!$C$26:$I$26,CEILING(('Inputs &amp; Assumptions'!$C$147+33)/4,1))*AK303,0)</f>
        <v>0</v>
      </c>
      <c r="AL314" s="39" t="n">
        <f aca="false">IF(34&lt;='Inputs &amp; Assumptions'!$E$147,'Inputs &amp; Assumptions'!$D$60*INDEX('Inputs &amp; Assumptions'!$C$26:$I$26,CEILING(('Inputs &amp; Assumptions'!$C$147+34)/4,1))*AL303,0)</f>
        <v>0</v>
      </c>
      <c r="AM314" s="39" t="n">
        <f aca="false">IF(35&lt;='Inputs &amp; Assumptions'!$E$147,'Inputs &amp; Assumptions'!$D$60*INDEX('Inputs &amp; Assumptions'!$C$26:$I$26,CEILING(('Inputs &amp; Assumptions'!$C$147+35)/4,1))*AM303,0)</f>
        <v>0</v>
      </c>
      <c r="AN314" s="39" t="n">
        <f aca="false">IF(36&lt;='Inputs &amp; Assumptions'!$E$147,'Inputs &amp; Assumptions'!$D$60*INDEX('Inputs &amp; Assumptions'!$C$26:$I$26,CEILING(('Inputs &amp; Assumptions'!$C$147+36)/4,1))*AN303,0)</f>
        <v>0</v>
      </c>
    </row>
    <row r="315" customFormat="false" ht="15" hidden="false" customHeight="false" outlineLevel="0" collapsed="false">
      <c r="B315" s="37" t="n">
        <v>9</v>
      </c>
      <c r="C315" s="38" t="n">
        <f aca="false">'Inputs &amp; Assumptions'!$C$148</f>
        <v>8</v>
      </c>
      <c r="D315" s="38" t="n">
        <f aca="false">'Inputs &amp; Assumptions'!$D$148</f>
        <v>3</v>
      </c>
      <c r="E315" s="39" t="n">
        <f aca="false">IF(1&lt;='Inputs &amp; Assumptions'!$E$148,'Inputs &amp; Assumptions'!$D$60*INDEX('Inputs &amp; Assumptions'!$C$26:$I$26,CEILING(('Inputs &amp; Assumptions'!$C$148+1)/4,1))*E304,0)</f>
        <v>756925.35255</v>
      </c>
      <c r="F315" s="39" t="n">
        <f aca="false">IF(2&lt;='Inputs &amp; Assumptions'!$E$148,'Inputs &amp; Assumptions'!$D$60*INDEX('Inputs &amp; Assumptions'!$C$26:$I$26,CEILING(('Inputs &amp; Assumptions'!$C$148+2)/4,1))*F304,0)</f>
        <v>700990.673521149</v>
      </c>
      <c r="G315" s="39" t="n">
        <f aca="false">IF(3&lt;='Inputs &amp; Assumptions'!$E$148,'Inputs &amp; Assumptions'!$D$60*INDEX('Inputs &amp; Assumptions'!$C$26:$I$26,CEILING(('Inputs &amp; Assumptions'!$C$148+3)/4,1))*G304,0)</f>
        <v>649189.411754013</v>
      </c>
      <c r="H315" s="39" t="n">
        <f aca="false">IF(4&lt;='Inputs &amp; Assumptions'!$E$148,'Inputs &amp; Assumptions'!$D$60*INDEX('Inputs &amp; Assumptions'!$C$26:$I$26,CEILING(('Inputs &amp; Assumptions'!$C$148+4)/4,1))*H304,0)</f>
        <v>601216.119205339</v>
      </c>
      <c r="I315" s="39" t="n">
        <f aca="false">IF(5&lt;='Inputs &amp; Assumptions'!$E$148,'Inputs &amp; Assumptions'!$D$60*INDEX('Inputs &amp; Assumptions'!$C$26:$I$26,CEILING(('Inputs &amp; Assumptions'!$C$148+5)/4,1))*I304,0)</f>
        <v>445430.335674409</v>
      </c>
      <c r="J315" s="39" t="n">
        <f aca="false">IF(6&lt;='Inputs &amp; Assumptions'!$E$148,'Inputs &amp; Assumptions'!$D$60*INDEX('Inputs &amp; Assumptions'!$C$26:$I$26,CEILING(('Inputs &amp; Assumptions'!$C$148+6)/4,1))*J304,0)</f>
        <v>413706.933421288</v>
      </c>
      <c r="K315" s="39" t="n">
        <f aca="false">IF(7&lt;='Inputs &amp; Assumptions'!$E$148,'Inputs &amp; Assumptions'!$D$60*INDEX('Inputs &amp; Assumptions'!$C$26:$I$26,CEILING(('Inputs &amp; Assumptions'!$C$148+7)/4,1))*K304,0)</f>
        <v>384242.861460501</v>
      </c>
      <c r="L315" s="39" t="n">
        <f aca="false">IF(8&lt;='Inputs &amp; Assumptions'!$E$148,'Inputs &amp; Assumptions'!$D$60*INDEX('Inputs &amp; Assumptions'!$C$26:$I$26,CEILING(('Inputs &amp; Assumptions'!$C$148+8)/4,1))*L304,0)</f>
        <v>356877.21103046</v>
      </c>
      <c r="M315" s="39" t="n">
        <f aca="false">IF(9&lt;='Inputs &amp; Assumptions'!$E$148,'Inputs &amp; Assumptions'!$D$60*INDEX('Inputs &amp; Assumptions'!$C$26:$I$26,CEILING(('Inputs &amp; Assumptions'!$C$148+9)/4,1))*M304,0)</f>
        <v>258408.37624205</v>
      </c>
      <c r="N315" s="39" t="n">
        <f aca="false">IF(10&lt;='Inputs &amp; Assumptions'!$E$148,'Inputs &amp; Assumptions'!$D$60*INDEX('Inputs &amp; Assumptions'!$C$26:$I$26,CEILING(('Inputs &amp; Assumptions'!$C$148+10)/4,1))*N304,0)</f>
        <v>240614.58173483</v>
      </c>
      <c r="O315" s="39" t="n">
        <f aca="false">IF(11&lt;='Inputs &amp; Assumptions'!$E$148,'Inputs &amp; Assumptions'!$D$60*INDEX('Inputs &amp; Assumptions'!$C$26:$I$26,CEILING(('Inputs &amp; Assumptions'!$C$148+11)/4,1))*O304,0)</f>
        <v>224046.053713046</v>
      </c>
      <c r="P315" s="39" t="n">
        <f aca="false">IF(12&lt;='Inputs &amp; Assumptions'!$E$148,'Inputs &amp; Assumptions'!$D$60*INDEX('Inputs &amp; Assumptions'!$C$26:$I$26,CEILING(('Inputs &amp; Assumptions'!$C$148+12)/4,1))*P304,0)</f>
        <v>208618.421304609</v>
      </c>
      <c r="Q315" s="39" t="n">
        <f aca="false">IF(13&lt;='Inputs &amp; Assumptions'!$E$148,'Inputs &amp; Assumptions'!$D$60*INDEX('Inputs &amp; Assumptions'!$C$26:$I$26,CEILING(('Inputs &amp; Assumptions'!$C$148+13)/4,1))*Q304,0)</f>
        <v>157369.618915105</v>
      </c>
      <c r="R315" s="39" t="n">
        <f aca="false">IF(14&lt;='Inputs &amp; Assumptions'!$E$148,'Inputs &amp; Assumptions'!$D$60*INDEX('Inputs &amp; Assumptions'!$C$26:$I$26,CEILING(('Inputs &amp; Assumptions'!$C$148+14)/4,1))*R304,0)</f>
        <v>146782.764840699</v>
      </c>
      <c r="S315" s="39" t="n">
        <f aca="false">IF(15&lt;='Inputs &amp; Assumptions'!$E$148,'Inputs &amp; Assumptions'!$D$60*INDEX('Inputs &amp; Assumptions'!$C$26:$I$26,CEILING(('Inputs &amp; Assumptions'!$C$148+15)/4,1))*S304,0)</f>
        <v>136908.128791383</v>
      </c>
      <c r="T315" s="39" t="n">
        <f aca="false">IF(16&lt;='Inputs &amp; Assumptions'!$E$148,'Inputs &amp; Assumptions'!$D$60*INDEX('Inputs &amp; Assumptions'!$C$26:$I$26,CEILING(('Inputs &amp; Assumptions'!$C$148+16)/4,1))*T304,0)</f>
        <v>127697.797146009</v>
      </c>
      <c r="U315" s="39" t="n">
        <f aca="false">IF(17&lt;='Inputs &amp; Assumptions'!$E$148,'Inputs &amp; Assumptions'!$D$60*INDEX('Inputs &amp; Assumptions'!$C$26:$I$26,CEILING(('Inputs &amp; Assumptions'!$C$148+17)/4,1))*U304,0)</f>
        <v>93672.7553224847</v>
      </c>
      <c r="V315" s="39" t="n">
        <f aca="false">IF(18&lt;='Inputs &amp; Assumptions'!$E$148,'Inputs &amp; Assumptions'!$D$60*INDEX('Inputs &amp; Assumptions'!$C$26:$I$26,CEILING(('Inputs &amp; Assumptions'!$C$148+18)/4,1))*V304,0)</f>
        <v>87506.3392142146</v>
      </c>
      <c r="W315" s="39" t="n">
        <f aca="false">IF(19&lt;='Inputs &amp; Assumptions'!$E$148,'Inputs &amp; Assumptions'!$D$60*INDEX('Inputs &amp; Assumptions'!$C$26:$I$26,CEILING(('Inputs &amp; Assumptions'!$C$148+19)/4,1))*W304,0)</f>
        <v>81745.8542381016</v>
      </c>
      <c r="X315" s="39" t="n">
        <f aca="false">IF(20&lt;='Inputs &amp; Assumptions'!$E$148,'Inputs &amp; Assumptions'!$D$60*INDEX('Inputs &amp; Assumptions'!$C$26:$I$26,CEILING(('Inputs &amp; Assumptions'!$C$148+20)/4,1))*X304,0)</f>
        <v>76364.5782136829</v>
      </c>
      <c r="Y315" s="39" t="n">
        <f aca="false">IF(21&lt;='Inputs &amp; Assumptions'!$E$148,'Inputs &amp; Assumptions'!$D$60*INDEX('Inputs &amp; Assumptions'!$C$26:$I$26,CEILING(('Inputs &amp; Assumptions'!$C$148+21)/4,1))*Y304,0)</f>
        <v>0</v>
      </c>
      <c r="Z315" s="39" t="n">
        <f aca="false">IF(22&lt;='Inputs &amp; Assumptions'!$E$148,'Inputs &amp; Assumptions'!$D$60*INDEX('Inputs &amp; Assumptions'!$C$26:$I$26,CEILING(('Inputs &amp; Assumptions'!$C$148+22)/4,1))*Z304,0)</f>
        <v>0</v>
      </c>
      <c r="AA315" s="39" t="n">
        <f aca="false">IF(23&lt;='Inputs &amp; Assumptions'!$E$148,'Inputs &amp; Assumptions'!$D$60*INDEX('Inputs &amp; Assumptions'!$C$26:$I$26,CEILING(('Inputs &amp; Assumptions'!$C$148+23)/4,1))*AA304,0)</f>
        <v>0</v>
      </c>
      <c r="AB315" s="39" t="n">
        <f aca="false">IF(24&lt;='Inputs &amp; Assumptions'!$E$148,'Inputs &amp; Assumptions'!$D$60*INDEX('Inputs &amp; Assumptions'!$C$26:$I$26,CEILING(('Inputs &amp; Assumptions'!$C$148+24)/4,1))*AB304,0)</f>
        <v>0</v>
      </c>
      <c r="AC315" s="39" t="n">
        <f aca="false">IF(25&lt;='Inputs &amp; Assumptions'!$E$148,'Inputs &amp; Assumptions'!$D$60*INDEX('Inputs &amp; Assumptions'!$C$26:$I$26,CEILING(('Inputs &amp; Assumptions'!$C$148+25)/4,1))*AC304,0)</f>
        <v>0</v>
      </c>
      <c r="AD315" s="39" t="n">
        <f aca="false">IF(26&lt;='Inputs &amp; Assumptions'!$E$148,'Inputs &amp; Assumptions'!$D$60*INDEX('Inputs &amp; Assumptions'!$C$26:$I$26,CEILING(('Inputs &amp; Assumptions'!$C$148+26)/4,1))*AD304,0)</f>
        <v>0</v>
      </c>
      <c r="AE315" s="39" t="n">
        <f aca="false">IF(27&lt;='Inputs &amp; Assumptions'!$E$148,'Inputs &amp; Assumptions'!$D$60*INDEX('Inputs &amp; Assumptions'!$C$26:$I$26,CEILING(('Inputs &amp; Assumptions'!$C$148+27)/4,1))*AE304,0)</f>
        <v>0</v>
      </c>
      <c r="AF315" s="39" t="n">
        <f aca="false">IF(28&lt;='Inputs &amp; Assumptions'!$E$148,'Inputs &amp; Assumptions'!$D$60*INDEX('Inputs &amp; Assumptions'!$C$26:$I$26,CEILING(('Inputs &amp; Assumptions'!$C$148+28)/4,1))*AF304,0)</f>
        <v>0</v>
      </c>
      <c r="AG315" s="39" t="n">
        <f aca="false">IF(29&lt;='Inputs &amp; Assumptions'!$E$148,'Inputs &amp; Assumptions'!$D$60*INDEX('Inputs &amp; Assumptions'!$C$26:$I$26,CEILING(('Inputs &amp; Assumptions'!$C$148+29)/4,1))*AG304,0)</f>
        <v>0</v>
      </c>
      <c r="AH315" s="39" t="n">
        <f aca="false">IF(30&lt;='Inputs &amp; Assumptions'!$E$148,'Inputs &amp; Assumptions'!$D$60*INDEX('Inputs &amp; Assumptions'!$C$26:$I$26,CEILING(('Inputs &amp; Assumptions'!$C$148+30)/4,1))*AH304,0)</f>
        <v>0</v>
      </c>
      <c r="AI315" s="39" t="n">
        <f aca="false">IF(31&lt;='Inputs &amp; Assumptions'!$E$148,'Inputs &amp; Assumptions'!$D$60*INDEX('Inputs &amp; Assumptions'!$C$26:$I$26,CEILING(('Inputs &amp; Assumptions'!$C$148+31)/4,1))*AI304,0)</f>
        <v>0</v>
      </c>
      <c r="AJ315" s="39" t="n">
        <f aca="false">IF(32&lt;='Inputs &amp; Assumptions'!$E$148,'Inputs &amp; Assumptions'!$D$60*INDEX('Inputs &amp; Assumptions'!$C$26:$I$26,CEILING(('Inputs &amp; Assumptions'!$C$148+32)/4,1))*AJ304,0)</f>
        <v>0</v>
      </c>
      <c r="AK315" s="39" t="n">
        <f aca="false">IF(33&lt;='Inputs &amp; Assumptions'!$E$148,'Inputs &amp; Assumptions'!$D$60*INDEX('Inputs &amp; Assumptions'!$C$26:$I$26,CEILING(('Inputs &amp; Assumptions'!$C$148+33)/4,1))*AK304,0)</f>
        <v>0</v>
      </c>
      <c r="AL315" s="39" t="n">
        <f aca="false">IF(34&lt;='Inputs &amp; Assumptions'!$E$148,'Inputs &amp; Assumptions'!$D$60*INDEX('Inputs &amp; Assumptions'!$C$26:$I$26,CEILING(('Inputs &amp; Assumptions'!$C$148+34)/4,1))*AL304,0)</f>
        <v>0</v>
      </c>
      <c r="AM315" s="39" t="n">
        <f aca="false">IF(35&lt;='Inputs &amp; Assumptions'!$E$148,'Inputs &amp; Assumptions'!$D$60*INDEX('Inputs &amp; Assumptions'!$C$26:$I$26,CEILING(('Inputs &amp; Assumptions'!$C$148+35)/4,1))*AM304,0)</f>
        <v>0</v>
      </c>
      <c r="AN315" s="39" t="n">
        <f aca="false">IF(36&lt;='Inputs &amp; Assumptions'!$E$148,'Inputs &amp; Assumptions'!$D$60*INDEX('Inputs &amp; Assumptions'!$C$26:$I$26,CEILING(('Inputs &amp; Assumptions'!$C$148+36)/4,1))*AN304,0)</f>
        <v>0</v>
      </c>
    </row>
    <row r="316" customFormat="false" ht="15" hidden="false" customHeight="false" outlineLevel="0" collapsed="false">
      <c r="B316" s="37" t="n">
        <v>10</v>
      </c>
      <c r="C316" s="38" t="n">
        <f aca="false">'Inputs &amp; Assumptions'!$C$149</f>
        <v>9</v>
      </c>
      <c r="D316" s="38" t="n">
        <f aca="false">'Inputs &amp; Assumptions'!$D$149</f>
        <v>3</v>
      </c>
      <c r="E316" s="39" t="n">
        <f aca="false">IF(1&lt;='Inputs &amp; Assumptions'!$E$149,'Inputs &amp; Assumptions'!$D$60*INDEX('Inputs &amp; Assumptions'!$C$26:$I$26,CEILING(('Inputs &amp; Assumptions'!$C$149+1)/4,1))*E305,0)</f>
        <v>734217.5919735</v>
      </c>
      <c r="F316" s="39" t="n">
        <f aca="false">IF(2&lt;='Inputs &amp; Assumptions'!$E$149,'Inputs &amp; Assumptions'!$D$60*INDEX('Inputs &amp; Assumptions'!$C$26:$I$26,CEILING(('Inputs &amp; Assumptions'!$C$149+2)/4,1))*F305,0)</f>
        <v>679960.953315514</v>
      </c>
      <c r="G316" s="39" t="n">
        <f aca="false">IF(3&lt;='Inputs &amp; Assumptions'!$E$149,'Inputs &amp; Assumptions'!$D$60*INDEX('Inputs &amp; Assumptions'!$C$26:$I$26,CEILING(('Inputs &amp; Assumptions'!$C$149+3)/4,1))*G305,0)</f>
        <v>629713.729401393</v>
      </c>
      <c r="H316" s="39" t="n">
        <f aca="false">IF(4&lt;='Inputs &amp; Assumptions'!$E$149,'Inputs &amp; Assumptions'!$D$60*INDEX('Inputs &amp; Assumptions'!$C$26:$I$26,CEILING(('Inputs &amp; Assumptions'!$C$149+4)/4,1))*H305,0)</f>
        <v>466543.708503343</v>
      </c>
      <c r="I316" s="39" t="n">
        <f aca="false">IF(5&lt;='Inputs &amp; Assumptions'!$E$149,'Inputs &amp; Assumptions'!$D$60*INDEX('Inputs &amp; Assumptions'!$C$26:$I$26,CEILING(('Inputs &amp; Assumptions'!$C$149+5)/4,1))*I305,0)</f>
        <v>433316.618769758</v>
      </c>
      <c r="J316" s="39" t="n">
        <f aca="false">IF(6&lt;='Inputs &amp; Assumptions'!$E$149,'Inputs &amp; Assumptions'!$D$60*INDEX('Inputs &amp; Assumptions'!$C$26:$I$26,CEILING(('Inputs &amp; Assumptions'!$C$149+6)/4,1))*J305,0)</f>
        <v>402455.951457142</v>
      </c>
      <c r="K316" s="39" t="n">
        <f aca="false">IF(7&lt;='Inputs &amp; Assumptions'!$E$149,'Inputs &amp; Assumptions'!$D$60*INDEX('Inputs &amp; Assumptions'!$C$26:$I$26,CEILING(('Inputs &amp; Assumptions'!$C$149+7)/4,1))*K305,0)</f>
        <v>373793.170737668</v>
      </c>
      <c r="L316" s="39" t="n">
        <f aca="false">IF(8&lt;='Inputs &amp; Assumptions'!$E$149,'Inputs &amp; Assumptions'!$D$60*INDEX('Inputs &amp; Assumptions'!$C$26:$I$26,CEILING(('Inputs &amp; Assumptions'!$C$149+8)/4,1))*L305,0)</f>
        <v>270656.918725034</v>
      </c>
      <c r="M316" s="39" t="n">
        <f aca="false">IF(9&lt;='Inputs &amp; Assumptions'!$E$149,'Inputs &amp; Assumptions'!$D$60*INDEX('Inputs &amp; Assumptions'!$C$26:$I$26,CEILING(('Inputs &amp; Assumptions'!$C$149+9)/4,1))*M305,0)</f>
        <v>252019.699360135</v>
      </c>
      <c r="N316" s="39" t="n">
        <f aca="false">IF(10&lt;='Inputs &amp; Assumptions'!$E$149,'Inputs &amp; Assumptions'!$D$60*INDEX('Inputs &amp; Assumptions'!$C$26:$I$26,CEILING(('Inputs &amp; Assumptions'!$C$149+10)/4,1))*N305,0)</f>
        <v>234665.824043086</v>
      </c>
      <c r="O316" s="39" t="n">
        <f aca="false">IF(11&lt;='Inputs &amp; Assumptions'!$E$149,'Inputs &amp; Assumptions'!$D$60*INDEX('Inputs &amp; Assumptions'!$C$26:$I$26,CEILING(('Inputs &amp; Assumptions'!$C$149+11)/4,1))*O305,0)</f>
        <v>218506.922727214</v>
      </c>
      <c r="P316" s="39" t="n">
        <f aca="false">IF(12&lt;='Inputs &amp; Assumptions'!$E$149,'Inputs &amp; Assumptions'!$D$60*INDEX('Inputs &amp; Assumptions'!$C$26:$I$26,CEILING(('Inputs &amp; Assumptions'!$C$149+12)/4,1))*P305,0)</f>
        <v>164828.92999025</v>
      </c>
      <c r="Q316" s="39" t="n">
        <f aca="false">IF(13&lt;='Inputs &amp; Assumptions'!$E$149,'Inputs &amp; Assumptions'!$D$60*INDEX('Inputs &amp; Assumptions'!$C$26:$I$26,CEILING(('Inputs &amp; Assumptions'!$C$149+13)/4,1))*Q305,0)</f>
        <v>153740.25962886</v>
      </c>
      <c r="R316" s="39" t="n">
        <f aca="false">IF(14&lt;='Inputs &amp; Assumptions'!$E$149,'Inputs &amp; Assumptions'!$D$60*INDEX('Inputs &amp; Assumptions'!$C$26:$I$26,CEILING(('Inputs &amp; Assumptions'!$C$149+14)/4,1))*R305,0)</f>
        <v>143397.566386844</v>
      </c>
      <c r="S316" s="39" t="n">
        <f aca="false">IF(15&lt;='Inputs &amp; Assumptions'!$E$149,'Inputs &amp; Assumptions'!$D$60*INDEX('Inputs &amp; Assumptions'!$C$26:$I$26,CEILING(('Inputs &amp; Assumptions'!$C$149+15)/4,1))*S305,0)</f>
        <v>133750.665540109</v>
      </c>
      <c r="T316" s="39" t="n">
        <f aca="false">IF(16&lt;='Inputs &amp; Assumptions'!$E$149,'Inputs &amp; Assumptions'!$D$60*INDEX('Inputs &amp; Assumptions'!$C$26:$I$26,CEILING(('Inputs &amp; Assumptions'!$C$149+16)/4,1))*T305,0)</f>
        <v>98112.838650089</v>
      </c>
      <c r="U316" s="39" t="n">
        <f aca="false">IF(17&lt;='Inputs &amp; Assumptions'!$E$149,'Inputs &amp; Assumptions'!$D$60*INDEX('Inputs &amp; Assumptions'!$C$26:$I$26,CEILING(('Inputs &amp; Assumptions'!$C$149+17)/4,1))*U305,0)</f>
        <v>91654.1347655157</v>
      </c>
      <c r="V316" s="39" t="n">
        <f aca="false">IF(18&lt;='Inputs &amp; Assumptions'!$E$149,'Inputs &amp; Assumptions'!$D$60*INDEX('Inputs &amp; Assumptions'!$C$26:$I$26,CEILING(('Inputs &amp; Assumptions'!$C$149+18)/4,1))*V305,0)</f>
        <v>85620.6031259059</v>
      </c>
      <c r="W316" s="39" t="n">
        <f aca="false">IF(19&lt;='Inputs &amp; Assumptions'!$E$149,'Inputs &amp; Assumptions'!$D$60*INDEX('Inputs &amp; Assumptions'!$C$26:$I$26,CEILING(('Inputs &amp; Assumptions'!$C$149+19)/4,1))*W305,0)</f>
        <v>79984.2549209476</v>
      </c>
      <c r="X316" s="39" t="n">
        <f aca="false">IF(20&lt;='Inputs &amp; Assumptions'!$E$149,'Inputs &amp; Assumptions'!$D$60*INDEX('Inputs &amp; Assumptions'!$C$26:$I$26,CEILING(('Inputs &amp; Assumptions'!$C$149+20)/4,1))*X305,0)</f>
        <v>0</v>
      </c>
      <c r="Y316" s="39" t="n">
        <f aca="false">IF(21&lt;='Inputs &amp; Assumptions'!$E$149,'Inputs &amp; Assumptions'!$D$60*INDEX('Inputs &amp; Assumptions'!$C$26:$I$26,CEILING(('Inputs &amp; Assumptions'!$C$149+21)/4,1))*Y305,0)</f>
        <v>0</v>
      </c>
      <c r="Z316" s="39" t="n">
        <f aca="false">IF(22&lt;='Inputs &amp; Assumptions'!$E$149,'Inputs &amp; Assumptions'!$D$60*INDEX('Inputs &amp; Assumptions'!$C$26:$I$26,CEILING(('Inputs &amp; Assumptions'!$C$149+22)/4,1))*Z305,0)</f>
        <v>0</v>
      </c>
      <c r="AA316" s="39" t="n">
        <f aca="false">IF(23&lt;='Inputs &amp; Assumptions'!$E$149,'Inputs &amp; Assumptions'!$D$60*INDEX('Inputs &amp; Assumptions'!$C$26:$I$26,CEILING(('Inputs &amp; Assumptions'!$C$149+23)/4,1))*AA305,0)</f>
        <v>0</v>
      </c>
      <c r="AB316" s="39" t="n">
        <f aca="false">IF(24&lt;='Inputs &amp; Assumptions'!$E$149,'Inputs &amp; Assumptions'!$D$60*INDEX('Inputs &amp; Assumptions'!$C$26:$I$26,CEILING(('Inputs &amp; Assumptions'!$C$149+24)/4,1))*AB305,0)</f>
        <v>0</v>
      </c>
      <c r="AC316" s="39" t="n">
        <f aca="false">IF(25&lt;='Inputs &amp; Assumptions'!$E$149,'Inputs &amp; Assumptions'!$D$60*INDEX('Inputs &amp; Assumptions'!$C$26:$I$26,CEILING(('Inputs &amp; Assumptions'!$C$149+25)/4,1))*AC305,0)</f>
        <v>0</v>
      </c>
      <c r="AD316" s="39" t="n">
        <f aca="false">IF(26&lt;='Inputs &amp; Assumptions'!$E$149,'Inputs &amp; Assumptions'!$D$60*INDEX('Inputs &amp; Assumptions'!$C$26:$I$26,CEILING(('Inputs &amp; Assumptions'!$C$149+26)/4,1))*AD305,0)</f>
        <v>0</v>
      </c>
      <c r="AE316" s="39" t="n">
        <f aca="false">IF(27&lt;='Inputs &amp; Assumptions'!$E$149,'Inputs &amp; Assumptions'!$D$60*INDEX('Inputs &amp; Assumptions'!$C$26:$I$26,CEILING(('Inputs &amp; Assumptions'!$C$149+27)/4,1))*AE305,0)</f>
        <v>0</v>
      </c>
      <c r="AF316" s="39" t="n">
        <f aca="false">IF(28&lt;='Inputs &amp; Assumptions'!$E$149,'Inputs &amp; Assumptions'!$D$60*INDEX('Inputs &amp; Assumptions'!$C$26:$I$26,CEILING(('Inputs &amp; Assumptions'!$C$149+28)/4,1))*AF305,0)</f>
        <v>0</v>
      </c>
      <c r="AG316" s="39" t="n">
        <f aca="false">IF(29&lt;='Inputs &amp; Assumptions'!$E$149,'Inputs &amp; Assumptions'!$D$60*INDEX('Inputs &amp; Assumptions'!$C$26:$I$26,CEILING(('Inputs &amp; Assumptions'!$C$149+29)/4,1))*AG305,0)</f>
        <v>0</v>
      </c>
      <c r="AH316" s="39" t="n">
        <f aca="false">IF(30&lt;='Inputs &amp; Assumptions'!$E$149,'Inputs &amp; Assumptions'!$D$60*INDEX('Inputs &amp; Assumptions'!$C$26:$I$26,CEILING(('Inputs &amp; Assumptions'!$C$149+30)/4,1))*AH305,0)</f>
        <v>0</v>
      </c>
      <c r="AI316" s="39" t="n">
        <f aca="false">IF(31&lt;='Inputs &amp; Assumptions'!$E$149,'Inputs &amp; Assumptions'!$D$60*INDEX('Inputs &amp; Assumptions'!$C$26:$I$26,CEILING(('Inputs &amp; Assumptions'!$C$149+31)/4,1))*AI305,0)</f>
        <v>0</v>
      </c>
      <c r="AJ316" s="39" t="n">
        <f aca="false">IF(32&lt;='Inputs &amp; Assumptions'!$E$149,'Inputs &amp; Assumptions'!$D$60*INDEX('Inputs &amp; Assumptions'!$C$26:$I$26,CEILING(('Inputs &amp; Assumptions'!$C$149+32)/4,1))*AJ305,0)</f>
        <v>0</v>
      </c>
      <c r="AK316" s="39" t="n">
        <f aca="false">IF(33&lt;='Inputs &amp; Assumptions'!$E$149,'Inputs &amp; Assumptions'!$D$60*INDEX('Inputs &amp; Assumptions'!$C$26:$I$26,CEILING(('Inputs &amp; Assumptions'!$C$149+33)/4,1))*AK305,0)</f>
        <v>0</v>
      </c>
      <c r="AL316" s="39" t="n">
        <f aca="false">IF(34&lt;='Inputs &amp; Assumptions'!$E$149,'Inputs &amp; Assumptions'!$D$60*INDEX('Inputs &amp; Assumptions'!$C$26:$I$26,CEILING(('Inputs &amp; Assumptions'!$C$149+34)/4,1))*AL305,0)</f>
        <v>0</v>
      </c>
      <c r="AM316" s="39" t="n">
        <f aca="false">IF(35&lt;='Inputs &amp; Assumptions'!$E$149,'Inputs &amp; Assumptions'!$D$60*INDEX('Inputs &amp; Assumptions'!$C$26:$I$26,CEILING(('Inputs &amp; Assumptions'!$C$149+35)/4,1))*AM305,0)</f>
        <v>0</v>
      </c>
      <c r="AN316" s="39" t="n">
        <f aca="false">IF(36&lt;='Inputs &amp; Assumptions'!$E$149,'Inputs &amp; Assumptions'!$D$60*INDEX('Inputs &amp; Assumptions'!$C$26:$I$26,CEILING(('Inputs &amp; Assumptions'!$C$149+36)/4,1))*AN305,0)</f>
        <v>0</v>
      </c>
    </row>
    <row r="317" customFormat="false" ht="15" hidden="false" customHeight="false" outlineLevel="0" collapsed="false">
      <c r="B317" s="37" t="n">
        <v>11</v>
      </c>
      <c r="C317" s="38" t="n">
        <f aca="false">'Inputs &amp; Assumptions'!$C$150</f>
        <v>10</v>
      </c>
      <c r="D317" s="38" t="n">
        <f aca="false">'Inputs &amp; Assumptions'!$D$150</f>
        <v>2</v>
      </c>
      <c r="E317" s="39" t="n">
        <f aca="false">IF(1&lt;='Inputs &amp; Assumptions'!$E$150,'Inputs &amp; Assumptions'!$D$60*INDEX('Inputs &amp; Assumptions'!$C$26:$I$26,CEILING(('Inputs &amp; Assumptions'!$C$150+1)/4,1))*E306,0)</f>
        <v>474794.04280953</v>
      </c>
      <c r="F317" s="39" t="n">
        <f aca="false">IF(2&lt;='Inputs &amp; Assumptions'!$E$150,'Inputs &amp; Assumptions'!$D$60*INDEX('Inputs &amp; Assumptions'!$C$26:$I$26,CEILING(('Inputs &amp; Assumptions'!$C$150+2)/4,1))*F306,0)</f>
        <v>439708.083144032</v>
      </c>
      <c r="G317" s="39" t="n">
        <f aca="false">IF(3&lt;='Inputs &amp; Assumptions'!$E$150,'Inputs &amp; Assumptions'!$D$60*INDEX('Inputs &amp; Assumptions'!$C$26:$I$26,CEILING(('Inputs &amp; Assumptions'!$C$150+3)/4,1))*G306,0)</f>
        <v>325771.902676987</v>
      </c>
      <c r="H317" s="39" t="n">
        <f aca="false">IF(4&lt;='Inputs &amp; Assumptions'!$E$150,'Inputs &amp; Assumptions'!$D$60*INDEX('Inputs &amp; Assumptions'!$C$26:$I$26,CEILING(('Inputs &amp; Assumptions'!$C$150+4)/4,1))*H306,0)</f>
        <v>302570.53473302</v>
      </c>
      <c r="I317" s="39" t="n">
        <f aca="false">IF(5&lt;='Inputs &amp; Assumptions'!$E$150,'Inputs &amp; Assumptions'!$D$60*INDEX('Inputs &amp; Assumptions'!$C$26:$I$26,CEILING(('Inputs &amp; Assumptions'!$C$150+5)/4,1))*I306,0)</f>
        <v>281021.560596033</v>
      </c>
      <c r="J317" s="39" t="n">
        <f aca="false">IF(6&lt;='Inputs &amp; Assumptions'!$E$150,'Inputs &amp; Assumptions'!$D$60*INDEX('Inputs &amp; Assumptions'!$C$26:$I$26,CEILING(('Inputs &amp; Assumptions'!$C$150+6)/4,1))*J306,0)</f>
        <v>261007.297321643</v>
      </c>
      <c r="K317" s="39" t="n">
        <f aca="false">IF(7&lt;='Inputs &amp; Assumptions'!$E$150,'Inputs &amp; Assumptions'!$D$60*INDEX('Inputs &amp; Assumptions'!$C$26:$I$26,CEILING(('Inputs &amp; Assumptions'!$C$150+7)/4,1))*K306,0)</f>
        <v>188990.694288</v>
      </c>
      <c r="L317" s="39" t="n">
        <f aca="false">IF(8&lt;='Inputs &amp; Assumptions'!$E$150,'Inputs &amp; Assumptions'!$D$60*INDEX('Inputs &amp; Assumptions'!$C$26:$I$26,CEILING(('Inputs &amp; Assumptions'!$C$150+8)/4,1))*L306,0)</f>
        <v>175976.945945773</v>
      </c>
      <c r="M317" s="39" t="n">
        <f aca="false">IF(9&lt;='Inputs &amp; Assumptions'!$E$150,'Inputs &amp; Assumptions'!$D$60*INDEX('Inputs &amp; Assumptions'!$C$26:$I$26,CEILING(('Inputs &amp; Assumptions'!$C$150+9)/4,1))*M306,0)</f>
        <v>163859.313925849</v>
      </c>
      <c r="N317" s="39" t="n">
        <f aca="false">IF(10&lt;='Inputs &amp; Assumptions'!$E$150,'Inputs &amp; Assumptions'!$D$60*INDEX('Inputs &amp; Assumptions'!$C$26:$I$26,CEILING(('Inputs &amp; Assumptions'!$C$150+10)/4,1))*N306,0)</f>
        <v>152576.092373622</v>
      </c>
      <c r="O317" s="39" t="n">
        <f aca="false">IF(11&lt;='Inputs &amp; Assumptions'!$E$150,'Inputs &amp; Assumptions'!$D$60*INDEX('Inputs &amp; Assumptions'!$C$26:$I$26,CEILING(('Inputs &amp; Assumptions'!$C$150+11)/4,1))*O306,0)</f>
        <v>115094.541326884</v>
      </c>
      <c r="P317" s="39" t="n">
        <f aca="false">IF(12&lt;='Inputs &amp; Assumptions'!$E$150,'Inputs &amp; Assumptions'!$D$60*INDEX('Inputs &amp; Assumptions'!$C$26:$I$26,CEILING(('Inputs &amp; Assumptions'!$C$150+12)/4,1))*P306,0)</f>
        <v>107351.692852137</v>
      </c>
      <c r="Q317" s="39" t="n">
        <f aca="false">IF(13&lt;='Inputs &amp; Assumptions'!$E$150,'Inputs &amp; Assumptions'!$D$60*INDEX('Inputs &amp; Assumptions'!$C$26:$I$26,CEILING(('Inputs &amp; Assumptions'!$C$150+13)/4,1))*Q306,0)</f>
        <v>100129.735305941</v>
      </c>
      <c r="R317" s="39" t="n">
        <f aca="false">IF(14&lt;='Inputs &amp; Assumptions'!$E$150,'Inputs &amp; Assumptions'!$D$60*INDEX('Inputs &amp; Assumptions'!$C$26:$I$26,CEILING(('Inputs &amp; Assumptions'!$C$150+14)/4,1))*R306,0)</f>
        <v>93393.62637017</v>
      </c>
      <c r="S317" s="39" t="n">
        <f aca="false">IF(15&lt;='Inputs &amp; Assumptions'!$E$150,'Inputs &amp; Assumptions'!$D$60*INDEX('Inputs &amp; Assumptions'!$C$26:$I$26,CEILING(('Inputs &amp; Assumptions'!$C$150+15)/4,1))*S306,0)</f>
        <v>68508.921118268</v>
      </c>
      <c r="T317" s="39" t="n">
        <f aca="false">IF(16&lt;='Inputs &amp; Assumptions'!$E$150,'Inputs &amp; Assumptions'!$D$60*INDEX('Inputs &amp; Assumptions'!$C$26:$I$26,CEILING(('Inputs &amp; Assumptions'!$C$150+16)/4,1))*T306,0)</f>
        <v>63999.0237282583</v>
      </c>
      <c r="U317" s="39" t="n">
        <f aca="false">IF(17&lt;='Inputs &amp; Assumptions'!$E$150,'Inputs &amp; Assumptions'!$D$60*INDEX('Inputs &amp; Assumptions'!$C$26:$I$26,CEILING(('Inputs &amp; Assumptions'!$C$150+17)/4,1))*U306,0)</f>
        <v>59786.0099285375</v>
      </c>
      <c r="V317" s="39" t="n">
        <f aca="false">IF(18&lt;='Inputs &amp; Assumptions'!$E$150,'Inputs &amp; Assumptions'!$D$60*INDEX('Inputs &amp; Assumptions'!$C$26:$I$26,CEILING(('Inputs &amp; Assumptions'!$C$150+18)/4,1))*V306,0)</f>
        <v>55850.3360668759</v>
      </c>
      <c r="W317" s="39" t="n">
        <f aca="false">IF(19&lt;='Inputs &amp; Assumptions'!$E$150,'Inputs &amp; Assumptions'!$D$60*INDEX('Inputs &amp; Assumptions'!$C$26:$I$26,CEILING(('Inputs &amp; Assumptions'!$C$150+19)/4,1))*W306,0)</f>
        <v>0</v>
      </c>
      <c r="X317" s="39" t="n">
        <f aca="false">IF(20&lt;='Inputs &amp; Assumptions'!$E$150,'Inputs &amp; Assumptions'!$D$60*INDEX('Inputs &amp; Assumptions'!$C$26:$I$26,CEILING(('Inputs &amp; Assumptions'!$C$150+20)/4,1))*X306,0)</f>
        <v>0</v>
      </c>
      <c r="Y317" s="39" t="n">
        <f aca="false">IF(21&lt;='Inputs &amp; Assumptions'!$E$150,'Inputs &amp; Assumptions'!$D$60*INDEX('Inputs &amp; Assumptions'!$C$26:$I$26,CEILING(('Inputs &amp; Assumptions'!$C$150+21)/4,1))*Y306,0)</f>
        <v>0</v>
      </c>
      <c r="Z317" s="39" t="n">
        <f aca="false">IF(22&lt;='Inputs &amp; Assumptions'!$E$150,'Inputs &amp; Assumptions'!$D$60*INDEX('Inputs &amp; Assumptions'!$C$26:$I$26,CEILING(('Inputs &amp; Assumptions'!$C$150+22)/4,1))*Z306,0)</f>
        <v>0</v>
      </c>
      <c r="AA317" s="39" t="n">
        <f aca="false">IF(23&lt;='Inputs &amp; Assumptions'!$E$150,'Inputs &amp; Assumptions'!$D$60*INDEX('Inputs &amp; Assumptions'!$C$26:$I$26,CEILING(('Inputs &amp; Assumptions'!$C$150+23)/4,1))*AA306,0)</f>
        <v>0</v>
      </c>
      <c r="AB317" s="39" t="n">
        <f aca="false">IF(24&lt;='Inputs &amp; Assumptions'!$E$150,'Inputs &amp; Assumptions'!$D$60*INDEX('Inputs &amp; Assumptions'!$C$26:$I$26,CEILING(('Inputs &amp; Assumptions'!$C$150+24)/4,1))*AB306,0)</f>
        <v>0</v>
      </c>
      <c r="AC317" s="39" t="n">
        <f aca="false">IF(25&lt;='Inputs &amp; Assumptions'!$E$150,'Inputs &amp; Assumptions'!$D$60*INDEX('Inputs &amp; Assumptions'!$C$26:$I$26,CEILING(('Inputs &amp; Assumptions'!$C$150+25)/4,1))*AC306,0)</f>
        <v>0</v>
      </c>
      <c r="AD317" s="39" t="n">
        <f aca="false">IF(26&lt;='Inputs &amp; Assumptions'!$E$150,'Inputs &amp; Assumptions'!$D$60*INDEX('Inputs &amp; Assumptions'!$C$26:$I$26,CEILING(('Inputs &amp; Assumptions'!$C$150+26)/4,1))*AD306,0)</f>
        <v>0</v>
      </c>
      <c r="AE317" s="39" t="n">
        <f aca="false">IF(27&lt;='Inputs &amp; Assumptions'!$E$150,'Inputs &amp; Assumptions'!$D$60*INDEX('Inputs &amp; Assumptions'!$C$26:$I$26,CEILING(('Inputs &amp; Assumptions'!$C$150+27)/4,1))*AE306,0)</f>
        <v>0</v>
      </c>
      <c r="AF317" s="39" t="n">
        <f aca="false">IF(28&lt;='Inputs &amp; Assumptions'!$E$150,'Inputs &amp; Assumptions'!$D$60*INDEX('Inputs &amp; Assumptions'!$C$26:$I$26,CEILING(('Inputs &amp; Assumptions'!$C$150+28)/4,1))*AF306,0)</f>
        <v>0</v>
      </c>
      <c r="AG317" s="39" t="n">
        <f aca="false">IF(29&lt;='Inputs &amp; Assumptions'!$E$150,'Inputs &amp; Assumptions'!$D$60*INDEX('Inputs &amp; Assumptions'!$C$26:$I$26,CEILING(('Inputs &amp; Assumptions'!$C$150+29)/4,1))*AG306,0)</f>
        <v>0</v>
      </c>
      <c r="AH317" s="39" t="n">
        <f aca="false">IF(30&lt;='Inputs &amp; Assumptions'!$E$150,'Inputs &amp; Assumptions'!$D$60*INDEX('Inputs &amp; Assumptions'!$C$26:$I$26,CEILING(('Inputs &amp; Assumptions'!$C$150+30)/4,1))*AH306,0)</f>
        <v>0</v>
      </c>
      <c r="AI317" s="39" t="n">
        <f aca="false">IF(31&lt;='Inputs &amp; Assumptions'!$E$150,'Inputs &amp; Assumptions'!$D$60*INDEX('Inputs &amp; Assumptions'!$C$26:$I$26,CEILING(('Inputs &amp; Assumptions'!$C$150+31)/4,1))*AI306,0)</f>
        <v>0</v>
      </c>
      <c r="AJ317" s="39" t="n">
        <f aca="false">IF(32&lt;='Inputs &amp; Assumptions'!$E$150,'Inputs &amp; Assumptions'!$D$60*INDEX('Inputs &amp; Assumptions'!$C$26:$I$26,CEILING(('Inputs &amp; Assumptions'!$C$150+32)/4,1))*AJ306,0)</f>
        <v>0</v>
      </c>
      <c r="AK317" s="39" t="n">
        <f aca="false">IF(33&lt;='Inputs &amp; Assumptions'!$E$150,'Inputs &amp; Assumptions'!$D$60*INDEX('Inputs &amp; Assumptions'!$C$26:$I$26,CEILING(('Inputs &amp; Assumptions'!$C$150+33)/4,1))*AK306,0)</f>
        <v>0</v>
      </c>
      <c r="AL317" s="39" t="n">
        <f aca="false">IF(34&lt;='Inputs &amp; Assumptions'!$E$150,'Inputs &amp; Assumptions'!$D$60*INDEX('Inputs &amp; Assumptions'!$C$26:$I$26,CEILING(('Inputs &amp; Assumptions'!$C$150+34)/4,1))*AL306,0)</f>
        <v>0</v>
      </c>
      <c r="AM317" s="39" t="n">
        <f aca="false">IF(35&lt;='Inputs &amp; Assumptions'!$E$150,'Inputs &amp; Assumptions'!$D$60*INDEX('Inputs &amp; Assumptions'!$C$26:$I$26,CEILING(('Inputs &amp; Assumptions'!$C$150+35)/4,1))*AM306,0)</f>
        <v>0</v>
      </c>
      <c r="AN317" s="39" t="n">
        <f aca="false">IF(36&lt;='Inputs &amp; Assumptions'!$E$150,'Inputs &amp; Assumptions'!$D$60*INDEX('Inputs &amp; Assumptions'!$C$26:$I$26,CEILING(('Inputs &amp; Assumptions'!$C$150+36)/4,1))*AN306,0)</f>
        <v>0</v>
      </c>
    </row>
    <row r="318" customFormat="false" ht="15" hidden="false" customHeight="false" outlineLevel="0" collapsed="false">
      <c r="A318" s="14" t="s">
        <v>83</v>
      </c>
      <c r="B318" s="37" t="n">
        <v>1</v>
      </c>
      <c r="C318" s="38" t="n">
        <f aca="false">'Inputs &amp; Assumptions'!$C$140</f>
        <v>0</v>
      </c>
      <c r="D318" s="38" t="n">
        <f aca="false">'Inputs &amp; Assumptions'!$D$140</f>
        <v>1</v>
      </c>
      <c r="E318" s="39" t="n">
        <f aca="false">IF(1&gt;'Inputs &amp; Assumptions'!$E$140,0,IF(1='Inputs &amp; Assumptions'!$E$140,E296-E307,IF(('Inputs &amp; Assumptions'!$C$140+1)&gt;'Inputs &amp; Assumptions'!$C$11,'Inputs &amp; Assumptions'!$C$12*(E296-E307),0)))</f>
        <v>0</v>
      </c>
      <c r="F318" s="39" t="n">
        <f aca="false">IF(2&gt;'Inputs &amp; Assumptions'!$E$140,0,IF(2='Inputs &amp; Assumptions'!$E$140,F296-F307,IF(('Inputs &amp; Assumptions'!$C$140+2)&gt;'Inputs &amp; Assumptions'!$C$11,'Inputs &amp; Assumptions'!$C$12*(F296-F307),0)))</f>
        <v>0</v>
      </c>
      <c r="G318" s="39" t="n">
        <f aca="false">IF(3&gt;'Inputs &amp; Assumptions'!$E$140,0,IF(3='Inputs &amp; Assumptions'!$E$140,G296-G307,IF(('Inputs &amp; Assumptions'!$C$140+3)&gt;'Inputs &amp; Assumptions'!$C$11,'Inputs &amp; Assumptions'!$C$12*(G296-G307),0)))</f>
        <v>0</v>
      </c>
      <c r="H318" s="39" t="n">
        <f aca="false">IF(4&gt;'Inputs &amp; Assumptions'!$E$140,0,IF(4='Inputs &amp; Assumptions'!$E$140,H296-H307,IF(('Inputs &amp; Assumptions'!$C$140+4)&gt;'Inputs &amp; Assumptions'!$C$11,'Inputs &amp; Assumptions'!$C$12*(H296-H307),0)))</f>
        <v>0</v>
      </c>
      <c r="I318" s="39" t="n">
        <f aca="false">IF(5&gt;'Inputs &amp; Assumptions'!$E$140,0,IF(5='Inputs &amp; Assumptions'!$E$140,I296-I307,IF(('Inputs &amp; Assumptions'!$C$140+5)&gt;'Inputs &amp; Assumptions'!$C$11,'Inputs &amp; Assumptions'!$C$12*(I296-I307),0)))</f>
        <v>495183.992111616</v>
      </c>
      <c r="J318" s="39" t="n">
        <f aca="false">IF(6&gt;'Inputs &amp; Assumptions'!$E$140,0,IF(6='Inputs &amp; Assumptions'!$E$140,J296-J307,IF(('Inputs &amp; Assumptions'!$C$140+6)&gt;'Inputs &amp; Assumptions'!$C$11,'Inputs &amp; Assumptions'!$C$12*(J296-J307),0)))</f>
        <v>457753.874684599</v>
      </c>
      <c r="K318" s="39" t="n">
        <f aca="false">IF(7&gt;'Inputs &amp; Assumptions'!$E$140,0,IF(7='Inputs &amp; Assumptions'!$E$140,K296-K307,IF(('Inputs &amp; Assumptions'!$C$140+7)&gt;'Inputs &amp; Assumptions'!$C$11,'Inputs &amp; Assumptions'!$C$12*(K296-K307),0)))</f>
        <v>423153.036299149</v>
      </c>
      <c r="L318" s="39" t="n">
        <f aca="false">IF(8&gt;'Inputs &amp; Assumptions'!$E$140,0,IF(8='Inputs &amp; Assumptions'!$E$140,L296-L307,IF(('Inputs &amp; Assumptions'!$C$140+8)&gt;'Inputs &amp; Assumptions'!$C$11,'Inputs &amp; Assumptions'!$C$12*(L296-L307),0)))</f>
        <v>391167.616554995</v>
      </c>
      <c r="M318" s="39" t="n">
        <f aca="false">IF(9&gt;'Inputs &amp; Assumptions'!$E$140,0,IF(9='Inputs &amp; Assumptions'!$E$140,M296-M307,IF(('Inputs &amp; Assumptions'!$C$140+9)&gt;'Inputs &amp; Assumptions'!$C$11,'Inputs &amp; Assumptions'!$C$12*(M296-M307),0)))</f>
        <v>362261.417278179</v>
      </c>
      <c r="N318" s="39" t="n">
        <f aca="false">IF(10&gt;'Inputs &amp; Assumptions'!$E$140,0,IF(10='Inputs &amp; Assumptions'!$E$140,N296-N307,IF(('Inputs &amp; Assumptions'!$C$140+10)&gt;'Inputs &amp; Assumptions'!$C$11,'Inputs &amp; Assumptions'!$C$12*(N296-N307),0)))</f>
        <v>335491.305758294</v>
      </c>
      <c r="O318" s="39" t="n">
        <f aca="false">IF(11&gt;'Inputs &amp; Assumptions'!$E$140,0,IF(11='Inputs &amp; Assumptions'!$E$140,O296-O307,IF(('Inputs &amp; Assumptions'!$C$140+11)&gt;'Inputs &amp; Assumptions'!$C$11,'Inputs &amp; Assumptions'!$C$12*(O296-O307),0)))</f>
        <v>310699.431049195</v>
      </c>
      <c r="P318" s="39" t="n">
        <f aca="false">IF(12&gt;'Inputs &amp; Assumptions'!$E$140,0,IF(12='Inputs &amp; Assumptions'!$E$140,P296-P307,IF(('Inputs &amp; Assumptions'!$C$140+12)&gt;'Inputs &amp; Assumptions'!$C$11,'Inputs &amp; Assumptions'!$C$12*(P296-P307),0)))</f>
        <v>287739.606950773</v>
      </c>
      <c r="Q318" s="39" t="n">
        <f aca="false">IF(13&gt;'Inputs &amp; Assumptions'!$E$140,0,IF(13='Inputs &amp; Assumptions'!$E$140,Q296-Q307,IF(('Inputs &amp; Assumptions'!$C$140+13)&gt;'Inputs &amp; Assumptions'!$C$11,'Inputs &amp; Assumptions'!$C$12*(Q296-Q307),0)))</f>
        <v>267246.886620817</v>
      </c>
      <c r="R318" s="39" t="n">
        <f aca="false">IF(14&gt;'Inputs &amp; Assumptions'!$E$140,0,IF(14='Inputs &amp; Assumptions'!$E$140,R296-R307,IF(('Inputs &amp; Assumptions'!$C$140+14)&gt;'Inputs &amp; Assumptions'!$C$11,'Inputs &amp; Assumptions'!$C$12*(R296-R307),0)))</f>
        <v>248213.651104134</v>
      </c>
      <c r="S318" s="39" t="n">
        <f aca="false">IF(15&gt;'Inputs &amp; Assumptions'!$E$140,0,IF(15='Inputs &amp; Assumptions'!$E$140,S296-S307,IF(('Inputs &amp; Assumptions'!$C$140+15)&gt;'Inputs &amp; Assumptions'!$C$11,'Inputs &amp; Assumptions'!$C$12*(S296-S307),0)))</f>
        <v>230535.956371533</v>
      </c>
      <c r="T318" s="39" t="n">
        <f aca="false">IF(16&gt;'Inputs &amp; Assumptions'!$E$140,0,IF(16='Inputs &amp; Assumptions'!$E$140,T296-T307,IF(('Inputs &amp; Assumptions'!$C$140+16)&gt;'Inputs &amp; Assumptions'!$C$11,'Inputs &amp; Assumptions'!$C$12*(T296-T307),0)))</f>
        <v>214117.261253453</v>
      </c>
      <c r="U318" s="39" t="n">
        <f aca="false">IF(17&gt;'Inputs &amp; Assumptions'!$E$140,0,IF(17='Inputs &amp; Assumptions'!$E$140,U296-U307,IF(('Inputs &amp; Assumptions'!$C$140+17)&gt;'Inputs &amp; Assumptions'!$C$11,'Inputs &amp; Assumptions'!$C$12*(U296-U307),0)))</f>
        <v>199373.317567883</v>
      </c>
      <c r="V318" s="39" t="n">
        <f aca="false">IF(18&gt;'Inputs &amp; Assumptions'!$E$140,0,IF(18='Inputs &amp; Assumptions'!$E$140,V296-V307,IF(('Inputs &amp; Assumptions'!$C$140+18)&gt;'Inputs &amp; Assumptions'!$C$11,'Inputs &amp; Assumptions'!$C$12*(V296-V307),0)))</f>
        <v>185644.630074787</v>
      </c>
      <c r="W318" s="39" t="n">
        <f aca="false">IF(19&gt;'Inputs &amp; Assumptions'!$E$140,0,IF(19='Inputs &amp; Assumptions'!$E$140,W296-W307,IF(('Inputs &amp; Assumptions'!$C$140+19)&gt;'Inputs &amp; Assumptions'!$C$11,'Inputs &amp; Assumptions'!$C$12*(W296-W307),0)))</f>
        <v>172861.289043204</v>
      </c>
      <c r="X318" s="39" t="n">
        <f aca="false">IF(20&gt;'Inputs &amp; Assumptions'!$E$140,0,IF(20='Inputs &amp; Assumptions'!$E$140,X296-X307,IF(('Inputs &amp; Assumptions'!$C$140+20)&gt;'Inputs &amp; Assumptions'!$C$11,'Inputs &amp; Assumptions'!$C$12*(X296-X307),0)))</f>
        <v>160958.198670442</v>
      </c>
      <c r="Y318" s="39" t="n">
        <f aca="false">IF(21&gt;'Inputs &amp; Assumptions'!$E$140,0,IF(21='Inputs &amp; Assumptions'!$E$140,Y296-Y307,IF(('Inputs &amp; Assumptions'!$C$140+21)&gt;'Inputs &amp; Assumptions'!$C$11,'Inputs &amp; Assumptions'!$C$12*(Y296-Y307),0)))</f>
        <v>150129.927158122</v>
      </c>
      <c r="Z318" s="39" t="n">
        <f aca="false">IF(22&gt;'Inputs &amp; Assumptions'!$E$140,0,IF(22='Inputs &amp; Assumptions'!$E$140,Z296-Z307,IF(('Inputs &amp; Assumptions'!$C$140+22)&gt;'Inputs &amp; Assumptions'!$C$11,'Inputs &amp; Assumptions'!$C$12*(Z296-Z307),0)))</f>
        <v>140030.114742095</v>
      </c>
      <c r="AA318" s="39" t="n">
        <f aca="false">IF(23&gt;'Inputs &amp; Assumptions'!$E$140,0,IF(23='Inputs &amp; Assumptions'!$E$140,AA296-AA307,IF(('Inputs &amp; Assumptions'!$C$140+23)&gt;'Inputs &amp; Assumptions'!$C$11,'Inputs &amp; Assumptions'!$C$12*(AA296-AA307),0)))</f>
        <v>130609.755202452</v>
      </c>
      <c r="AB318" s="39" t="n">
        <f aca="false">IF(24&gt;'Inputs &amp; Assumptions'!$E$140,0,IF(24='Inputs &amp; Assumptions'!$E$140,AB296-AB307,IF(('Inputs &amp; Assumptions'!$C$140+24)&gt;'Inputs &amp; Assumptions'!$C$11,'Inputs &amp; Assumptions'!$C$12*(AB296-AB307),0)))</f>
        <v>121823.139154483</v>
      </c>
      <c r="AC318" s="39" t="n">
        <f aca="false">IF(25&gt;'Inputs &amp; Assumptions'!$E$140,0,IF(25='Inputs &amp; Assumptions'!$E$140,AC296-AC307,IF(('Inputs &amp; Assumptions'!$C$140+25)&gt;'Inputs &amp; Assumptions'!$C$11,'Inputs &amp; Assumptions'!$C$12*(AC296-AC307),0)))</f>
        <v>113803.60172275</v>
      </c>
      <c r="AD318" s="39" t="n">
        <f aca="false">IF(26&gt;'Inputs &amp; Assumptions'!$E$140,0,IF(26='Inputs &amp; Assumptions'!$E$140,AD296-AD307,IF(('Inputs &amp; Assumptions'!$C$140+26)&gt;'Inputs &amp; Assumptions'!$C$11,'Inputs &amp; Assumptions'!$C$12*(AD296-AD307),0)))</f>
        <v>106311.985185729</v>
      </c>
      <c r="AE318" s="39" t="n">
        <f aca="false">IF(27&gt;'Inputs &amp; Assumptions'!$E$140,0,IF(27='Inputs &amp; Assumptions'!$E$140,AE296-AE307,IF(('Inputs &amp; Assumptions'!$C$140+27)&gt;'Inputs &amp; Assumptions'!$C$11,'Inputs &amp; Assumptions'!$C$12*(AE296-AE307),0)))</f>
        <v>99313.5368568142</v>
      </c>
      <c r="AF318" s="39" t="n">
        <f aca="false">IF(28&gt;'Inputs &amp; Assumptions'!$E$140,0,IF(28='Inputs &amp; Assumptions'!$E$140,AF296-AF307,IF(('Inputs &amp; Assumptions'!$C$140+28)&gt;'Inputs &amp; Assumptions'!$C$11,'Inputs &amp; Assumptions'!$C$12*(AF296-AF307),0)))</f>
        <v>3092526.39319975</v>
      </c>
      <c r="AG318" s="39" t="n">
        <f aca="false">IF(29&gt;'Inputs &amp; Assumptions'!$E$140,0,IF(29='Inputs &amp; Assumptions'!$E$140,AG296-AG307,IF(('Inputs &amp; Assumptions'!$C$140+29)&gt;'Inputs &amp; Assumptions'!$C$11,'Inputs &amp; Assumptions'!$C$12*(AG296-AG307),0)))</f>
        <v>0</v>
      </c>
      <c r="AH318" s="39" t="n">
        <f aca="false">IF(30&gt;'Inputs &amp; Assumptions'!$E$140,0,IF(30='Inputs &amp; Assumptions'!$E$140,AH296-AH307,IF(('Inputs &amp; Assumptions'!$C$140+30)&gt;'Inputs &amp; Assumptions'!$C$11,'Inputs &amp; Assumptions'!$C$12*(AH296-AH307),0)))</f>
        <v>0</v>
      </c>
      <c r="AI318" s="39" t="n">
        <f aca="false">IF(31&gt;'Inputs &amp; Assumptions'!$E$140,0,IF(31='Inputs &amp; Assumptions'!$E$140,AI296-AI307,IF(('Inputs &amp; Assumptions'!$C$140+31)&gt;'Inputs &amp; Assumptions'!$C$11,'Inputs &amp; Assumptions'!$C$12*(AI296-AI307),0)))</f>
        <v>0</v>
      </c>
      <c r="AJ318" s="39" t="n">
        <f aca="false">IF(32&gt;'Inputs &amp; Assumptions'!$E$140,0,IF(32='Inputs &amp; Assumptions'!$E$140,AJ296-AJ307,IF(('Inputs &amp; Assumptions'!$C$140+32)&gt;'Inputs &amp; Assumptions'!$C$11,'Inputs &amp; Assumptions'!$C$12*(AJ296-AJ307),0)))</f>
        <v>0</v>
      </c>
      <c r="AK318" s="39" t="n">
        <f aca="false">IF(33&gt;'Inputs &amp; Assumptions'!$E$140,0,IF(33='Inputs &amp; Assumptions'!$E$140,AK296-AK307,IF(('Inputs &amp; Assumptions'!$C$140+33)&gt;'Inputs &amp; Assumptions'!$C$11,'Inputs &amp; Assumptions'!$C$12*(AK296-AK307),0)))</f>
        <v>0</v>
      </c>
      <c r="AL318" s="39" t="n">
        <f aca="false">IF(34&gt;'Inputs &amp; Assumptions'!$E$140,0,IF(34='Inputs &amp; Assumptions'!$E$140,AL296-AL307,IF(('Inputs &amp; Assumptions'!$C$140+34)&gt;'Inputs &amp; Assumptions'!$C$11,'Inputs &amp; Assumptions'!$C$12*(AL296-AL307),0)))</f>
        <v>0</v>
      </c>
      <c r="AM318" s="39" t="n">
        <f aca="false">IF(35&gt;'Inputs &amp; Assumptions'!$E$140,0,IF(35='Inputs &amp; Assumptions'!$E$140,AM296-AM307,IF(('Inputs &amp; Assumptions'!$C$140+35)&gt;'Inputs &amp; Assumptions'!$C$11,'Inputs &amp; Assumptions'!$C$12*(AM296-AM307),0)))</f>
        <v>0</v>
      </c>
      <c r="AN318" s="39" t="n">
        <f aca="false">IF(36&gt;'Inputs &amp; Assumptions'!$E$140,0,IF(36='Inputs &amp; Assumptions'!$E$140,AN296-AN307,IF(('Inputs &amp; Assumptions'!$C$140+36)&gt;'Inputs &amp; Assumptions'!$C$11,'Inputs &amp; Assumptions'!$C$12*(AN296-AN307),0)))</f>
        <v>0</v>
      </c>
    </row>
    <row r="319" customFormat="false" ht="15" hidden="false" customHeight="false" outlineLevel="0" collapsed="false">
      <c r="B319" s="37" t="n">
        <v>2</v>
      </c>
      <c r="C319" s="38" t="n">
        <f aca="false">'Inputs &amp; Assumptions'!$C$141</f>
        <v>1</v>
      </c>
      <c r="D319" s="38" t="n">
        <f aca="false">'Inputs &amp; Assumptions'!$D$141</f>
        <v>3</v>
      </c>
      <c r="E319" s="39" t="n">
        <f aca="false">IF(1&gt;'Inputs &amp; Assumptions'!$E$141,0,IF(1='Inputs &amp; Assumptions'!$E$141,E297-E308,IF(('Inputs &amp; Assumptions'!$C$141+1)&gt;'Inputs &amp; Assumptions'!$C$11,'Inputs &amp; Assumptions'!$C$12*(E297-E308),0)))</f>
        <v>0</v>
      </c>
      <c r="F319" s="39" t="n">
        <f aca="false">IF(2&gt;'Inputs &amp; Assumptions'!$E$141,0,IF(2='Inputs &amp; Assumptions'!$E$141,F297-F308,IF(('Inputs &amp; Assumptions'!$C$141+2)&gt;'Inputs &amp; Assumptions'!$C$11,'Inputs &amp; Assumptions'!$C$12*(F297-F308),0)))</f>
        <v>0</v>
      </c>
      <c r="G319" s="39" t="n">
        <f aca="false">IF(3&gt;'Inputs &amp; Assumptions'!$E$141,0,IF(3='Inputs &amp; Assumptions'!$E$141,G297-G308,IF(('Inputs &amp; Assumptions'!$C$141+3)&gt;'Inputs &amp; Assumptions'!$C$11,'Inputs &amp; Assumptions'!$C$12*(G297-G308),0)))</f>
        <v>0</v>
      </c>
      <c r="H319" s="39" t="n">
        <f aca="false">IF(4&gt;'Inputs &amp; Assumptions'!$E$141,0,IF(4='Inputs &amp; Assumptions'!$E$141,H297-H308,IF(('Inputs &amp; Assumptions'!$C$141+4)&gt;'Inputs &amp; Assumptions'!$C$11,'Inputs &amp; Assumptions'!$C$12*(H297-H308),0)))</f>
        <v>1552305.77214181</v>
      </c>
      <c r="I319" s="39" t="n">
        <f aca="false">IF(5&gt;'Inputs &amp; Assumptions'!$E$141,0,IF(5='Inputs &amp; Assumptions'!$E$141,I297-I308,IF(('Inputs &amp; Assumptions'!$C$141+5)&gt;'Inputs &amp; Assumptions'!$C$11,'Inputs &amp; Assumptions'!$C$12*(I297-I308),0)))</f>
        <v>1434969.61374514</v>
      </c>
      <c r="J319" s="39" t="n">
        <f aca="false">IF(6&gt;'Inputs &amp; Assumptions'!$E$141,0,IF(6='Inputs &amp; Assumptions'!$E$141,J297-J308,IF(('Inputs &amp; Assumptions'!$C$141+6)&gt;'Inputs &amp; Assumptions'!$C$11,'Inputs &amp; Assumptions'!$C$12*(J297-J308),0)))</f>
        <v>1326502.69639258</v>
      </c>
      <c r="K319" s="39" t="n">
        <f aca="false">IF(7&gt;'Inputs &amp; Assumptions'!$E$141,0,IF(7='Inputs &amp; Assumptions'!$E$141,K297-K308,IF(('Inputs &amp; Assumptions'!$C$141+7)&gt;'Inputs &amp; Assumptions'!$C$11,'Inputs &amp; Assumptions'!$C$12*(K297-K308),0)))</f>
        <v>1226234.60920846</v>
      </c>
      <c r="L319" s="39" t="n">
        <f aca="false">IF(8&gt;'Inputs &amp; Assumptions'!$E$141,0,IF(8='Inputs &amp; Assumptions'!$E$141,L297-L308,IF(('Inputs &amp; Assumptions'!$C$141+8)&gt;'Inputs &amp; Assumptions'!$C$11,'Inputs &amp; Assumptions'!$C$12*(L297-L308),0)))</f>
        <v>1135619.280961</v>
      </c>
      <c r="M319" s="39" t="n">
        <f aca="false">IF(9&gt;'Inputs &amp; Assumptions'!$E$141,0,IF(9='Inputs &amp; Assumptions'!$E$141,M297-M308,IF(('Inputs &amp; Assumptions'!$C$141+9)&gt;'Inputs &amp; Assumptions'!$C$11,'Inputs &amp; Assumptions'!$C$12*(M297-M308),0)))</f>
        <v>1051700.17352784</v>
      </c>
      <c r="N319" s="39" t="n">
        <f aca="false">IF(10&gt;'Inputs &amp; Assumptions'!$E$141,0,IF(10='Inputs &amp; Assumptions'!$E$141,N297-N308,IF(('Inputs &amp; Assumptions'!$C$141+10)&gt;'Inputs &amp; Assumptions'!$C$11,'Inputs &amp; Assumptions'!$C$12*(N297-N308),0)))</f>
        <v>973982.454808697</v>
      </c>
      <c r="O319" s="39" t="n">
        <f aca="false">IF(11&gt;'Inputs &amp; Assumptions'!$E$141,0,IF(11='Inputs &amp; Assumptions'!$E$141,O297-O308,IF(('Inputs &amp; Assumptions'!$C$141+11)&gt;'Inputs &amp; Assumptions'!$C$11,'Inputs &amp; Assumptions'!$C$12*(O297-O308),0)))</f>
        <v>902007.859419703</v>
      </c>
      <c r="P319" s="39" t="n">
        <f aca="false">IF(12&gt;'Inputs &amp; Assumptions'!$E$141,0,IF(12='Inputs &amp; Assumptions'!$E$141,P297-P308,IF(('Inputs &amp; Assumptions'!$C$141+12)&gt;'Inputs &amp; Assumptions'!$C$11,'Inputs &amp; Assumptions'!$C$12*(P297-P308),0)))</f>
        <v>837767.155839147</v>
      </c>
      <c r="Q319" s="39" t="n">
        <f aca="false">IF(13&gt;'Inputs &amp; Assumptions'!$E$141,0,IF(13='Inputs &amp; Assumptions'!$E$141,Q297-Q308,IF(('Inputs &amp; Assumptions'!$C$141+13)&gt;'Inputs &amp; Assumptions'!$C$11,'Inputs &amp; Assumptions'!$C$12*(Q297-Q308),0)))</f>
        <v>778101.654074659</v>
      </c>
      <c r="R319" s="39" t="n">
        <f aca="false">IF(14&gt;'Inputs &amp; Assumptions'!$E$141,0,IF(14='Inputs &amp; Assumptions'!$E$141,R297-R308,IF(('Inputs &amp; Assumptions'!$C$141+14)&gt;'Inputs &amp; Assumptions'!$C$11,'Inputs &amp; Assumptions'!$C$12*(R297-R308),0)))</f>
        <v>722685.509755131</v>
      </c>
      <c r="S319" s="39" t="n">
        <f aca="false">IF(15&gt;'Inputs &amp; Assumptions'!$E$141,0,IF(15='Inputs &amp; Assumptions'!$E$141,S297-S308,IF(('Inputs &amp; Assumptions'!$C$141+15)&gt;'Inputs &amp; Assumptions'!$C$11,'Inputs &amp; Assumptions'!$C$12*(S297-S308),0)))</f>
        <v>671216.085038577</v>
      </c>
      <c r="T319" s="39" t="n">
        <f aca="false">IF(16&gt;'Inputs &amp; Assumptions'!$E$141,0,IF(16='Inputs &amp; Assumptions'!$E$141,T297-T308,IF(('Inputs &amp; Assumptions'!$C$141+16)&gt;'Inputs &amp; Assumptions'!$C$11,'Inputs &amp; Assumptions'!$C$12*(T297-T308),0)))</f>
        <v>624996.681237481</v>
      </c>
      <c r="U319" s="39" t="n">
        <f aca="false">IF(17&gt;'Inputs &amp; Assumptions'!$E$141,0,IF(17='Inputs &amp; Assumptions'!$E$141,U297-U308,IF(('Inputs &amp; Assumptions'!$C$141+17)&gt;'Inputs &amp; Assumptions'!$C$11,'Inputs &amp; Assumptions'!$C$12*(U297-U308),0)))</f>
        <v>581959.908686359</v>
      </c>
      <c r="V319" s="39" t="n">
        <f aca="false">IF(18&gt;'Inputs &amp; Assumptions'!$E$141,0,IF(18='Inputs &amp; Assumptions'!$E$141,V297-V308,IF(('Inputs &amp; Assumptions'!$C$141+18)&gt;'Inputs &amp; Assumptions'!$C$11,'Inputs &amp; Assumptions'!$C$12*(V297-V308),0)))</f>
        <v>541886.613937951</v>
      </c>
      <c r="W319" s="39" t="n">
        <f aca="false">IF(19&gt;'Inputs &amp; Assumptions'!$E$141,0,IF(19='Inputs &amp; Assumptions'!$E$141,W297-W308,IF(('Inputs &amp; Assumptions'!$C$141+19)&gt;'Inputs &amp; Assumptions'!$C$11,'Inputs &amp; Assumptions'!$C$12*(W297-W308),0)))</f>
        <v>504572.73427643</v>
      </c>
      <c r="X319" s="39" t="n">
        <f aca="false">IF(20&gt;'Inputs &amp; Assumptions'!$E$141,0,IF(20='Inputs &amp; Assumptions'!$E$141,X297-X308,IF(('Inputs &amp; Assumptions'!$C$141+20)&gt;'Inputs &amp; Assumptions'!$C$11,'Inputs &amp; Assumptions'!$C$12*(X297-X308),0)))</f>
        <v>470628.203276516</v>
      </c>
      <c r="Y319" s="39" t="n">
        <f aca="false">IF(21&gt;'Inputs &amp; Assumptions'!$E$141,0,IF(21='Inputs &amp; Assumptions'!$E$141,Y297-Y308,IF(('Inputs &amp; Assumptions'!$C$141+21)&gt;'Inputs &amp; Assumptions'!$C$11,'Inputs &amp; Assumptions'!$C$12*(Y297-Y308),0)))</f>
        <v>438967.250255616</v>
      </c>
      <c r="Z319" s="39" t="n">
        <f aca="false">IF(22&gt;'Inputs &amp; Assumptions'!$E$141,0,IF(22='Inputs &amp; Assumptions'!$E$141,Z297-Z308,IF(('Inputs &amp; Assumptions'!$C$141+22)&gt;'Inputs &amp; Assumptions'!$C$11,'Inputs &amp; Assumptions'!$C$12*(Z297-Z308),0)))</f>
        <v>409436.250219285</v>
      </c>
      <c r="AA319" s="39" t="n">
        <f aca="false">IF(23&gt;'Inputs &amp; Assumptions'!$E$141,0,IF(23='Inputs &amp; Assumptions'!$E$141,AA297-AA308,IF(('Inputs &amp; Assumptions'!$C$141+23)&gt;'Inputs &amp; Assumptions'!$C$11,'Inputs &amp; Assumptions'!$C$12*(AA297-AA308),0)))</f>
        <v>381891.913111995</v>
      </c>
      <c r="AB319" s="39" t="n">
        <f aca="false">IF(24&gt;'Inputs &amp; Assumptions'!$E$141,0,IF(24='Inputs &amp; Assumptions'!$E$141,AB297-AB308,IF(('Inputs &amp; Assumptions'!$C$141+24)&gt;'Inputs &amp; Assumptions'!$C$11,'Inputs &amp; Assumptions'!$C$12*(AB297-AB308),0)))</f>
        <v>356752.21868831</v>
      </c>
      <c r="AC319" s="39" t="n">
        <f aca="false">IF(25&gt;'Inputs &amp; Assumptions'!$E$141,0,IF(25='Inputs &amp; Assumptions'!$E$141,AC297-AC308,IF(('Inputs &amp; Assumptions'!$C$141+25)&gt;'Inputs &amp; Assumptions'!$C$11,'Inputs &amp; Assumptions'!$C$12*(AC297-AC308),0)))</f>
        <v>333267.453876949</v>
      </c>
      <c r="AD319" s="39" t="n">
        <f aca="false">IF(26&gt;'Inputs &amp; Assumptions'!$E$141,0,IF(26='Inputs &amp; Assumptions'!$E$141,AD297-AD308,IF(('Inputs &amp; Assumptions'!$C$141+26)&gt;'Inputs &amp; Assumptions'!$C$11,'Inputs &amp; Assumptions'!$C$12*(AD297-AD308),0)))</f>
        <v>311328.675745847</v>
      </c>
      <c r="AE319" s="39" t="n">
        <f aca="false">IF(27&gt;'Inputs &amp; Assumptions'!$E$141,0,IF(27='Inputs &amp; Assumptions'!$E$141,AE297-AE308,IF(('Inputs &amp; Assumptions'!$C$141+27)&gt;'Inputs &amp; Assumptions'!$C$11,'Inputs &amp; Assumptions'!$C$12*(AE297-AE308),0)))</f>
        <v>9694470.43349256</v>
      </c>
      <c r="AF319" s="39" t="n">
        <f aca="false">IF(28&gt;'Inputs &amp; Assumptions'!$E$141,0,IF(28='Inputs &amp; Assumptions'!$E$141,AF297-AF308,IF(('Inputs &amp; Assumptions'!$C$141+28)&gt;'Inputs &amp; Assumptions'!$C$11,'Inputs &amp; Assumptions'!$C$12*(AF297-AF308),0)))</f>
        <v>0</v>
      </c>
      <c r="AG319" s="39" t="n">
        <f aca="false">IF(29&gt;'Inputs &amp; Assumptions'!$E$141,0,IF(29='Inputs &amp; Assumptions'!$E$141,AG297-AG308,IF(('Inputs &amp; Assumptions'!$C$141+29)&gt;'Inputs &amp; Assumptions'!$C$11,'Inputs &amp; Assumptions'!$C$12*(AG297-AG308),0)))</f>
        <v>0</v>
      </c>
      <c r="AH319" s="39" t="n">
        <f aca="false">IF(30&gt;'Inputs &amp; Assumptions'!$E$141,0,IF(30='Inputs &amp; Assumptions'!$E$141,AH297-AH308,IF(('Inputs &amp; Assumptions'!$C$141+30)&gt;'Inputs &amp; Assumptions'!$C$11,'Inputs &amp; Assumptions'!$C$12*(AH297-AH308),0)))</f>
        <v>0</v>
      </c>
      <c r="AI319" s="39" t="n">
        <f aca="false">IF(31&gt;'Inputs &amp; Assumptions'!$E$141,0,IF(31='Inputs &amp; Assumptions'!$E$141,AI297-AI308,IF(('Inputs &amp; Assumptions'!$C$141+31)&gt;'Inputs &amp; Assumptions'!$C$11,'Inputs &amp; Assumptions'!$C$12*(AI297-AI308),0)))</f>
        <v>0</v>
      </c>
      <c r="AJ319" s="39" t="n">
        <f aca="false">IF(32&gt;'Inputs &amp; Assumptions'!$E$141,0,IF(32='Inputs &amp; Assumptions'!$E$141,AJ297-AJ308,IF(('Inputs &amp; Assumptions'!$C$141+32)&gt;'Inputs &amp; Assumptions'!$C$11,'Inputs &amp; Assumptions'!$C$12*(AJ297-AJ308),0)))</f>
        <v>0</v>
      </c>
      <c r="AK319" s="39" t="n">
        <f aca="false">IF(33&gt;'Inputs &amp; Assumptions'!$E$141,0,IF(33='Inputs &amp; Assumptions'!$E$141,AK297-AK308,IF(('Inputs &amp; Assumptions'!$C$141+33)&gt;'Inputs &amp; Assumptions'!$C$11,'Inputs &amp; Assumptions'!$C$12*(AK297-AK308),0)))</f>
        <v>0</v>
      </c>
      <c r="AL319" s="39" t="n">
        <f aca="false">IF(34&gt;'Inputs &amp; Assumptions'!$E$141,0,IF(34='Inputs &amp; Assumptions'!$E$141,AL297-AL308,IF(('Inputs &amp; Assumptions'!$C$141+34)&gt;'Inputs &amp; Assumptions'!$C$11,'Inputs &amp; Assumptions'!$C$12*(AL297-AL308),0)))</f>
        <v>0</v>
      </c>
      <c r="AM319" s="39" t="n">
        <f aca="false">IF(35&gt;'Inputs &amp; Assumptions'!$E$141,0,IF(35='Inputs &amp; Assumptions'!$E$141,AM297-AM308,IF(('Inputs &amp; Assumptions'!$C$141+35)&gt;'Inputs &amp; Assumptions'!$C$11,'Inputs &amp; Assumptions'!$C$12*(AM297-AM308),0)))</f>
        <v>0</v>
      </c>
      <c r="AN319" s="39" t="n">
        <f aca="false">IF(36&gt;'Inputs &amp; Assumptions'!$E$141,0,IF(36='Inputs &amp; Assumptions'!$E$141,AN297-AN308,IF(('Inputs &amp; Assumptions'!$C$141+36)&gt;'Inputs &amp; Assumptions'!$C$11,'Inputs &amp; Assumptions'!$C$12*(AN297-AN308),0)))</f>
        <v>0</v>
      </c>
    </row>
    <row r="320" customFormat="false" ht="15" hidden="false" customHeight="false" outlineLevel="0" collapsed="false">
      <c r="B320" s="37" t="n">
        <v>3</v>
      </c>
      <c r="C320" s="38" t="n">
        <f aca="false">'Inputs &amp; Assumptions'!$C$142</f>
        <v>2</v>
      </c>
      <c r="D320" s="38" t="n">
        <f aca="false">'Inputs &amp; Assumptions'!$D$142</f>
        <v>3</v>
      </c>
      <c r="E320" s="39" t="n">
        <f aca="false">IF(1&gt;'Inputs &amp; Assumptions'!$E$142,0,IF(1='Inputs &amp; Assumptions'!$E$142,E298-E309,IF(('Inputs &amp; Assumptions'!$C$142+1)&gt;'Inputs &amp; Assumptions'!$C$11,'Inputs &amp; Assumptions'!$C$12*(E298-E309),0)))</f>
        <v>0</v>
      </c>
      <c r="F320" s="39" t="n">
        <f aca="false">IF(2&gt;'Inputs &amp; Assumptions'!$E$142,0,IF(2='Inputs &amp; Assumptions'!$E$142,F298-F309,IF(('Inputs &amp; Assumptions'!$C$142+2)&gt;'Inputs &amp; Assumptions'!$C$11,'Inputs &amp; Assumptions'!$C$12*(F298-F309),0)))</f>
        <v>0</v>
      </c>
      <c r="G320" s="39" t="n">
        <f aca="false">IF(3&gt;'Inputs &amp; Assumptions'!$E$142,0,IF(3='Inputs &amp; Assumptions'!$E$142,G298-G309,IF(('Inputs &amp; Assumptions'!$C$142+3)&gt;'Inputs &amp; Assumptions'!$C$11,'Inputs &amp; Assumptions'!$C$12*(G298-G309),0)))</f>
        <v>1622059.17302866</v>
      </c>
      <c r="H320" s="39" t="n">
        <f aca="false">IF(4&gt;'Inputs &amp; Assumptions'!$E$142,0,IF(4='Inputs &amp; Assumptions'!$E$142,H298-H309,IF(('Inputs &amp; Assumptions'!$C$142+4)&gt;'Inputs &amp; Assumptions'!$C$11,'Inputs &amp; Assumptions'!$C$12*(H298-H309),0)))</f>
        <v>1499450.47345998</v>
      </c>
      <c r="I320" s="39" t="n">
        <f aca="false">IF(5&gt;'Inputs &amp; Assumptions'!$E$142,0,IF(5='Inputs &amp; Assumptions'!$E$142,I298-I309,IF(('Inputs &amp; Assumptions'!$C$142+5)&gt;'Inputs &amp; Assumptions'!$C$11,'Inputs &amp; Assumptions'!$C$12*(I298-I309),0)))</f>
        <v>1386109.55737287</v>
      </c>
      <c r="J320" s="39" t="n">
        <f aca="false">IF(6&gt;'Inputs &amp; Assumptions'!$E$142,0,IF(6='Inputs &amp; Assumptions'!$E$142,J298-J309,IF(('Inputs &amp; Assumptions'!$C$142+6)&gt;'Inputs &amp; Assumptions'!$C$11,'Inputs &amp; Assumptions'!$C$12*(J298-J309),0)))</f>
        <v>1281335.88874531</v>
      </c>
      <c r="K320" s="39" t="n">
        <f aca="false">IF(7&gt;'Inputs &amp; Assumptions'!$E$142,0,IF(7='Inputs &amp; Assumptions'!$E$142,K298-K309,IF(('Inputs &amp; Assumptions'!$C$142+7)&gt;'Inputs &amp; Assumptions'!$C$11,'Inputs &amp; Assumptions'!$C$12*(K298-K309),0)))</f>
        <v>1186648.72914144</v>
      </c>
      <c r="L320" s="39" t="n">
        <f aca="false">IF(8&gt;'Inputs &amp; Assumptions'!$E$142,0,IF(8='Inputs &amp; Assumptions'!$E$142,L298-L309,IF(('Inputs &amp; Assumptions'!$C$142+8)&gt;'Inputs &amp; Assumptions'!$C$11,'Inputs &amp; Assumptions'!$C$12*(L298-L309),0)))</f>
        <v>1098958.68736795</v>
      </c>
      <c r="M320" s="39" t="n">
        <f aca="false">IF(9&gt;'Inputs &amp; Assumptions'!$E$142,0,IF(9='Inputs &amp; Assumptions'!$E$142,M298-M309,IF(('Inputs &amp; Assumptions'!$C$142+9)&gt;'Inputs &amp; Assumptions'!$C$11,'Inputs &amp; Assumptions'!$C$12*(M298-M309),0)))</f>
        <v>1017748.69587168</v>
      </c>
      <c r="N320" s="39" t="n">
        <f aca="false">IF(10&gt;'Inputs &amp; Assumptions'!$E$142,0,IF(10='Inputs &amp; Assumptions'!$E$142,N298-N309,IF(('Inputs &amp; Assumptions'!$C$142+10)&gt;'Inputs &amp; Assumptions'!$C$11,'Inputs &amp; Assumptions'!$C$12*(N298-N309),0)))</f>
        <v>942539.896954019</v>
      </c>
      <c r="O320" s="39" t="n">
        <f aca="false">IF(11&gt;'Inputs &amp; Assumptions'!$E$142,0,IF(11='Inputs &amp; Assumptions'!$E$142,O298-O309,IF(('Inputs &amp; Assumptions'!$C$142+11)&gt;'Inputs &amp; Assumptions'!$C$11,'Inputs &amp; Assumptions'!$C$12*(O298-O309),0)))</f>
        <v>875412.51496865</v>
      </c>
      <c r="P320" s="39" t="n">
        <f aca="false">IF(12&gt;'Inputs &amp; Assumptions'!$E$142,0,IF(12='Inputs &amp; Assumptions'!$E$142,P298-P309,IF(('Inputs &amp; Assumptions'!$C$142+12)&gt;'Inputs &amp; Assumptions'!$C$11,'Inputs &amp; Assumptions'!$C$12*(P298-P309),0)))</f>
        <v>813065.923087522</v>
      </c>
      <c r="Q320" s="39" t="n">
        <f aca="false">IF(13&gt;'Inputs &amp; Assumptions'!$E$142,0,IF(13='Inputs &amp; Assumptions'!$E$142,Q298-Q309,IF(('Inputs &amp; Assumptions'!$C$142+13)&gt;'Inputs &amp; Assumptions'!$C$11,'Inputs &amp; Assumptions'!$C$12*(Q298-Q309),0)))</f>
        <v>755159.635009145</v>
      </c>
      <c r="R320" s="39" t="n">
        <f aca="false">IF(14&gt;'Inputs &amp; Assumptions'!$E$142,0,IF(14='Inputs &amp; Assumptions'!$E$142,R298-R309,IF(('Inputs &amp; Assumptions'!$C$142+14)&gt;'Inputs &amp; Assumptions'!$C$11,'Inputs &amp; Assumptions'!$C$12*(R298-R309),0)))</f>
        <v>701377.413754629</v>
      </c>
      <c r="S320" s="39" t="n">
        <f aca="false">IF(15&gt;'Inputs &amp; Assumptions'!$E$142,0,IF(15='Inputs &amp; Assumptions'!$E$142,S298-S309,IF(('Inputs &amp; Assumptions'!$C$142+15)&gt;'Inputs &amp; Assumptions'!$C$11,'Inputs &amp; Assumptions'!$C$12*(S298-S309),0)))</f>
        <v>653081.124935164</v>
      </c>
      <c r="T320" s="39" t="n">
        <f aca="false">IF(16&gt;'Inputs &amp; Assumptions'!$E$142,0,IF(16='Inputs &amp; Assumptions'!$E$142,T298-T309,IF(('Inputs &amp; Assumptions'!$C$142+16)&gt;'Inputs &amp; Assumptions'!$C$11,'Inputs &amp; Assumptions'!$C$12*(T298-T309),0)))</f>
        <v>608110.480010114</v>
      </c>
      <c r="U320" s="39" t="n">
        <f aca="false">IF(17&gt;'Inputs &amp; Assumptions'!$E$142,0,IF(17='Inputs &amp; Assumptions'!$E$142,U298-U309,IF(('Inputs &amp; Assumptions'!$C$142+17)&gt;'Inputs &amp; Assumptions'!$C$11,'Inputs &amp; Assumptions'!$C$12*(U298-U309),0)))</f>
        <v>566236.477795685</v>
      </c>
      <c r="V320" s="39" t="n">
        <f aca="false">IF(18&gt;'Inputs &amp; Assumptions'!$E$142,0,IF(18='Inputs &amp; Assumptions'!$E$142,V298-V309,IF(('Inputs &amp; Assumptions'!$C$142+18)&gt;'Inputs &amp; Assumptions'!$C$11,'Inputs &amp; Assumptions'!$C$12*(V298-V309),0)))</f>
        <v>527245.885946795</v>
      </c>
      <c r="W320" s="39" t="n">
        <f aca="false">IF(19&gt;'Inputs &amp; Assumptions'!$E$142,0,IF(19='Inputs &amp; Assumptions'!$E$142,W298-W309,IF(('Inputs &amp; Assumptions'!$C$142+19)&gt;'Inputs &amp; Assumptions'!$C$11,'Inputs &amp; Assumptions'!$C$12*(W298-W309),0)))</f>
        <v>491776.04561592</v>
      </c>
      <c r="X320" s="39" t="n">
        <f aca="false">IF(20&gt;'Inputs &amp; Assumptions'!$E$142,0,IF(20='Inputs &amp; Assumptions'!$E$142,X298-X309,IF(('Inputs &amp; Assumptions'!$C$142+20)&gt;'Inputs &amp; Assumptions'!$C$11,'Inputs &amp; Assumptions'!$C$12*(X298-X309),0)))</f>
        <v>458692.396636427</v>
      </c>
      <c r="Y320" s="39" t="n">
        <f aca="false">IF(21&gt;'Inputs &amp; Assumptions'!$E$142,0,IF(21='Inputs &amp; Assumptions'!$E$142,Y298-Y309,IF(('Inputs &amp; Assumptions'!$C$142+21)&gt;'Inputs &amp; Assumptions'!$C$11,'Inputs &amp; Assumptions'!$C$12*(Y298-Y309),0)))</f>
        <v>427834.410821204</v>
      </c>
      <c r="Z320" s="39" t="n">
        <f aca="false">IF(22&gt;'Inputs &amp; Assumptions'!$E$142,0,IF(22='Inputs &amp; Assumptions'!$E$142,Z298-Z309,IF(('Inputs &amp; Assumptions'!$C$142+22)&gt;'Inputs &amp; Assumptions'!$C$11,'Inputs &amp; Assumptions'!$C$12*(Z298-Z309),0)))</f>
        <v>399052.359326139</v>
      </c>
      <c r="AA320" s="39" t="n">
        <f aca="false">IF(23&gt;'Inputs &amp; Assumptions'!$E$142,0,IF(23='Inputs &amp; Assumptions'!$E$142,AA298-AA309,IF(('Inputs &amp; Assumptions'!$C$142+23)&gt;'Inputs &amp; Assumptions'!$C$11,'Inputs &amp; Assumptions'!$C$12*(AA298-AA309),0)))</f>
        <v>372783.003971741</v>
      </c>
      <c r="AB320" s="39" t="n">
        <f aca="false">IF(24&gt;'Inputs &amp; Assumptions'!$E$142,0,IF(24='Inputs &amp; Assumptions'!$E$142,AB298-AB309,IF(('Inputs &amp; Assumptions'!$C$142+24)&gt;'Inputs &amp; Assumptions'!$C$11,'Inputs &amp; Assumptions'!$C$12*(AB298-AB309),0)))</f>
        <v>348242.94306858</v>
      </c>
      <c r="AC320" s="39" t="n">
        <f aca="false">IF(25&gt;'Inputs &amp; Assumptions'!$E$142,0,IF(25='Inputs &amp; Assumptions'!$E$142,AC298-AC309,IF(('Inputs &amp; Assumptions'!$C$142+25)&gt;'Inputs &amp; Assumptions'!$C$11,'Inputs &amp; Assumptions'!$C$12*(AC298-AC309),0)))</f>
        <v>325318.338295969</v>
      </c>
      <c r="AD320" s="39" t="n">
        <f aca="false">IF(26&gt;'Inputs &amp; Assumptions'!$E$142,0,IF(26='Inputs &amp; Assumptions'!$E$142,AD298-AD309,IF(('Inputs &amp; Assumptions'!$C$142+26)&gt;'Inputs &amp; Assumptions'!$C$11,'Inputs &amp; Assumptions'!$C$12*(AD298-AD309),0)))</f>
        <v>10130094.8411761</v>
      </c>
      <c r="AE320" s="39" t="n">
        <f aca="false">IF(27&gt;'Inputs &amp; Assumptions'!$E$142,0,IF(27='Inputs &amp; Assumptions'!$E$142,AE298-AE309,IF(('Inputs &amp; Assumptions'!$C$142+27)&gt;'Inputs &amp; Assumptions'!$C$11,'Inputs &amp; Assumptions'!$C$12*(AE298-AE309),0)))</f>
        <v>0</v>
      </c>
      <c r="AF320" s="39" t="n">
        <f aca="false">IF(28&gt;'Inputs &amp; Assumptions'!$E$142,0,IF(28='Inputs &amp; Assumptions'!$E$142,AF298-AF309,IF(('Inputs &amp; Assumptions'!$C$142+28)&gt;'Inputs &amp; Assumptions'!$C$11,'Inputs &amp; Assumptions'!$C$12*(AF298-AF309),0)))</f>
        <v>0</v>
      </c>
      <c r="AG320" s="39" t="n">
        <f aca="false">IF(29&gt;'Inputs &amp; Assumptions'!$E$142,0,IF(29='Inputs &amp; Assumptions'!$E$142,AG298-AG309,IF(('Inputs &amp; Assumptions'!$C$142+29)&gt;'Inputs &amp; Assumptions'!$C$11,'Inputs &amp; Assumptions'!$C$12*(AG298-AG309),0)))</f>
        <v>0</v>
      </c>
      <c r="AH320" s="39" t="n">
        <f aca="false">IF(30&gt;'Inputs &amp; Assumptions'!$E$142,0,IF(30='Inputs &amp; Assumptions'!$E$142,AH298-AH309,IF(('Inputs &amp; Assumptions'!$C$142+30)&gt;'Inputs &amp; Assumptions'!$C$11,'Inputs &amp; Assumptions'!$C$12*(AH298-AH309),0)))</f>
        <v>0</v>
      </c>
      <c r="AI320" s="39" t="n">
        <f aca="false">IF(31&gt;'Inputs &amp; Assumptions'!$E$142,0,IF(31='Inputs &amp; Assumptions'!$E$142,AI298-AI309,IF(('Inputs &amp; Assumptions'!$C$142+31)&gt;'Inputs &amp; Assumptions'!$C$11,'Inputs &amp; Assumptions'!$C$12*(AI298-AI309),0)))</f>
        <v>0</v>
      </c>
      <c r="AJ320" s="39" t="n">
        <f aca="false">IF(32&gt;'Inputs &amp; Assumptions'!$E$142,0,IF(32='Inputs &amp; Assumptions'!$E$142,AJ298-AJ309,IF(('Inputs &amp; Assumptions'!$C$142+32)&gt;'Inputs &amp; Assumptions'!$C$11,'Inputs &amp; Assumptions'!$C$12*(AJ298-AJ309),0)))</f>
        <v>0</v>
      </c>
      <c r="AK320" s="39" t="n">
        <f aca="false">IF(33&gt;'Inputs &amp; Assumptions'!$E$142,0,IF(33='Inputs &amp; Assumptions'!$E$142,AK298-AK309,IF(('Inputs &amp; Assumptions'!$C$142+33)&gt;'Inputs &amp; Assumptions'!$C$11,'Inputs &amp; Assumptions'!$C$12*(AK298-AK309),0)))</f>
        <v>0</v>
      </c>
      <c r="AL320" s="39" t="n">
        <f aca="false">IF(34&gt;'Inputs &amp; Assumptions'!$E$142,0,IF(34='Inputs &amp; Assumptions'!$E$142,AL298-AL309,IF(('Inputs &amp; Assumptions'!$C$142+34)&gt;'Inputs &amp; Assumptions'!$C$11,'Inputs &amp; Assumptions'!$C$12*(AL298-AL309),0)))</f>
        <v>0</v>
      </c>
      <c r="AM320" s="39" t="n">
        <f aca="false">IF(35&gt;'Inputs &amp; Assumptions'!$E$142,0,IF(35='Inputs &amp; Assumptions'!$E$142,AM298-AM309,IF(('Inputs &amp; Assumptions'!$C$142+35)&gt;'Inputs &amp; Assumptions'!$C$11,'Inputs &amp; Assumptions'!$C$12*(AM298-AM309),0)))</f>
        <v>0</v>
      </c>
      <c r="AN320" s="39" t="n">
        <f aca="false">IF(36&gt;'Inputs &amp; Assumptions'!$E$142,0,IF(36='Inputs &amp; Assumptions'!$E$142,AN298-AN309,IF(('Inputs &amp; Assumptions'!$C$142+36)&gt;'Inputs &amp; Assumptions'!$C$11,'Inputs &amp; Assumptions'!$C$12*(AN298-AN309),0)))</f>
        <v>0</v>
      </c>
    </row>
    <row r="321" customFormat="false" ht="15" hidden="false" customHeight="false" outlineLevel="0" collapsed="false">
      <c r="B321" s="37" t="n">
        <v>4</v>
      </c>
      <c r="C321" s="38" t="n">
        <f aca="false">'Inputs &amp; Assumptions'!$C$143</f>
        <v>3</v>
      </c>
      <c r="D321" s="38" t="n">
        <f aca="false">'Inputs &amp; Assumptions'!$D$143</f>
        <v>3</v>
      </c>
      <c r="E321" s="39" t="n">
        <f aca="false">IF(1&gt;'Inputs &amp; Assumptions'!$E$143,0,IF(1='Inputs &amp; Assumptions'!$E$143,E299-E310,IF(('Inputs &amp; Assumptions'!$C$143+1)&gt;'Inputs &amp; Assumptions'!$C$11,'Inputs &amp; Assumptions'!$C$12*(E299-E310),0)))</f>
        <v>0</v>
      </c>
      <c r="F321" s="39" t="n">
        <f aca="false">IF(2&gt;'Inputs &amp; Assumptions'!$E$143,0,IF(2='Inputs &amp; Assumptions'!$E$143,F299-F310,IF(('Inputs &amp; Assumptions'!$C$143+2)&gt;'Inputs &amp; Assumptions'!$C$11,'Inputs &amp; Assumptions'!$C$12*(F299-F310),0)))</f>
        <v>1694946.96729508</v>
      </c>
      <c r="G321" s="39" t="n">
        <f aca="false">IF(3&gt;'Inputs &amp; Assumptions'!$E$143,0,IF(3='Inputs &amp; Assumptions'!$E$143,G299-G310,IF(('Inputs &amp; Assumptions'!$C$143+3)&gt;'Inputs &amp; Assumptions'!$C$11,'Inputs &amp; Assumptions'!$C$12*(G299-G310),0)))</f>
        <v>1566828.80307922</v>
      </c>
      <c r="H321" s="39" t="n">
        <f aca="false">IF(4&gt;'Inputs &amp; Assumptions'!$E$143,0,IF(4='Inputs &amp; Assumptions'!$E$143,H299-H310,IF(('Inputs &amp; Assumptions'!$C$143+4)&gt;'Inputs &amp; Assumptions'!$C$11,'Inputs &amp; Assumptions'!$C$12*(H299-H310),0)))</f>
        <v>1448394.87342572</v>
      </c>
      <c r="I321" s="39" t="n">
        <f aca="false">IF(5&gt;'Inputs &amp; Assumptions'!$E$143,0,IF(5='Inputs &amp; Assumptions'!$E$143,I299-I310,IF(('Inputs &amp; Assumptions'!$C$143+5)&gt;'Inputs &amp; Assumptions'!$C$11,'Inputs &amp; Assumptions'!$C$12*(I299-I310),0)))</f>
        <v>1338913.16348225</v>
      </c>
      <c r="J321" s="39" t="n">
        <f aca="false">IF(6&gt;'Inputs &amp; Assumptions'!$E$143,0,IF(6='Inputs &amp; Assumptions'!$E$143,J299-J310,IF(('Inputs &amp; Assumptions'!$C$143+6)&gt;'Inputs &amp; Assumptions'!$C$11,'Inputs &amp; Assumptions'!$C$12*(J299-J310),0)))</f>
        <v>1239971.20336084</v>
      </c>
      <c r="K321" s="39" t="n">
        <f aca="false">IF(7&gt;'Inputs &amp; Assumptions'!$E$143,0,IF(7='Inputs &amp; Assumptions'!$E$143,K299-K310,IF(('Inputs &amp; Assumptions'!$C$143+7)&gt;'Inputs &amp; Assumptions'!$C$11,'Inputs &amp; Assumptions'!$C$12*(K299-K310),0)))</f>
        <v>1148340.77899819</v>
      </c>
      <c r="L321" s="39" t="n">
        <f aca="false">IF(8&gt;'Inputs &amp; Assumptions'!$E$143,0,IF(8='Inputs &amp; Assumptions'!$E$143,L299-L310,IF(('Inputs &amp; Assumptions'!$C$143+8)&gt;'Inputs &amp; Assumptions'!$C$11,'Inputs &amp; Assumptions'!$C$12*(L299-L310),0)))</f>
        <v>1063481.58823042</v>
      </c>
      <c r="M321" s="39" t="n">
        <f aca="false">IF(9&gt;'Inputs &amp; Assumptions'!$E$143,0,IF(9='Inputs &amp; Assumptions'!$E$143,M299-M310,IF(('Inputs &amp; Assumptions'!$C$143+9)&gt;'Inputs &amp; Assumptions'!$C$11,'Inputs &amp; Assumptions'!$C$12*(M299-M310),0)))</f>
        <v>984893.255721323</v>
      </c>
      <c r="N321" s="39" t="n">
        <f aca="false">IF(10&gt;'Inputs &amp; Assumptions'!$E$143,0,IF(10='Inputs &amp; Assumptions'!$E$143,N299-N310,IF(('Inputs &amp; Assumptions'!$C$143+10)&gt;'Inputs &amp; Assumptions'!$C$11,'Inputs &amp; Assumptions'!$C$12*(N299-N310),0)))</f>
        <v>914749.481430945</v>
      </c>
      <c r="O321" s="39" t="n">
        <f aca="false">IF(11&gt;'Inputs &amp; Assumptions'!$E$143,0,IF(11='Inputs &amp; Assumptions'!$E$143,O299-O310,IF(('Inputs &amp; Assumptions'!$C$143+11)&gt;'Inputs &amp; Assumptions'!$C$11,'Inputs &amp; Assumptions'!$C$12*(O299-O310),0)))</f>
        <v>849601.323714361</v>
      </c>
      <c r="P321" s="39" t="n">
        <f aca="false">IF(12&gt;'Inputs &amp; Assumptions'!$E$143,0,IF(12='Inputs &amp; Assumptions'!$E$143,P299-P310,IF(('Inputs &amp; Assumptions'!$C$143+12)&gt;'Inputs &amp; Assumptions'!$C$11,'Inputs &amp; Assumptions'!$C$12*(P299-P310),0)))</f>
        <v>789092.996399458</v>
      </c>
      <c r="Q321" s="39" t="n">
        <f aca="false">IF(13&gt;'Inputs &amp; Assumptions'!$E$143,0,IF(13='Inputs &amp; Assumptions'!$E$143,Q299-Q310,IF(('Inputs &amp; Assumptions'!$C$143+13)&gt;'Inputs &amp; Assumptions'!$C$11,'Inputs &amp; Assumptions'!$C$12*(Q299-Q310),0)))</f>
        <v>732894.052288481</v>
      </c>
      <c r="R321" s="39" t="n">
        <f aca="false">IF(14&gt;'Inputs &amp; Assumptions'!$E$143,0,IF(14='Inputs &amp; Assumptions'!$E$143,R299-R310,IF(('Inputs &amp; Assumptions'!$C$143+14)&gt;'Inputs &amp; Assumptions'!$C$11,'Inputs &amp; Assumptions'!$C$12*(R299-R310),0)))</f>
        <v>682427.552898503</v>
      </c>
      <c r="S321" s="39" t="n">
        <f aca="false">IF(15&gt;'Inputs &amp; Assumptions'!$E$143,0,IF(15='Inputs &amp; Assumptions'!$E$143,S299-S310,IF(('Inputs &amp; Assumptions'!$C$143+15)&gt;'Inputs &amp; Assumptions'!$C$11,'Inputs &amp; Assumptions'!$C$12*(S299-S310),0)))</f>
        <v>635436.136370401</v>
      </c>
      <c r="T321" s="39" t="n">
        <f aca="false">IF(16&gt;'Inputs &amp; Assumptions'!$E$143,0,IF(16='Inputs &amp; Assumptions'!$E$143,T299-T310,IF(('Inputs &amp; Assumptions'!$C$143+16)&gt;'Inputs &amp; Assumptions'!$C$11,'Inputs &amp; Assumptions'!$C$12*(T299-T310),0)))</f>
        <v>591680.511272377</v>
      </c>
      <c r="U321" s="39" t="n">
        <f aca="false">IF(17&gt;'Inputs &amp; Assumptions'!$E$143,0,IF(17='Inputs &amp; Assumptions'!$E$143,U299-U310,IF(('Inputs &amp; Assumptions'!$C$143+17)&gt;'Inputs &amp; Assumptions'!$C$11,'Inputs &amp; Assumptions'!$C$12*(U299-U310),0)))</f>
        <v>550937.863589604</v>
      </c>
      <c r="V321" s="39" t="n">
        <f aca="false">IF(18&gt;'Inputs &amp; Assumptions'!$E$143,0,IF(18='Inputs &amp; Assumptions'!$E$143,V299-V310,IF(('Inputs &amp; Assumptions'!$C$143+18)&gt;'Inputs &amp; Assumptions'!$C$11,'Inputs &amp; Assumptions'!$C$12*(V299-V310),0)))</f>
        <v>513874.173621374</v>
      </c>
      <c r="W321" s="39" t="n">
        <f aca="false">IF(19&gt;'Inputs &amp; Assumptions'!$E$143,0,IF(19='Inputs &amp; Assumptions'!$E$143,W299-W310,IF(('Inputs &amp; Assumptions'!$C$143+19)&gt;'Inputs &amp; Assumptions'!$C$11,'Inputs &amp; Assumptions'!$C$12*(W299-W310),0)))</f>
        <v>479303.899344545</v>
      </c>
      <c r="X321" s="39" t="n">
        <f aca="false">IF(20&gt;'Inputs &amp; Assumptions'!$E$143,0,IF(20='Inputs &amp; Assumptions'!$E$143,X299-X310,IF(('Inputs &amp; Assumptions'!$C$143+20)&gt;'Inputs &amp; Assumptions'!$C$11,'Inputs &amp; Assumptions'!$C$12*(X299-X310),0)))</f>
        <v>447059.29918197</v>
      </c>
      <c r="Y321" s="39" t="n">
        <f aca="false">IF(21&gt;'Inputs &amp; Assumptions'!$E$143,0,IF(21='Inputs &amp; Assumptions'!$E$143,Y299-Y310,IF(('Inputs &amp; Assumptions'!$C$143+21)&gt;'Inputs &amp; Assumptions'!$C$11,'Inputs &amp; Assumptions'!$C$12*(Y299-Y310),0)))</f>
        <v>416983.916171741</v>
      </c>
      <c r="Z321" s="39" t="n">
        <f aca="false">IF(22&gt;'Inputs &amp; Assumptions'!$E$143,0,IF(22='Inputs &amp; Assumptions'!$E$143,Z299-Z310,IF(('Inputs &amp; Assumptions'!$C$143+22)&gt;'Inputs &amp; Assumptions'!$C$11,'Inputs &amp; Assumptions'!$C$12*(Z299-Z310),0)))</f>
        <v>389534.138178996</v>
      </c>
      <c r="AA321" s="39" t="n">
        <f aca="false">IF(23&gt;'Inputs &amp; Assumptions'!$E$143,0,IF(23='Inputs &amp; Assumptions'!$E$143,AA299-AA310,IF(('Inputs &amp; Assumptions'!$C$143+23)&gt;'Inputs &amp; Assumptions'!$C$11,'Inputs &amp; Assumptions'!$C$12*(AA299-AA310),0)))</f>
        <v>363891.361086354</v>
      </c>
      <c r="AB321" s="39" t="n">
        <f aca="false">IF(24&gt;'Inputs &amp; Assumptions'!$E$143,0,IF(24='Inputs &amp; Assumptions'!$E$143,AB299-AB310,IF(('Inputs &amp; Assumptions'!$C$143+24)&gt;'Inputs &amp; Assumptions'!$C$11,'Inputs &amp; Assumptions'!$C$12*(AB299-AB310),0)))</f>
        <v>339936.631208513</v>
      </c>
      <c r="AC321" s="39" t="n">
        <f aca="false">IF(25&gt;'Inputs &amp; Assumptions'!$E$143,0,IF(25='Inputs &amp; Assumptions'!$E$143,AC299-AC310,IF(('Inputs &amp; Assumptions'!$C$143+25)&gt;'Inputs &amp; Assumptions'!$C$11,'Inputs &amp; Assumptions'!$C$12*(AC299-AC310),0)))</f>
        <v>10585294.1834445</v>
      </c>
      <c r="AD321" s="39" t="n">
        <f aca="false">IF(26&gt;'Inputs &amp; Assumptions'!$E$143,0,IF(26='Inputs &amp; Assumptions'!$E$143,AD299-AD310,IF(('Inputs &amp; Assumptions'!$C$143+26)&gt;'Inputs &amp; Assumptions'!$C$11,'Inputs &amp; Assumptions'!$C$12*(AD299-AD310),0)))</f>
        <v>0</v>
      </c>
      <c r="AE321" s="39" t="n">
        <f aca="false">IF(27&gt;'Inputs &amp; Assumptions'!$E$143,0,IF(27='Inputs &amp; Assumptions'!$E$143,AE299-AE310,IF(('Inputs &amp; Assumptions'!$C$143+27)&gt;'Inputs &amp; Assumptions'!$C$11,'Inputs &amp; Assumptions'!$C$12*(AE299-AE310),0)))</f>
        <v>0</v>
      </c>
      <c r="AF321" s="39" t="n">
        <f aca="false">IF(28&gt;'Inputs &amp; Assumptions'!$E$143,0,IF(28='Inputs &amp; Assumptions'!$E$143,AF299-AF310,IF(('Inputs &amp; Assumptions'!$C$143+28)&gt;'Inputs &amp; Assumptions'!$C$11,'Inputs &amp; Assumptions'!$C$12*(AF299-AF310),0)))</f>
        <v>0</v>
      </c>
      <c r="AG321" s="39" t="n">
        <f aca="false">IF(29&gt;'Inputs &amp; Assumptions'!$E$143,0,IF(29='Inputs &amp; Assumptions'!$E$143,AG299-AG310,IF(('Inputs &amp; Assumptions'!$C$143+29)&gt;'Inputs &amp; Assumptions'!$C$11,'Inputs &amp; Assumptions'!$C$12*(AG299-AG310),0)))</f>
        <v>0</v>
      </c>
      <c r="AH321" s="39" t="n">
        <f aca="false">IF(30&gt;'Inputs &amp; Assumptions'!$E$143,0,IF(30='Inputs &amp; Assumptions'!$E$143,AH299-AH310,IF(('Inputs &amp; Assumptions'!$C$143+30)&gt;'Inputs &amp; Assumptions'!$C$11,'Inputs &amp; Assumptions'!$C$12*(AH299-AH310),0)))</f>
        <v>0</v>
      </c>
      <c r="AI321" s="39" t="n">
        <f aca="false">IF(31&gt;'Inputs &amp; Assumptions'!$E$143,0,IF(31='Inputs &amp; Assumptions'!$E$143,AI299-AI310,IF(('Inputs &amp; Assumptions'!$C$143+31)&gt;'Inputs &amp; Assumptions'!$C$11,'Inputs &amp; Assumptions'!$C$12*(AI299-AI310),0)))</f>
        <v>0</v>
      </c>
      <c r="AJ321" s="39" t="n">
        <f aca="false">IF(32&gt;'Inputs &amp; Assumptions'!$E$143,0,IF(32='Inputs &amp; Assumptions'!$E$143,AJ299-AJ310,IF(('Inputs &amp; Assumptions'!$C$143+32)&gt;'Inputs &amp; Assumptions'!$C$11,'Inputs &amp; Assumptions'!$C$12*(AJ299-AJ310),0)))</f>
        <v>0</v>
      </c>
      <c r="AK321" s="39" t="n">
        <f aca="false">IF(33&gt;'Inputs &amp; Assumptions'!$E$143,0,IF(33='Inputs &amp; Assumptions'!$E$143,AK299-AK310,IF(('Inputs &amp; Assumptions'!$C$143+33)&gt;'Inputs &amp; Assumptions'!$C$11,'Inputs &amp; Assumptions'!$C$12*(AK299-AK310),0)))</f>
        <v>0</v>
      </c>
      <c r="AL321" s="39" t="n">
        <f aca="false">IF(34&gt;'Inputs &amp; Assumptions'!$E$143,0,IF(34='Inputs &amp; Assumptions'!$E$143,AL299-AL310,IF(('Inputs &amp; Assumptions'!$C$143+34)&gt;'Inputs &amp; Assumptions'!$C$11,'Inputs &amp; Assumptions'!$C$12*(AL299-AL310),0)))</f>
        <v>0</v>
      </c>
      <c r="AM321" s="39" t="n">
        <f aca="false">IF(35&gt;'Inputs &amp; Assumptions'!$E$143,0,IF(35='Inputs &amp; Assumptions'!$E$143,AM299-AM310,IF(('Inputs &amp; Assumptions'!$C$143+35)&gt;'Inputs &amp; Assumptions'!$C$11,'Inputs &amp; Assumptions'!$C$12*(AM299-AM310),0)))</f>
        <v>0</v>
      </c>
      <c r="AN321" s="39" t="n">
        <f aca="false">IF(36&gt;'Inputs &amp; Assumptions'!$E$143,0,IF(36='Inputs &amp; Assumptions'!$E$143,AN299-AN310,IF(('Inputs &amp; Assumptions'!$C$143+36)&gt;'Inputs &amp; Assumptions'!$C$11,'Inputs &amp; Assumptions'!$C$12*(AN299-AN310),0)))</f>
        <v>0</v>
      </c>
    </row>
    <row r="322" customFormat="false" ht="15" hidden="false" customHeight="false" outlineLevel="0" collapsed="false">
      <c r="B322" s="37" t="n">
        <v>5</v>
      </c>
      <c r="C322" s="38" t="n">
        <f aca="false">'Inputs &amp; Assumptions'!$C$144</f>
        <v>4</v>
      </c>
      <c r="D322" s="38" t="n">
        <f aca="false">'Inputs &amp; Assumptions'!$D$144</f>
        <v>3</v>
      </c>
      <c r="E322" s="39" t="n">
        <f aca="false">IF(1&gt;'Inputs &amp; Assumptions'!$E$144,0,IF(1='Inputs &amp; Assumptions'!$E$144,E300-E311,IF(('Inputs &amp; Assumptions'!$C$144+1)&gt;'Inputs &amp; Assumptions'!$C$11,'Inputs &amp; Assumptions'!$C$12*(E300-E311),0)))</f>
        <v>1771110</v>
      </c>
      <c r="F322" s="39" t="n">
        <f aca="false">IF(2&gt;'Inputs &amp; Assumptions'!$E$144,0,IF(2='Inputs &amp; Assumptions'!$E$144,F300-F311,IF(('Inputs &amp; Assumptions'!$C$144+2)&gt;'Inputs &amp; Assumptions'!$C$11,'Inputs &amp; Assumptions'!$C$12*(F300-F311),0)))</f>
        <v>1637234.80142286</v>
      </c>
      <c r="G322" s="39" t="n">
        <f aca="false">IF(3&gt;'Inputs &amp; Assumptions'!$E$144,0,IF(3='Inputs &amp; Assumptions'!$E$144,G300-G311,IF(('Inputs &amp; Assumptions'!$C$144+3)&gt;'Inputs &amp; Assumptions'!$C$11,'Inputs &amp; Assumptions'!$C$12*(G300-G311),0)))</f>
        <v>1513479.00186333</v>
      </c>
      <c r="H322" s="39" t="n">
        <f aca="false">IF(4&gt;'Inputs &amp; Assumptions'!$E$144,0,IF(4='Inputs &amp; Assumptions'!$E$144,H300-H311,IF(('Inputs &amp; Assumptions'!$C$144+4)&gt;'Inputs &amp; Assumptions'!$C$11,'Inputs &amp; Assumptions'!$C$12*(H300-H311),0)))</f>
        <v>1399077.69312655</v>
      </c>
      <c r="I322" s="39" t="n">
        <f aca="false">IF(5&gt;'Inputs &amp; Assumptions'!$E$144,0,IF(5='Inputs &amp; Assumptions'!$E$144,I300-I311,IF(('Inputs &amp; Assumptions'!$C$144+5)&gt;'Inputs &amp; Assumptions'!$C$11,'Inputs &amp; Assumptions'!$C$12*(I300-I311),0)))</f>
        <v>1295689.74154345</v>
      </c>
      <c r="J322" s="39" t="n">
        <f aca="false">IF(6&gt;'Inputs &amp; Assumptions'!$E$144,0,IF(6='Inputs &amp; Assumptions'!$E$144,J300-J311,IF(('Inputs &amp; Assumptions'!$C$144+6)&gt;'Inputs &amp; Assumptions'!$C$11,'Inputs &amp; Assumptions'!$C$12*(J300-J311),0)))</f>
        <v>1199941.87212667</v>
      </c>
      <c r="K322" s="39" t="n">
        <f aca="false">IF(7&gt;'Inputs &amp; Assumptions'!$E$144,0,IF(7='Inputs &amp; Assumptions'!$E$144,K300-K311,IF(('Inputs &amp; Assumptions'!$C$144+7)&gt;'Inputs &amp; Assumptions'!$C$11,'Inputs &amp; Assumptions'!$C$12*(K300-K311),0)))</f>
        <v>1111269.50404629</v>
      </c>
      <c r="L322" s="39" t="n">
        <f aca="false">IF(8&gt;'Inputs &amp; Assumptions'!$E$144,0,IF(8='Inputs &amp; Assumptions'!$E$144,L300-L311,IF(('Inputs &amp; Assumptions'!$C$144+8)&gt;'Inputs &amp; Assumptions'!$C$11,'Inputs &amp; Assumptions'!$C$12*(L300-L311),0)))</f>
        <v>1029149.77742599</v>
      </c>
      <c r="M322" s="39" t="n">
        <f aca="false">IF(9&gt;'Inputs &amp; Assumptions'!$E$144,0,IF(9='Inputs &amp; Assumptions'!$E$144,M300-M311,IF(('Inputs &amp; Assumptions'!$C$144+9)&gt;'Inputs &amp; Assumptions'!$C$11,'Inputs &amp; Assumptions'!$C$12*(M300-M311),0)))</f>
        <v>955854.068191096</v>
      </c>
      <c r="N322" s="39" t="n">
        <f aca="false">IF(10&gt;'Inputs &amp; Assumptions'!$E$144,0,IF(10='Inputs &amp; Assumptions'!$E$144,N300-N311,IF(('Inputs &amp; Assumptions'!$C$144+10)&gt;'Inputs &amp; Assumptions'!$C$11,'Inputs &amp; Assumptions'!$C$12*(N300-N311),0)))</f>
        <v>887778.455301828</v>
      </c>
      <c r="O322" s="39" t="n">
        <f aca="false">IF(11&gt;'Inputs &amp; Assumptions'!$E$144,0,IF(11='Inputs &amp; Assumptions'!$E$144,O300-O311,IF(('Inputs &amp; Assumptions'!$C$144+11)&gt;'Inputs &amp; Assumptions'!$C$11,'Inputs &amp; Assumptions'!$C$12*(O300-O311),0)))</f>
        <v>824551.165210432</v>
      </c>
      <c r="P322" s="39" t="n">
        <f aca="false">IF(12&gt;'Inputs &amp; Assumptions'!$E$144,0,IF(12='Inputs &amp; Assumptions'!$E$144,P300-P311,IF(('Inputs &amp; Assumptions'!$C$144+12)&gt;'Inputs &amp; Assumptions'!$C$11,'Inputs &amp; Assumptions'!$C$12*(P300-P311),0)))</f>
        <v>765826.901959152</v>
      </c>
      <c r="Q322" s="39" t="n">
        <f aca="false">IF(13&gt;'Inputs &amp; Assumptions'!$E$144,0,IF(13='Inputs &amp; Assumptions'!$E$144,Q300-Q311,IF(('Inputs &amp; Assumptions'!$C$144+13)&gt;'Inputs &amp; Assumptions'!$C$11,'Inputs &amp; Assumptions'!$C$12*(Q300-Q311),0)))</f>
        <v>713092.672830305</v>
      </c>
      <c r="R322" s="39" t="n">
        <f aca="false">IF(14&gt;'Inputs &amp; Assumptions'!$E$144,0,IF(14='Inputs &amp; Assumptions'!$E$144,R300-R311,IF(('Inputs &amp; Assumptions'!$C$144+14)&gt;'Inputs &amp; Assumptions'!$C$11,'Inputs &amp; Assumptions'!$C$12*(R300-R311),0)))</f>
        <v>663989.680622881</v>
      </c>
      <c r="S322" s="39" t="n">
        <f aca="false">IF(15&gt;'Inputs &amp; Assumptions'!$E$144,0,IF(15='Inputs &amp; Assumptions'!$E$144,S300-S311,IF(('Inputs &amp; Assumptions'!$C$144+15)&gt;'Inputs &amp; Assumptions'!$C$11,'Inputs &amp; Assumptions'!$C$12*(S300-S311),0)))</f>
        <v>618267.881261197</v>
      </c>
      <c r="T322" s="39" t="n">
        <f aca="false">IF(16&gt;'Inputs &amp; Assumptions'!$E$144,0,IF(16='Inputs &amp; Assumptions'!$E$144,T300-T311,IF(('Inputs &amp; Assumptions'!$C$144+16)&gt;'Inputs &amp; Assumptions'!$C$11,'Inputs &amp; Assumptions'!$C$12*(T300-T311),0)))</f>
        <v>575694.448505012</v>
      </c>
      <c r="U322" s="39" t="n">
        <f aca="false">IF(17&gt;'Inputs &amp; Assumptions'!$E$144,0,IF(17='Inputs &amp; Assumptions'!$E$144,U300-U311,IF(('Inputs &amp; Assumptions'!$C$144+17)&gt;'Inputs &amp; Assumptions'!$C$11,'Inputs &amp; Assumptions'!$C$12*(U300-U311),0)))</f>
        <v>536965.288710479</v>
      </c>
      <c r="V322" s="39" t="n">
        <f aca="false">IF(18&gt;'Inputs &amp; Assumptions'!$E$144,0,IF(18='Inputs &amp; Assumptions'!$E$144,V300-V311,IF(('Inputs &amp; Assumptions'!$C$144+18)&gt;'Inputs &amp; Assumptions'!$C$11,'Inputs &amp; Assumptions'!$C$12*(V300-V311),0)))</f>
        <v>500841.587110453</v>
      </c>
      <c r="W322" s="39" t="n">
        <f aca="false">IF(19&gt;'Inputs &amp; Assumptions'!$E$144,0,IF(19='Inputs &amp; Assumptions'!$E$144,W300-W311,IF(('Inputs &amp; Assumptions'!$C$144+19)&gt;'Inputs &amp; Assumptions'!$C$11,'Inputs &amp; Assumptions'!$C$12*(W300-W311),0)))</f>
        <v>467148.06460156</v>
      </c>
      <c r="X322" s="39" t="n">
        <f aca="false">IF(20&gt;'Inputs &amp; Assumptions'!$E$144,0,IF(20='Inputs &amp; Assumptions'!$E$144,X300-X311,IF(('Inputs &amp; Assumptions'!$C$144+20)&gt;'Inputs &amp; Assumptions'!$C$11,'Inputs &amp; Assumptions'!$C$12*(X300-X311),0)))</f>
        <v>435721.233773777</v>
      </c>
      <c r="Y322" s="39" t="n">
        <f aca="false">IF(21&gt;'Inputs &amp; Assumptions'!$E$144,0,IF(21='Inputs &amp; Assumptions'!$E$144,Y300-Y311,IF(('Inputs &amp; Assumptions'!$C$144+21)&gt;'Inputs &amp; Assumptions'!$C$11,'Inputs &amp; Assumptions'!$C$12*(Y300-Y311),0)))</f>
        <v>407037.990440023</v>
      </c>
      <c r="Z322" s="39" t="n">
        <f aca="false">IF(22&gt;'Inputs &amp; Assumptions'!$E$144,0,IF(22='Inputs &amp; Assumptions'!$E$144,Z300-Z311,IF(('Inputs &amp; Assumptions'!$C$144+22)&gt;'Inputs &amp; Assumptions'!$C$11,'Inputs &amp; Assumptions'!$C$12*(Z300-Z311),0)))</f>
        <v>380242.946221603</v>
      </c>
      <c r="AA322" s="39" t="n">
        <f aca="false">IF(23&gt;'Inputs &amp; Assumptions'!$E$144,0,IF(23='Inputs &amp; Assumptions'!$E$144,AA300-AA311,IF(('Inputs &amp; Assumptions'!$C$144+23)&gt;'Inputs &amp; Assumptions'!$C$11,'Inputs &amp; Assumptions'!$C$12*(AA300-AA311),0)))</f>
        <v>355211.802207905</v>
      </c>
      <c r="AB322" s="39" t="n">
        <f aca="false">IF(24&gt;'Inputs &amp; Assumptions'!$E$144,0,IF(24='Inputs &amp; Assumptions'!$E$144,AB300-AB311,IF(('Inputs &amp; Assumptions'!$C$144+24)&gt;'Inputs &amp; Assumptions'!$C$11,'Inputs &amp; Assumptions'!$C$12*(AB300-AB311),0)))</f>
        <v>11060948.0668055</v>
      </c>
      <c r="AC322" s="39" t="n">
        <f aca="false">IF(25&gt;'Inputs &amp; Assumptions'!$E$144,0,IF(25='Inputs &amp; Assumptions'!$E$144,AC300-AC311,IF(('Inputs &amp; Assumptions'!$C$144+25)&gt;'Inputs &amp; Assumptions'!$C$11,'Inputs &amp; Assumptions'!$C$12*(AC300-AC311),0)))</f>
        <v>0</v>
      </c>
      <c r="AD322" s="39" t="n">
        <f aca="false">IF(26&gt;'Inputs &amp; Assumptions'!$E$144,0,IF(26='Inputs &amp; Assumptions'!$E$144,AD300-AD311,IF(('Inputs &amp; Assumptions'!$C$144+26)&gt;'Inputs &amp; Assumptions'!$C$11,'Inputs &amp; Assumptions'!$C$12*(AD300-AD311),0)))</f>
        <v>0</v>
      </c>
      <c r="AE322" s="39" t="n">
        <f aca="false">IF(27&gt;'Inputs &amp; Assumptions'!$E$144,0,IF(27='Inputs &amp; Assumptions'!$E$144,AE300-AE311,IF(('Inputs &amp; Assumptions'!$C$144+27)&gt;'Inputs &amp; Assumptions'!$C$11,'Inputs &amp; Assumptions'!$C$12*(AE300-AE311),0)))</f>
        <v>0</v>
      </c>
      <c r="AF322" s="39" t="n">
        <f aca="false">IF(28&gt;'Inputs &amp; Assumptions'!$E$144,0,IF(28='Inputs &amp; Assumptions'!$E$144,AF300-AF311,IF(('Inputs &amp; Assumptions'!$C$144+28)&gt;'Inputs &amp; Assumptions'!$C$11,'Inputs &amp; Assumptions'!$C$12*(AF300-AF311),0)))</f>
        <v>0</v>
      </c>
      <c r="AG322" s="39" t="n">
        <f aca="false">IF(29&gt;'Inputs &amp; Assumptions'!$E$144,0,IF(29='Inputs &amp; Assumptions'!$E$144,AG300-AG311,IF(('Inputs &amp; Assumptions'!$C$144+29)&gt;'Inputs &amp; Assumptions'!$C$11,'Inputs &amp; Assumptions'!$C$12*(AG300-AG311),0)))</f>
        <v>0</v>
      </c>
      <c r="AH322" s="39" t="n">
        <f aca="false">IF(30&gt;'Inputs &amp; Assumptions'!$E$144,0,IF(30='Inputs &amp; Assumptions'!$E$144,AH300-AH311,IF(('Inputs &amp; Assumptions'!$C$144+30)&gt;'Inputs &amp; Assumptions'!$C$11,'Inputs &amp; Assumptions'!$C$12*(AH300-AH311),0)))</f>
        <v>0</v>
      </c>
      <c r="AI322" s="39" t="n">
        <f aca="false">IF(31&gt;'Inputs &amp; Assumptions'!$E$144,0,IF(31='Inputs &amp; Assumptions'!$E$144,AI300-AI311,IF(('Inputs &amp; Assumptions'!$C$144+31)&gt;'Inputs &amp; Assumptions'!$C$11,'Inputs &amp; Assumptions'!$C$12*(AI300-AI311),0)))</f>
        <v>0</v>
      </c>
      <c r="AJ322" s="39" t="n">
        <f aca="false">IF(32&gt;'Inputs &amp; Assumptions'!$E$144,0,IF(32='Inputs &amp; Assumptions'!$E$144,AJ300-AJ311,IF(('Inputs &amp; Assumptions'!$C$144+32)&gt;'Inputs &amp; Assumptions'!$C$11,'Inputs &amp; Assumptions'!$C$12*(AJ300-AJ311),0)))</f>
        <v>0</v>
      </c>
      <c r="AK322" s="39" t="n">
        <f aca="false">IF(33&gt;'Inputs &amp; Assumptions'!$E$144,0,IF(33='Inputs &amp; Assumptions'!$E$144,AK300-AK311,IF(('Inputs &amp; Assumptions'!$C$144+33)&gt;'Inputs &amp; Assumptions'!$C$11,'Inputs &amp; Assumptions'!$C$12*(AK300-AK311),0)))</f>
        <v>0</v>
      </c>
      <c r="AL322" s="39" t="n">
        <f aca="false">IF(34&gt;'Inputs &amp; Assumptions'!$E$144,0,IF(34='Inputs &amp; Assumptions'!$E$144,AL300-AL311,IF(('Inputs &amp; Assumptions'!$C$144+34)&gt;'Inputs &amp; Assumptions'!$C$11,'Inputs &amp; Assumptions'!$C$12*(AL300-AL311),0)))</f>
        <v>0</v>
      </c>
      <c r="AM322" s="39" t="n">
        <f aca="false">IF(35&gt;'Inputs &amp; Assumptions'!$E$144,0,IF(35='Inputs &amp; Assumptions'!$E$144,AM300-AM311,IF(('Inputs &amp; Assumptions'!$C$144+35)&gt;'Inputs &amp; Assumptions'!$C$11,'Inputs &amp; Assumptions'!$C$12*(AM300-AM311),0)))</f>
        <v>0</v>
      </c>
      <c r="AN322" s="39" t="n">
        <f aca="false">IF(36&gt;'Inputs &amp; Assumptions'!$E$144,0,IF(36='Inputs &amp; Assumptions'!$E$144,AN300-AN311,IF(('Inputs &amp; Assumptions'!$C$144+36)&gt;'Inputs &amp; Assumptions'!$C$11,'Inputs &amp; Assumptions'!$C$12*(AN300-AN311),0)))</f>
        <v>0</v>
      </c>
    </row>
    <row r="323" customFormat="false" ht="15" hidden="false" customHeight="false" outlineLevel="0" collapsed="false">
      <c r="B323" s="37" t="n">
        <v>6</v>
      </c>
      <c r="C323" s="38" t="n">
        <f aca="false">'Inputs &amp; Assumptions'!$C$145</f>
        <v>5</v>
      </c>
      <c r="D323" s="38" t="n">
        <f aca="false">'Inputs &amp; Assumptions'!$D$145</f>
        <v>3</v>
      </c>
      <c r="E323" s="39" t="n">
        <f aca="false">IF(1&gt;'Inputs &amp; Assumptions'!$E$145,0,IF(1='Inputs &amp; Assumptions'!$E$145,E301-E312,IF(('Inputs &amp; Assumptions'!$C$145+1)&gt;'Inputs &amp; Assumptions'!$C$11,'Inputs &amp; Assumptions'!$C$12*(E301-E312),0)))</f>
        <v>1717976.7</v>
      </c>
      <c r="F323" s="39" t="n">
        <f aca="false">IF(2&gt;'Inputs &amp; Assumptions'!$E$145,0,IF(2='Inputs &amp; Assumptions'!$E$145,F301-F312,IF(('Inputs &amp; Assumptions'!$C$145+2)&gt;'Inputs &amp; Assumptions'!$C$11,'Inputs &amp; Assumptions'!$C$12*(F301-F312),0)))</f>
        <v>1588117.75738017</v>
      </c>
      <c r="G323" s="39" t="n">
        <f aca="false">IF(3&gt;'Inputs &amp; Assumptions'!$E$145,0,IF(3='Inputs &amp; Assumptions'!$E$145,G301-G312,IF(('Inputs &amp; Assumptions'!$C$145+3)&gt;'Inputs &amp; Assumptions'!$C$11,'Inputs &amp; Assumptions'!$C$12*(G301-G312),0)))</f>
        <v>1468074.63180743</v>
      </c>
      <c r="H323" s="39" t="n">
        <f aca="false">IF(4&gt;'Inputs &amp; Assumptions'!$E$145,0,IF(4='Inputs &amp; Assumptions'!$E$145,H301-H312,IF(('Inputs &amp; Assumptions'!$C$145+4)&gt;'Inputs &amp; Assumptions'!$C$11,'Inputs &amp; Assumptions'!$C$12*(H301-H312),0)))</f>
        <v>1359587.9982921</v>
      </c>
      <c r="I323" s="39" t="n">
        <f aca="false">IF(5&gt;'Inputs &amp; Assumptions'!$E$145,0,IF(5='Inputs &amp; Assumptions'!$E$145,I301-I312,IF(('Inputs &amp; Assumptions'!$C$145+5)&gt;'Inputs &amp; Assumptions'!$C$11,'Inputs &amp; Assumptions'!$C$12*(I301-I312),0)))</f>
        <v>1259118.22536172</v>
      </c>
      <c r="J323" s="39" t="n">
        <f aca="false">IF(6&gt;'Inputs &amp; Assumptions'!$E$145,0,IF(6='Inputs &amp; Assumptions'!$E$145,J301-J312,IF(('Inputs &amp; Assumptions'!$C$145+6)&gt;'Inputs &amp; Assumptions'!$C$11,'Inputs &amp; Assumptions'!$C$12*(J301-J312),0)))</f>
        <v>1166072.88930881</v>
      </c>
      <c r="K323" s="39" t="n">
        <f aca="false">IF(7&gt;'Inputs &amp; Assumptions'!$E$145,0,IF(7='Inputs &amp; Assumptions'!$E$145,K301-K312,IF(('Inputs &amp; Assumptions'!$C$145+7)&gt;'Inputs &amp; Assumptions'!$C$11,'Inputs &amp; Assumptions'!$C$12*(K301-K312),0)))</f>
        <v>1079903.34489072</v>
      </c>
      <c r="L323" s="39" t="n">
        <f aca="false">IF(8&gt;'Inputs &amp; Assumptions'!$E$145,0,IF(8='Inputs &amp; Assumptions'!$E$145,L301-L312,IF(('Inputs &amp; Assumptions'!$C$145+8)&gt;'Inputs &amp; Assumptions'!$C$11,'Inputs &amp; Assumptions'!$C$12*(L301-L312),0)))</f>
        <v>1002992.98324553</v>
      </c>
      <c r="M323" s="39" t="n">
        <f aca="false">IF(9&gt;'Inputs &amp; Assumptions'!$E$145,0,IF(9='Inputs &amp; Assumptions'!$E$145,M301-M312,IF(('Inputs &amp; Assumptions'!$C$145+9)&gt;'Inputs &amp; Assumptions'!$C$11,'Inputs &amp; Assumptions'!$C$12*(M301-M312),0)))</f>
        <v>931560.152303781</v>
      </c>
      <c r="N323" s="39" t="n">
        <f aca="false">IF(10&gt;'Inputs &amp; Assumptions'!$E$145,0,IF(10='Inputs &amp; Assumptions'!$E$145,N301-N312,IF(('Inputs &amp; Assumptions'!$C$145+10)&gt;'Inputs &amp; Assumptions'!$C$11,'Inputs &amp; Assumptions'!$C$12*(N301-N312),0)))</f>
        <v>865214.744127288</v>
      </c>
      <c r="O323" s="39" t="n">
        <f aca="false">IF(11&gt;'Inputs &amp; Assumptions'!$E$145,0,IF(11='Inputs &amp; Assumptions'!$E$145,O301-O312,IF(('Inputs &amp; Assumptions'!$C$145+11)&gt;'Inputs &amp; Assumptions'!$C$11,'Inputs &amp; Assumptions'!$C$12*(O301-O312),0)))</f>
        <v>803594.434137122</v>
      </c>
      <c r="P323" s="39" t="n">
        <f aca="false">IF(12&gt;'Inputs &amp; Assumptions'!$E$145,0,IF(12='Inputs &amp; Assumptions'!$E$145,P301-P312,IF(('Inputs &amp; Assumptions'!$C$145+12)&gt;'Inputs &amp; Assumptions'!$C$11,'Inputs &amp; Assumptions'!$C$12*(P301-P312),0)))</f>
        <v>748259.562891356</v>
      </c>
      <c r="Q323" s="39" t="n">
        <f aca="false">IF(13&gt;'Inputs &amp; Assumptions'!$E$145,0,IF(13='Inputs &amp; Assumptions'!$E$145,Q301-Q312,IF(('Inputs &amp; Assumptions'!$C$145+13)&gt;'Inputs &amp; Assumptions'!$C$11,'Inputs &amp; Assumptions'!$C$12*(Q301-Q312),0)))</f>
        <v>696735.006707159</v>
      </c>
      <c r="R323" s="39" t="n">
        <f aca="false">IF(14&gt;'Inputs &amp; Assumptions'!$E$145,0,IF(14='Inputs &amp; Assumptions'!$E$145,R301-R312,IF(('Inputs &amp; Assumptions'!$C$145+14)&gt;'Inputs &amp; Assumptions'!$C$11,'Inputs &amp; Assumptions'!$C$12*(R301-R312),0)))</f>
        <v>648758.390331069</v>
      </c>
      <c r="S323" s="39" t="n">
        <f aca="false">IF(15&gt;'Inputs &amp; Assumptions'!$E$145,0,IF(15='Inputs &amp; Assumptions'!$E$145,S301-S312,IF(('Inputs &amp; Assumptions'!$C$145+15)&gt;'Inputs &amp; Assumptions'!$C$11,'Inputs &amp; Assumptions'!$C$12*(S301-S312),0)))</f>
        <v>604085.405460128</v>
      </c>
      <c r="T323" s="39" t="n">
        <f aca="false">IF(16&gt;'Inputs &amp; Assumptions'!$E$145,0,IF(16='Inputs &amp; Assumptions'!$E$145,T301-T312,IF(('Inputs &amp; Assumptions'!$C$145+16)&gt;'Inputs &amp; Assumptions'!$C$11,'Inputs &amp; Assumptions'!$C$12*(T301-T312),0)))</f>
        <v>563446.27777987</v>
      </c>
      <c r="U323" s="39" t="n">
        <f aca="false">IF(17&gt;'Inputs &amp; Assumptions'!$E$145,0,IF(17='Inputs &amp; Assumptions'!$E$145,U301-U312,IF(('Inputs &amp; Assumptions'!$C$145+17)&gt;'Inputs &amp; Assumptions'!$C$11,'Inputs &amp; Assumptions'!$C$12*(U301-U312),0)))</f>
        <v>525541.099113583</v>
      </c>
      <c r="V323" s="39" t="n">
        <f aca="false">IF(18&gt;'Inputs &amp; Assumptions'!$E$145,0,IF(18='Inputs &amp; Assumptions'!$E$145,V301-V312,IF(('Inputs &amp; Assumptions'!$C$145+18)&gt;'Inputs &amp; Assumptions'!$C$11,'Inputs &amp; Assumptions'!$C$12*(V301-V312),0)))</f>
        <v>490185.946290727</v>
      </c>
      <c r="W323" s="39" t="n">
        <f aca="false">IF(19&gt;'Inputs &amp; Assumptions'!$E$145,0,IF(19='Inputs &amp; Assumptions'!$E$145,W301-W312,IF(('Inputs &amp; Assumptions'!$C$145+19)&gt;'Inputs &amp; Assumptions'!$C$11,'Inputs &amp; Assumptions'!$C$12*(W301-W312),0)))</f>
        <v>457209.269353459</v>
      </c>
      <c r="X323" s="39" t="n">
        <f aca="false">IF(20&gt;'Inputs &amp; Assumptions'!$E$145,0,IF(20='Inputs &amp; Assumptions'!$E$145,X301-X312,IF(('Inputs &amp; Assumptions'!$C$145+20)&gt;'Inputs &amp; Assumptions'!$C$11,'Inputs &amp; Assumptions'!$C$12*(X301-X312),0)))</f>
        <v>427111.482716506</v>
      </c>
      <c r="Y323" s="39" t="n">
        <f aca="false">IF(21&gt;'Inputs &amp; Assumptions'!$E$145,0,IF(21='Inputs &amp; Assumptions'!$E$145,Y301-Y312,IF(('Inputs &amp; Assumptions'!$C$145+21)&gt;'Inputs &amp; Assumptions'!$C$11,'Inputs &amp; Assumptions'!$C$12*(Y301-Y312),0)))</f>
        <v>398995.013653724</v>
      </c>
      <c r="Z323" s="39" t="n">
        <f aca="false">IF(22&gt;'Inputs &amp; Assumptions'!$E$145,0,IF(22='Inputs &amp; Assumptions'!$E$145,Z301-Z312,IF(('Inputs &amp; Assumptions'!$C$145+22)&gt;'Inputs &amp; Assumptions'!$C$11,'Inputs &amp; Assumptions'!$C$12*(Z301-Z312),0)))</f>
        <v>372729.433327369</v>
      </c>
      <c r="AA323" s="39" t="n">
        <f aca="false">IF(23&gt;'Inputs &amp; Assumptions'!$E$145,0,IF(23='Inputs &amp; Assumptions'!$E$145,AA301-AA312,IF(('Inputs &amp; Assumptions'!$C$145+23)&gt;'Inputs &amp; Assumptions'!$C$11,'Inputs &amp; Assumptions'!$C$12*(AA301-AA312),0)))</f>
        <v>11606429.9648209</v>
      </c>
      <c r="AB323" s="39" t="n">
        <f aca="false">IF(24&gt;'Inputs &amp; Assumptions'!$E$145,0,IF(24='Inputs &amp; Assumptions'!$E$145,AB301-AB312,IF(('Inputs &amp; Assumptions'!$C$145+24)&gt;'Inputs &amp; Assumptions'!$C$11,'Inputs &amp; Assumptions'!$C$12*(AB301-AB312),0)))</f>
        <v>0</v>
      </c>
      <c r="AC323" s="39" t="n">
        <f aca="false">IF(25&gt;'Inputs &amp; Assumptions'!$E$145,0,IF(25='Inputs &amp; Assumptions'!$E$145,AC301-AC312,IF(('Inputs &amp; Assumptions'!$C$145+25)&gt;'Inputs &amp; Assumptions'!$C$11,'Inputs &amp; Assumptions'!$C$12*(AC301-AC312),0)))</f>
        <v>0</v>
      </c>
      <c r="AD323" s="39" t="n">
        <f aca="false">IF(26&gt;'Inputs &amp; Assumptions'!$E$145,0,IF(26='Inputs &amp; Assumptions'!$E$145,AD301-AD312,IF(('Inputs &amp; Assumptions'!$C$145+26)&gt;'Inputs &amp; Assumptions'!$C$11,'Inputs &amp; Assumptions'!$C$12*(AD301-AD312),0)))</f>
        <v>0</v>
      </c>
      <c r="AE323" s="39" t="n">
        <f aca="false">IF(27&gt;'Inputs &amp; Assumptions'!$E$145,0,IF(27='Inputs &amp; Assumptions'!$E$145,AE301-AE312,IF(('Inputs &amp; Assumptions'!$C$145+27)&gt;'Inputs &amp; Assumptions'!$C$11,'Inputs &amp; Assumptions'!$C$12*(AE301-AE312),0)))</f>
        <v>0</v>
      </c>
      <c r="AF323" s="39" t="n">
        <f aca="false">IF(28&gt;'Inputs &amp; Assumptions'!$E$145,0,IF(28='Inputs &amp; Assumptions'!$E$145,AF301-AF312,IF(('Inputs &amp; Assumptions'!$C$145+28)&gt;'Inputs &amp; Assumptions'!$C$11,'Inputs &amp; Assumptions'!$C$12*(AF301-AF312),0)))</f>
        <v>0</v>
      </c>
      <c r="AG323" s="39" t="n">
        <f aca="false">IF(29&gt;'Inputs &amp; Assumptions'!$E$145,0,IF(29='Inputs &amp; Assumptions'!$E$145,AG301-AG312,IF(('Inputs &amp; Assumptions'!$C$145+29)&gt;'Inputs &amp; Assumptions'!$C$11,'Inputs &amp; Assumptions'!$C$12*(AG301-AG312),0)))</f>
        <v>0</v>
      </c>
      <c r="AH323" s="39" t="n">
        <f aca="false">IF(30&gt;'Inputs &amp; Assumptions'!$E$145,0,IF(30='Inputs &amp; Assumptions'!$E$145,AH301-AH312,IF(('Inputs &amp; Assumptions'!$C$145+30)&gt;'Inputs &amp; Assumptions'!$C$11,'Inputs &amp; Assumptions'!$C$12*(AH301-AH312),0)))</f>
        <v>0</v>
      </c>
      <c r="AI323" s="39" t="n">
        <f aca="false">IF(31&gt;'Inputs &amp; Assumptions'!$E$145,0,IF(31='Inputs &amp; Assumptions'!$E$145,AI301-AI312,IF(('Inputs &amp; Assumptions'!$C$145+31)&gt;'Inputs &amp; Assumptions'!$C$11,'Inputs &amp; Assumptions'!$C$12*(AI301-AI312),0)))</f>
        <v>0</v>
      </c>
      <c r="AJ323" s="39" t="n">
        <f aca="false">IF(32&gt;'Inputs &amp; Assumptions'!$E$145,0,IF(32='Inputs &amp; Assumptions'!$E$145,AJ301-AJ312,IF(('Inputs &amp; Assumptions'!$C$145+32)&gt;'Inputs &amp; Assumptions'!$C$11,'Inputs &amp; Assumptions'!$C$12*(AJ301-AJ312),0)))</f>
        <v>0</v>
      </c>
      <c r="AK323" s="39" t="n">
        <f aca="false">IF(33&gt;'Inputs &amp; Assumptions'!$E$145,0,IF(33='Inputs &amp; Assumptions'!$E$145,AK301-AK312,IF(('Inputs &amp; Assumptions'!$C$145+33)&gt;'Inputs &amp; Assumptions'!$C$11,'Inputs &amp; Assumptions'!$C$12*(AK301-AK312),0)))</f>
        <v>0</v>
      </c>
      <c r="AL323" s="39" t="n">
        <f aca="false">IF(34&gt;'Inputs &amp; Assumptions'!$E$145,0,IF(34='Inputs &amp; Assumptions'!$E$145,AL301-AL312,IF(('Inputs &amp; Assumptions'!$C$145+34)&gt;'Inputs &amp; Assumptions'!$C$11,'Inputs &amp; Assumptions'!$C$12*(AL301-AL312),0)))</f>
        <v>0</v>
      </c>
      <c r="AM323" s="39" t="n">
        <f aca="false">IF(35&gt;'Inputs &amp; Assumptions'!$E$145,0,IF(35='Inputs &amp; Assumptions'!$E$145,AM301-AM312,IF(('Inputs &amp; Assumptions'!$C$145+35)&gt;'Inputs &amp; Assumptions'!$C$11,'Inputs &amp; Assumptions'!$C$12*(AM301-AM312),0)))</f>
        <v>0</v>
      </c>
      <c r="AN323" s="39" t="n">
        <f aca="false">IF(36&gt;'Inputs &amp; Assumptions'!$E$145,0,IF(36='Inputs &amp; Assumptions'!$E$145,AN301-AN312,IF(('Inputs &amp; Assumptions'!$C$145+36)&gt;'Inputs &amp; Assumptions'!$C$11,'Inputs &amp; Assumptions'!$C$12*(AN301-AN312),0)))</f>
        <v>0</v>
      </c>
    </row>
    <row r="324" customFormat="false" ht="15" hidden="false" customHeight="false" outlineLevel="0" collapsed="false">
      <c r="B324" s="37" t="n">
        <v>7</v>
      </c>
      <c r="C324" s="38" t="n">
        <f aca="false">'Inputs &amp; Assumptions'!$C$146</f>
        <v>6</v>
      </c>
      <c r="D324" s="38" t="n">
        <f aca="false">'Inputs &amp; Assumptions'!$D$146</f>
        <v>3</v>
      </c>
      <c r="E324" s="39" t="n">
        <f aca="false">IF(1&gt;'Inputs &amp; Assumptions'!$E$146,0,IF(1='Inputs &amp; Assumptions'!$E$146,E302-E313,IF(('Inputs &amp; Assumptions'!$C$146+1)&gt;'Inputs &amp; Assumptions'!$C$11,'Inputs &amp; Assumptions'!$C$12*(E302-E313),0)))</f>
        <v>1666437.399</v>
      </c>
      <c r="F324" s="39" t="n">
        <f aca="false">IF(2&gt;'Inputs &amp; Assumptions'!$E$146,0,IF(2='Inputs &amp; Assumptions'!$E$146,F302-F313,IF(('Inputs &amp; Assumptions'!$C$146+2)&gt;'Inputs &amp; Assumptions'!$C$11,'Inputs &amp; Assumptions'!$C$12*(F302-F313),0)))</f>
        <v>1540474.22465877</v>
      </c>
      <c r="G324" s="39" t="n">
        <f aca="false">IF(3&gt;'Inputs &amp; Assumptions'!$E$146,0,IF(3='Inputs &amp; Assumptions'!$E$146,G302-G313,IF(('Inputs &amp; Assumptions'!$C$146+3)&gt;'Inputs &amp; Assumptions'!$C$11,'Inputs &amp; Assumptions'!$C$12*(G302-G313),0)))</f>
        <v>1426637.46252863</v>
      </c>
      <c r="H324" s="39" t="n">
        <f aca="false">IF(4&gt;'Inputs &amp; Assumptions'!$E$146,0,IF(4='Inputs &amp; Assumptions'!$E$146,H302-H313,IF(('Inputs &amp; Assumptions'!$C$146+4)&gt;'Inputs &amp; Assumptions'!$C$11,'Inputs &amp; Assumptions'!$C$12*(H302-H313),0)))</f>
        <v>1321212.92061278</v>
      </c>
      <c r="I324" s="39" t="n">
        <f aca="false">IF(5&gt;'Inputs &amp; Assumptions'!$E$146,0,IF(5='Inputs &amp; Assumptions'!$E$146,I302-I313,IF(('Inputs &amp; Assumptions'!$C$146+5)&gt;'Inputs &amp; Assumptions'!$C$11,'Inputs &amp; Assumptions'!$C$12*(I302-I313),0)))</f>
        <v>1223578.95922639</v>
      </c>
      <c r="J324" s="39" t="n">
        <f aca="false">IF(6&gt;'Inputs &amp; Assumptions'!$E$146,0,IF(6='Inputs &amp; Assumptions'!$E$146,J302-J313,IF(('Inputs &amp; Assumptions'!$C$146+6)&gt;'Inputs &amp; Assumptions'!$C$11,'Inputs &amp; Assumptions'!$C$12*(J302-J313),0)))</f>
        <v>1133159.87612894</v>
      </c>
      <c r="K324" s="39" t="n">
        <f aca="false">IF(7&gt;'Inputs &amp; Assumptions'!$E$146,0,IF(7='Inputs &amp; Assumptions'!$E$146,K302-K313,IF(('Inputs &amp; Assumptions'!$C$146+7)&gt;'Inputs &amp; Assumptions'!$C$11,'Inputs &amp; Assumptions'!$C$12*(K302-K313),0)))</f>
        <v>1052456.60181533</v>
      </c>
      <c r="L324" s="39" t="n">
        <f aca="false">IF(8&gt;'Inputs &amp; Assumptions'!$E$146,0,IF(8='Inputs &amp; Assumptions'!$E$146,L302-L313,IF(('Inputs &amp; Assumptions'!$C$146+8)&gt;'Inputs &amp; Assumptions'!$C$11,'Inputs &amp; Assumptions'!$C$12*(L302-L313),0)))</f>
        <v>977500.988200043</v>
      </c>
      <c r="M324" s="39" t="n">
        <f aca="false">IF(9&gt;'Inputs &amp; Assumptions'!$E$146,0,IF(9='Inputs &amp; Assumptions'!$E$146,M302-M313,IF(('Inputs &amp; Assumptions'!$C$146+9)&gt;'Inputs &amp; Assumptions'!$C$11,'Inputs &amp; Assumptions'!$C$12*(M302-M313),0)))</f>
        <v>907883.688775337</v>
      </c>
      <c r="N324" s="39" t="n">
        <f aca="false">IF(10&gt;'Inputs &amp; Assumptions'!$E$146,0,IF(10='Inputs &amp; Assumptions'!$E$146,N302-N313,IF(('Inputs &amp; Assumptions'!$C$146+10)&gt;'Inputs &amp; Assumptions'!$C$11,'Inputs &amp; Assumptions'!$C$12*(N302-N313),0)))</f>
        <v>843224.510557355</v>
      </c>
      <c r="O324" s="39" t="n">
        <f aca="false">IF(11&gt;'Inputs &amp; Assumptions'!$E$146,0,IF(11='Inputs &amp; Assumptions'!$E$146,O302-O313,IF(('Inputs &amp; Assumptions'!$C$146+11)&gt;'Inputs &amp; Assumptions'!$C$11,'Inputs &amp; Assumptions'!$C$12*(O302-O313),0)))</f>
        <v>785160.74388497</v>
      </c>
      <c r="P324" s="39" t="n">
        <f aca="false">IF(12&gt;'Inputs &amp; Assumptions'!$E$146,0,IF(12='Inputs &amp; Assumptions'!$E$146,P302-P313,IF(('Inputs &amp; Assumptions'!$C$146+12)&gt;'Inputs &amp; Assumptions'!$C$11,'Inputs &amp; Assumptions'!$C$12*(P302-P313),0)))</f>
        <v>731095.201834824</v>
      </c>
      <c r="Q324" s="39" t="n">
        <f aca="false">IF(13&gt;'Inputs &amp; Assumptions'!$E$146,0,IF(13='Inputs &amp; Assumptions'!$E$146,Q302-Q313,IF(('Inputs &amp; Assumptions'!$C$146+13)&gt;'Inputs &amp; Assumptions'!$C$11,'Inputs &amp; Assumptions'!$C$12*(Q302-Q313),0)))</f>
        <v>680752.569851108</v>
      </c>
      <c r="R324" s="39" t="n">
        <f aca="false">IF(14&gt;'Inputs &amp; Assumptions'!$E$146,0,IF(14='Inputs &amp; Assumptions'!$E$146,R302-R313,IF(('Inputs &amp; Assumptions'!$C$146+14)&gt;'Inputs &amp; Assumptions'!$C$11,'Inputs &amp; Assumptions'!$C$12*(R302-R313),0)))</f>
        <v>633876.491318554</v>
      </c>
      <c r="S324" s="39" t="n">
        <f aca="false">IF(15&gt;'Inputs &amp; Assumptions'!$E$146,0,IF(15='Inputs &amp; Assumptions'!$E$146,S302-S313,IF(('Inputs &amp; Assumptions'!$C$146+15)&gt;'Inputs &amp; Assumptions'!$C$11,'Inputs &amp; Assumptions'!$C$12*(S302-S313),0)))</f>
        <v>591233.203744693</v>
      </c>
      <c r="T324" s="39" t="n">
        <f aca="false">IF(16&gt;'Inputs &amp; Assumptions'!$E$146,0,IF(16='Inputs &amp; Assumptions'!$E$146,T302-T313,IF(('Inputs &amp; Assumptions'!$C$146+16)&gt;'Inputs &amp; Assumptions'!$C$11,'Inputs &amp; Assumptions'!$C$12*(T302-T313),0)))</f>
        <v>551458.692659646</v>
      </c>
      <c r="U324" s="39" t="n">
        <f aca="false">IF(17&gt;'Inputs &amp; Assumptions'!$E$146,0,IF(17='Inputs &amp; Assumptions'!$E$146,U302-U313,IF(('Inputs &amp; Assumptions'!$C$146+17)&gt;'Inputs &amp; Assumptions'!$C$11,'Inputs &amp; Assumptions'!$C$12*(U302-U313),0)))</f>
        <v>514359.964534749</v>
      </c>
      <c r="V324" s="39" t="n">
        <f aca="false">IF(18&gt;'Inputs &amp; Assumptions'!$E$146,0,IF(18='Inputs &amp; Assumptions'!$E$146,V302-V313,IF(('Inputs &amp; Assumptions'!$C$146+18)&gt;'Inputs &amp; Assumptions'!$C$11,'Inputs &amp; Assumptions'!$C$12*(V302-V313),0)))</f>
        <v>479757.009251599</v>
      </c>
      <c r="W324" s="39" t="n">
        <f aca="false">IF(19&gt;'Inputs &amp; Assumptions'!$E$146,0,IF(19='Inputs &amp; Assumptions'!$E$146,W302-W313,IF(('Inputs &amp; Assumptions'!$C$146+19)&gt;'Inputs &amp; Assumptions'!$C$11,'Inputs &amp; Assumptions'!$C$12*(W302-W313),0)))</f>
        <v>448174.919670484</v>
      </c>
      <c r="X324" s="39" t="n">
        <f aca="false">IF(20&gt;'Inputs &amp; Assumptions'!$E$146,0,IF(20='Inputs &amp; Assumptions'!$E$146,X302-X313,IF(('Inputs &amp; Assumptions'!$C$146+20)&gt;'Inputs &amp; Assumptions'!$C$11,'Inputs &amp; Assumptions'!$C$12*(X302-X313),0)))</f>
        <v>418671.858353835</v>
      </c>
      <c r="Y324" s="39" t="n">
        <f aca="false">IF(21&gt;'Inputs &amp; Assumptions'!$E$146,0,IF(21='Inputs &amp; Assumptions'!$E$146,Y302-Y313,IF(('Inputs &amp; Assumptions'!$C$146+21)&gt;'Inputs &amp; Assumptions'!$C$11,'Inputs &amp; Assumptions'!$C$12*(Y302-Y313),0)))</f>
        <v>391110.964233186</v>
      </c>
      <c r="Z324" s="39" t="n">
        <f aca="false">IF(22&gt;'Inputs &amp; Assumptions'!$E$146,0,IF(22='Inputs &amp; Assumptions'!$E$146,Z302-Z313,IF(('Inputs &amp; Assumptions'!$C$146+22)&gt;'Inputs &amp; Assumptions'!$C$11,'Inputs &amp; Assumptions'!$C$12*(Z302-Z313),0)))</f>
        <v>12178812.8571512</v>
      </c>
      <c r="AA324" s="39" t="n">
        <f aca="false">IF(23&gt;'Inputs &amp; Assumptions'!$E$146,0,IF(23='Inputs &amp; Assumptions'!$E$146,AA302-AA313,IF(('Inputs &amp; Assumptions'!$C$146+23)&gt;'Inputs &amp; Assumptions'!$C$11,'Inputs &amp; Assumptions'!$C$12*(AA302-AA313),0)))</f>
        <v>0</v>
      </c>
      <c r="AB324" s="39" t="n">
        <f aca="false">IF(24&gt;'Inputs &amp; Assumptions'!$E$146,0,IF(24='Inputs &amp; Assumptions'!$E$146,AB302-AB313,IF(('Inputs &amp; Assumptions'!$C$146+24)&gt;'Inputs &amp; Assumptions'!$C$11,'Inputs &amp; Assumptions'!$C$12*(AB302-AB313),0)))</f>
        <v>0</v>
      </c>
      <c r="AC324" s="39" t="n">
        <f aca="false">IF(25&gt;'Inputs &amp; Assumptions'!$E$146,0,IF(25='Inputs &amp; Assumptions'!$E$146,AC302-AC313,IF(('Inputs &amp; Assumptions'!$C$146+25)&gt;'Inputs &amp; Assumptions'!$C$11,'Inputs &amp; Assumptions'!$C$12*(AC302-AC313),0)))</f>
        <v>0</v>
      </c>
      <c r="AD324" s="39" t="n">
        <f aca="false">IF(26&gt;'Inputs &amp; Assumptions'!$E$146,0,IF(26='Inputs &amp; Assumptions'!$E$146,AD302-AD313,IF(('Inputs &amp; Assumptions'!$C$146+26)&gt;'Inputs &amp; Assumptions'!$C$11,'Inputs &amp; Assumptions'!$C$12*(AD302-AD313),0)))</f>
        <v>0</v>
      </c>
      <c r="AE324" s="39" t="n">
        <f aca="false">IF(27&gt;'Inputs &amp; Assumptions'!$E$146,0,IF(27='Inputs &amp; Assumptions'!$E$146,AE302-AE313,IF(('Inputs &amp; Assumptions'!$C$146+27)&gt;'Inputs &amp; Assumptions'!$C$11,'Inputs &amp; Assumptions'!$C$12*(AE302-AE313),0)))</f>
        <v>0</v>
      </c>
      <c r="AF324" s="39" t="n">
        <f aca="false">IF(28&gt;'Inputs &amp; Assumptions'!$E$146,0,IF(28='Inputs &amp; Assumptions'!$E$146,AF302-AF313,IF(('Inputs &amp; Assumptions'!$C$146+28)&gt;'Inputs &amp; Assumptions'!$C$11,'Inputs &amp; Assumptions'!$C$12*(AF302-AF313),0)))</f>
        <v>0</v>
      </c>
      <c r="AG324" s="39" t="n">
        <f aca="false">IF(29&gt;'Inputs &amp; Assumptions'!$E$146,0,IF(29='Inputs &amp; Assumptions'!$E$146,AG302-AG313,IF(('Inputs &amp; Assumptions'!$C$146+29)&gt;'Inputs &amp; Assumptions'!$C$11,'Inputs &amp; Assumptions'!$C$12*(AG302-AG313),0)))</f>
        <v>0</v>
      </c>
      <c r="AH324" s="39" t="n">
        <f aca="false">IF(30&gt;'Inputs &amp; Assumptions'!$E$146,0,IF(30='Inputs &amp; Assumptions'!$E$146,AH302-AH313,IF(('Inputs &amp; Assumptions'!$C$146+30)&gt;'Inputs &amp; Assumptions'!$C$11,'Inputs &amp; Assumptions'!$C$12*(AH302-AH313),0)))</f>
        <v>0</v>
      </c>
      <c r="AI324" s="39" t="n">
        <f aca="false">IF(31&gt;'Inputs &amp; Assumptions'!$E$146,0,IF(31='Inputs &amp; Assumptions'!$E$146,AI302-AI313,IF(('Inputs &amp; Assumptions'!$C$146+31)&gt;'Inputs &amp; Assumptions'!$C$11,'Inputs &amp; Assumptions'!$C$12*(AI302-AI313),0)))</f>
        <v>0</v>
      </c>
      <c r="AJ324" s="39" t="n">
        <f aca="false">IF(32&gt;'Inputs &amp; Assumptions'!$E$146,0,IF(32='Inputs &amp; Assumptions'!$E$146,AJ302-AJ313,IF(('Inputs &amp; Assumptions'!$C$146+32)&gt;'Inputs &amp; Assumptions'!$C$11,'Inputs &amp; Assumptions'!$C$12*(AJ302-AJ313),0)))</f>
        <v>0</v>
      </c>
      <c r="AK324" s="39" t="n">
        <f aca="false">IF(33&gt;'Inputs &amp; Assumptions'!$E$146,0,IF(33='Inputs &amp; Assumptions'!$E$146,AK302-AK313,IF(('Inputs &amp; Assumptions'!$C$146+33)&gt;'Inputs &amp; Assumptions'!$C$11,'Inputs &amp; Assumptions'!$C$12*(AK302-AK313),0)))</f>
        <v>0</v>
      </c>
      <c r="AL324" s="39" t="n">
        <f aca="false">IF(34&gt;'Inputs &amp; Assumptions'!$E$146,0,IF(34='Inputs &amp; Assumptions'!$E$146,AL302-AL313,IF(('Inputs &amp; Assumptions'!$C$146+34)&gt;'Inputs &amp; Assumptions'!$C$11,'Inputs &amp; Assumptions'!$C$12*(AL302-AL313),0)))</f>
        <v>0</v>
      </c>
      <c r="AM324" s="39" t="n">
        <f aca="false">IF(35&gt;'Inputs &amp; Assumptions'!$E$146,0,IF(35='Inputs &amp; Assumptions'!$E$146,AM302-AM313,IF(('Inputs &amp; Assumptions'!$C$146+35)&gt;'Inputs &amp; Assumptions'!$C$11,'Inputs &amp; Assumptions'!$C$12*(AM302-AM313),0)))</f>
        <v>0</v>
      </c>
      <c r="AN324" s="39" t="n">
        <f aca="false">IF(36&gt;'Inputs &amp; Assumptions'!$E$146,0,IF(36='Inputs &amp; Assumptions'!$E$146,AN302-AN313,IF(('Inputs &amp; Assumptions'!$C$146+36)&gt;'Inputs &amp; Assumptions'!$C$11,'Inputs &amp; Assumptions'!$C$12*(AN302-AN313),0)))</f>
        <v>0</v>
      </c>
    </row>
    <row r="325" customFormat="false" ht="15" hidden="false" customHeight="false" outlineLevel="0" collapsed="false">
      <c r="B325" s="37" t="n">
        <v>8</v>
      </c>
      <c r="C325" s="38" t="n">
        <f aca="false">'Inputs &amp; Assumptions'!$C$147</f>
        <v>7</v>
      </c>
      <c r="D325" s="38" t="n">
        <f aca="false">'Inputs &amp; Assumptions'!$D$147</f>
        <v>3</v>
      </c>
      <c r="E325" s="39" t="n">
        <f aca="false">IF(1&gt;'Inputs &amp; Assumptions'!$E$147,0,IF(1='Inputs &amp; Assumptions'!$E$147,E303-E314,IF(('Inputs &amp; Assumptions'!$C$147+1)&gt;'Inputs &amp; Assumptions'!$C$11,'Inputs &amp; Assumptions'!$C$12*(E303-E314),0)))</f>
        <v>1616444.27703</v>
      </c>
      <c r="F325" s="39" t="n">
        <f aca="false">IF(2&gt;'Inputs &amp; Assumptions'!$E$147,0,IF(2='Inputs &amp; Assumptions'!$E$147,F303-F314,IF(('Inputs &amp; Assumptions'!$C$147+2)&gt;'Inputs &amp; Assumptions'!$C$11,'Inputs &amp; Assumptions'!$C$12*(F303-F314),0)))</f>
        <v>1496993.53925368</v>
      </c>
      <c r="G325" s="39" t="n">
        <f aca="false">IF(3&gt;'Inputs &amp; Assumptions'!$E$147,0,IF(3='Inputs &amp; Assumptions'!$E$147,G303-G314,IF(('Inputs &amp; Assumptions'!$C$147+3)&gt;'Inputs &amp; Assumptions'!$C$11,'Inputs &amp; Assumptions'!$C$12*(G303-G314),0)))</f>
        <v>1386369.87888304</v>
      </c>
      <c r="H325" s="39" t="n">
        <f aca="false">IF(4&gt;'Inputs &amp; Assumptions'!$E$147,0,IF(4='Inputs &amp; Assumptions'!$E$147,H303-H314,IF(('Inputs &amp; Assumptions'!$C$147+4)&gt;'Inputs &amp; Assumptions'!$C$11,'Inputs &amp; Assumptions'!$C$12*(H303-H314),0)))</f>
        <v>1283920.99944025</v>
      </c>
      <c r="I325" s="39" t="n">
        <f aca="false">IF(5&gt;'Inputs &amp; Assumptions'!$E$147,0,IF(5='Inputs &amp; Assumptions'!$E$147,I303-I314,IF(('Inputs &amp; Assumptions'!$C$147+5)&gt;'Inputs &amp; Assumptions'!$C$11,'Inputs &amp; Assumptions'!$C$12*(I303-I314),0)))</f>
        <v>1189042.80734356</v>
      </c>
      <c r="J325" s="39" t="n">
        <f aca="false">IF(6&gt;'Inputs &amp; Assumptions'!$E$147,0,IF(6='Inputs &amp; Assumptions'!$E$147,J303-J314,IF(('Inputs &amp; Assumptions'!$C$147+6)&gt;'Inputs &amp; Assumptions'!$C$11,'Inputs &amp; Assumptions'!$C$12*(J303-J314),0)))</f>
        <v>1104359.56901757</v>
      </c>
      <c r="K325" s="39" t="n">
        <f aca="false">IF(7&gt;'Inputs &amp; Assumptions'!$E$147,0,IF(7='Inputs &amp; Assumptions'!$E$147,K303-K314,IF(('Inputs &amp; Assumptions'!$C$147+7)&gt;'Inputs &amp; Assumptions'!$C$11,'Inputs &amp; Assumptions'!$C$12*(K303-K314),0)))</f>
        <v>1025707.44312008</v>
      </c>
      <c r="L325" s="39" t="n">
        <f aca="false">IF(8&gt;'Inputs &amp; Assumptions'!$E$147,0,IF(8='Inputs &amp; Assumptions'!$E$147,L303-L314,IF(('Inputs &amp; Assumptions'!$C$147+8)&gt;'Inputs &amp; Assumptions'!$C$11,'Inputs &amp; Assumptions'!$C$12*(L303-L314),0)))</f>
        <v>952656.895804183</v>
      </c>
      <c r="M325" s="39" t="n">
        <f aca="false">IF(9&gt;'Inputs &amp; Assumptions'!$E$147,0,IF(9='Inputs &amp; Assumptions'!$E$147,M303-M314,IF(('Inputs &amp; Assumptions'!$C$147+9)&gt;'Inputs &amp; Assumptions'!$C$11,'Inputs &amp; Assumptions'!$C$12*(M303-M314),0)))</f>
        <v>884808.984482543</v>
      </c>
      <c r="N325" s="39" t="n">
        <f aca="false">IF(10&gt;'Inputs &amp; Assumptions'!$E$147,0,IF(10='Inputs &amp; Assumptions'!$E$147,N303-N314,IF(('Inputs &amp; Assumptions'!$C$147+10)&gt;'Inputs &amp; Assumptions'!$C$11,'Inputs &amp; Assumptions'!$C$12*(N303-N314),0)))</f>
        <v>823881.744131494</v>
      </c>
      <c r="O325" s="39" t="n">
        <f aca="false">IF(11&gt;'Inputs &amp; Assumptions'!$E$147,0,IF(11='Inputs &amp; Assumptions'!$E$147,O303-O314,IF(('Inputs &amp; Assumptions'!$C$147+11)&gt;'Inputs &amp; Assumptions'!$C$11,'Inputs &amp; Assumptions'!$C$12*(O303-O314),0)))</f>
        <v>767149.904914357</v>
      </c>
      <c r="P325" s="39" t="n">
        <f aca="false">IF(12&gt;'Inputs &amp; Assumptions'!$E$147,0,IF(12='Inputs &amp; Assumptions'!$E$147,P303-P314,IF(('Inputs &amp; Assumptions'!$C$147+12)&gt;'Inputs &amp; Assumptions'!$C$11,'Inputs &amp; Assumptions'!$C$12*(P303-P314),0)))</f>
        <v>714324.574858134</v>
      </c>
      <c r="Q325" s="39" t="n">
        <f aca="false">IF(13&gt;'Inputs &amp; Assumptions'!$E$147,0,IF(13='Inputs &amp; Assumptions'!$E$147,Q303-Q314,IF(('Inputs &amp; Assumptions'!$C$147+13)&gt;'Inputs &amp; Assumptions'!$C$11,'Inputs &amp; Assumptions'!$C$12*(Q303-Q314),0)))</f>
        <v>665136.75486047</v>
      </c>
      <c r="R325" s="39" t="n">
        <f aca="false">IF(14&gt;'Inputs &amp; Assumptions'!$E$147,0,IF(14='Inputs &amp; Assumptions'!$E$147,R303-R314,IF(('Inputs &amp; Assumptions'!$C$147+14)&gt;'Inputs &amp; Assumptions'!$C$11,'Inputs &amp; Assumptions'!$C$12*(R303-R314),0)))</f>
        <v>620390.470210507</v>
      </c>
      <c r="S325" s="39" t="n">
        <f aca="false">IF(15&gt;'Inputs &amp; Assumptions'!$E$147,0,IF(15='Inputs &amp; Assumptions'!$E$147,S303-S314,IF(('Inputs &amp; Assumptions'!$C$147+15)&gt;'Inputs &amp; Assumptions'!$C$11,'Inputs &amp; Assumptions'!$C$12*(S303-S314),0)))</f>
        <v>578654.438678184</v>
      </c>
      <c r="T325" s="39" t="n">
        <f aca="false">IF(16&gt;'Inputs &amp; Assumptions'!$E$147,0,IF(16='Inputs &amp; Assumptions'!$E$147,T303-T314,IF(('Inputs &amp; Assumptions'!$C$147+16)&gt;'Inputs &amp; Assumptions'!$C$11,'Inputs &amp; Assumptions'!$C$12*(T303-T314),0)))</f>
        <v>539726.149062779</v>
      </c>
      <c r="U325" s="39" t="n">
        <f aca="false">IF(17&gt;'Inputs &amp; Assumptions'!$E$147,0,IF(17='Inputs &amp; Assumptions'!$E$147,U303-U314,IF(('Inputs &amp; Assumptions'!$C$147+17)&gt;'Inputs &amp; Assumptions'!$C$11,'Inputs &amp; Assumptions'!$C$12*(U303-U314),0)))</f>
        <v>503416.713863912</v>
      </c>
      <c r="V325" s="39" t="n">
        <f aca="false">IF(18&gt;'Inputs &amp; Assumptions'!$E$147,0,IF(18='Inputs &amp; Assumptions'!$E$147,V303-V314,IF(('Inputs &amp; Assumptions'!$C$147+18)&gt;'Inputs &amp; Assumptions'!$C$11,'Inputs &amp; Assumptions'!$C$12*(V303-V314),0)))</f>
        <v>470277.121430062</v>
      </c>
      <c r="W325" s="39" t="n">
        <f aca="false">IF(19&gt;'Inputs &amp; Assumptions'!$E$147,0,IF(19='Inputs &amp; Assumptions'!$E$147,W303-W314,IF(('Inputs &amp; Assumptions'!$C$147+19)&gt;'Inputs &amp; Assumptions'!$C$11,'Inputs &amp; Assumptions'!$C$12*(W303-W314),0)))</f>
        <v>439319.086652995</v>
      </c>
      <c r="X325" s="39" t="n">
        <f aca="false">IF(20&gt;'Inputs &amp; Assumptions'!$E$147,0,IF(20='Inputs &amp; Assumptions'!$E$147,X303-X314,IF(('Inputs &amp; Assumptions'!$C$147+20)&gt;'Inputs &amp; Assumptions'!$C$11,'Inputs &amp; Assumptions'!$C$12*(X303-X314),0)))</f>
        <v>410398.999021524</v>
      </c>
      <c r="Y325" s="39" t="n">
        <f aca="false">IF(21&gt;'Inputs &amp; Assumptions'!$E$147,0,IF(21='Inputs &amp; Assumptions'!$E$147,Y303-Y314,IF(('Inputs &amp; Assumptions'!$C$147+21)&gt;'Inputs &amp; Assumptions'!$C$11,'Inputs &amp; Assumptions'!$C$12*(Y303-Y314),0)))</f>
        <v>12779423.3936775</v>
      </c>
      <c r="Z325" s="39" t="n">
        <f aca="false">IF(22&gt;'Inputs &amp; Assumptions'!$E$147,0,IF(22='Inputs &amp; Assumptions'!$E$147,Z303-Z314,IF(('Inputs &amp; Assumptions'!$C$147+22)&gt;'Inputs &amp; Assumptions'!$C$11,'Inputs &amp; Assumptions'!$C$12*(Z303-Z314),0)))</f>
        <v>0</v>
      </c>
      <c r="AA325" s="39" t="n">
        <f aca="false">IF(23&gt;'Inputs &amp; Assumptions'!$E$147,0,IF(23='Inputs &amp; Assumptions'!$E$147,AA303-AA314,IF(('Inputs &amp; Assumptions'!$C$147+23)&gt;'Inputs &amp; Assumptions'!$C$11,'Inputs &amp; Assumptions'!$C$12*(AA303-AA314),0)))</f>
        <v>0</v>
      </c>
      <c r="AB325" s="39" t="n">
        <f aca="false">IF(24&gt;'Inputs &amp; Assumptions'!$E$147,0,IF(24='Inputs &amp; Assumptions'!$E$147,AB303-AB314,IF(('Inputs &amp; Assumptions'!$C$147+24)&gt;'Inputs &amp; Assumptions'!$C$11,'Inputs &amp; Assumptions'!$C$12*(AB303-AB314),0)))</f>
        <v>0</v>
      </c>
      <c r="AC325" s="39" t="n">
        <f aca="false">IF(25&gt;'Inputs &amp; Assumptions'!$E$147,0,IF(25='Inputs &amp; Assumptions'!$E$147,AC303-AC314,IF(('Inputs &amp; Assumptions'!$C$147+25)&gt;'Inputs &amp; Assumptions'!$C$11,'Inputs &amp; Assumptions'!$C$12*(AC303-AC314),0)))</f>
        <v>0</v>
      </c>
      <c r="AD325" s="39" t="n">
        <f aca="false">IF(26&gt;'Inputs &amp; Assumptions'!$E$147,0,IF(26='Inputs &amp; Assumptions'!$E$147,AD303-AD314,IF(('Inputs &amp; Assumptions'!$C$147+26)&gt;'Inputs &amp; Assumptions'!$C$11,'Inputs &amp; Assumptions'!$C$12*(AD303-AD314),0)))</f>
        <v>0</v>
      </c>
      <c r="AE325" s="39" t="n">
        <f aca="false">IF(27&gt;'Inputs &amp; Assumptions'!$E$147,0,IF(27='Inputs &amp; Assumptions'!$E$147,AE303-AE314,IF(('Inputs &amp; Assumptions'!$C$147+27)&gt;'Inputs &amp; Assumptions'!$C$11,'Inputs &amp; Assumptions'!$C$12*(AE303-AE314),0)))</f>
        <v>0</v>
      </c>
      <c r="AF325" s="39" t="n">
        <f aca="false">IF(28&gt;'Inputs &amp; Assumptions'!$E$147,0,IF(28='Inputs &amp; Assumptions'!$E$147,AF303-AF314,IF(('Inputs &amp; Assumptions'!$C$147+28)&gt;'Inputs &amp; Assumptions'!$C$11,'Inputs &amp; Assumptions'!$C$12*(AF303-AF314),0)))</f>
        <v>0</v>
      </c>
      <c r="AG325" s="39" t="n">
        <f aca="false">IF(29&gt;'Inputs &amp; Assumptions'!$E$147,0,IF(29='Inputs &amp; Assumptions'!$E$147,AG303-AG314,IF(('Inputs &amp; Assumptions'!$C$147+29)&gt;'Inputs &amp; Assumptions'!$C$11,'Inputs &amp; Assumptions'!$C$12*(AG303-AG314),0)))</f>
        <v>0</v>
      </c>
      <c r="AH325" s="39" t="n">
        <f aca="false">IF(30&gt;'Inputs &amp; Assumptions'!$E$147,0,IF(30='Inputs &amp; Assumptions'!$E$147,AH303-AH314,IF(('Inputs &amp; Assumptions'!$C$147+30)&gt;'Inputs &amp; Assumptions'!$C$11,'Inputs &amp; Assumptions'!$C$12*(AH303-AH314),0)))</f>
        <v>0</v>
      </c>
      <c r="AI325" s="39" t="n">
        <f aca="false">IF(31&gt;'Inputs &amp; Assumptions'!$E$147,0,IF(31='Inputs &amp; Assumptions'!$E$147,AI303-AI314,IF(('Inputs &amp; Assumptions'!$C$147+31)&gt;'Inputs &amp; Assumptions'!$C$11,'Inputs &amp; Assumptions'!$C$12*(AI303-AI314),0)))</f>
        <v>0</v>
      </c>
      <c r="AJ325" s="39" t="n">
        <f aca="false">IF(32&gt;'Inputs &amp; Assumptions'!$E$147,0,IF(32='Inputs &amp; Assumptions'!$E$147,AJ303-AJ314,IF(('Inputs &amp; Assumptions'!$C$147+32)&gt;'Inputs &amp; Assumptions'!$C$11,'Inputs &amp; Assumptions'!$C$12*(AJ303-AJ314),0)))</f>
        <v>0</v>
      </c>
      <c r="AK325" s="39" t="n">
        <f aca="false">IF(33&gt;'Inputs &amp; Assumptions'!$E$147,0,IF(33='Inputs &amp; Assumptions'!$E$147,AK303-AK314,IF(('Inputs &amp; Assumptions'!$C$147+33)&gt;'Inputs &amp; Assumptions'!$C$11,'Inputs &amp; Assumptions'!$C$12*(AK303-AK314),0)))</f>
        <v>0</v>
      </c>
      <c r="AL325" s="39" t="n">
        <f aca="false">IF(34&gt;'Inputs &amp; Assumptions'!$E$147,0,IF(34='Inputs &amp; Assumptions'!$E$147,AL303-AL314,IF(('Inputs &amp; Assumptions'!$C$147+34)&gt;'Inputs &amp; Assumptions'!$C$11,'Inputs &amp; Assumptions'!$C$12*(AL303-AL314),0)))</f>
        <v>0</v>
      </c>
      <c r="AM325" s="39" t="n">
        <f aca="false">IF(35&gt;'Inputs &amp; Assumptions'!$E$147,0,IF(35='Inputs &amp; Assumptions'!$E$147,AM303-AM314,IF(('Inputs &amp; Assumptions'!$C$147+35)&gt;'Inputs &amp; Assumptions'!$C$11,'Inputs &amp; Assumptions'!$C$12*(AM303-AM314),0)))</f>
        <v>0</v>
      </c>
      <c r="AN325" s="39" t="n">
        <f aca="false">IF(36&gt;'Inputs &amp; Assumptions'!$E$147,0,IF(36='Inputs &amp; Assumptions'!$E$147,AN303-AN314,IF(('Inputs &amp; Assumptions'!$C$147+36)&gt;'Inputs &amp; Assumptions'!$C$11,'Inputs &amp; Assumptions'!$C$12*(AN303-AN314),0)))</f>
        <v>0</v>
      </c>
    </row>
    <row r="326" customFormat="false" ht="15" hidden="false" customHeight="false" outlineLevel="0" collapsed="false">
      <c r="B326" s="37" t="n">
        <v>9</v>
      </c>
      <c r="C326" s="38" t="n">
        <f aca="false">'Inputs &amp; Assumptions'!$C$148</f>
        <v>8</v>
      </c>
      <c r="D326" s="38" t="n">
        <f aca="false">'Inputs &amp; Assumptions'!$D$148</f>
        <v>3</v>
      </c>
      <c r="E326" s="39" t="n">
        <f aca="false">IF(1&gt;'Inputs &amp; Assumptions'!$E$148,0,IF(1='Inputs &amp; Assumptions'!$E$148,E304-E315,IF(('Inputs &amp; Assumptions'!$C$148+1)&gt;'Inputs &amp; Assumptions'!$C$11,'Inputs &amp; Assumptions'!$C$12*(E304-E315),0)))</f>
        <v>1570819.2974235</v>
      </c>
      <c r="F326" s="39" t="n">
        <f aca="false">IF(2&gt;'Inputs &amp; Assumptions'!$E$148,0,IF(2='Inputs &amp; Assumptions'!$E$148,F304-F315,IF(('Inputs &amp; Assumptions'!$C$148+2)&gt;'Inputs &amp; Assumptions'!$C$11,'Inputs &amp; Assumptions'!$C$12*(F304-F315),0)))</f>
        <v>1454740.11878626</v>
      </c>
      <c r="G326" s="39" t="n">
        <f aca="false">IF(3&gt;'Inputs &amp; Assumptions'!$E$148,0,IF(3='Inputs &amp; Assumptions'!$E$148,G304-G315,IF(('Inputs &amp; Assumptions'!$C$148+3)&gt;'Inputs &amp; Assumptions'!$C$11,'Inputs &amp; Assumptions'!$C$12*(G304-G315),0)))</f>
        <v>1347238.86870846</v>
      </c>
      <c r="H326" s="39" t="n">
        <f aca="false">IF(4&gt;'Inputs &amp; Assumptions'!$E$148,0,IF(4='Inputs &amp; Assumptions'!$E$148,H304-H315,IF(('Inputs &amp; Assumptions'!$C$148+4)&gt;'Inputs &amp; Assumptions'!$C$11,'Inputs &amp; Assumptions'!$C$12*(H304-H315),0)))</f>
        <v>1247681.66211929</v>
      </c>
      <c r="I326" s="39" t="n">
        <f aca="false">IF(5&gt;'Inputs &amp; Assumptions'!$E$148,0,IF(5='Inputs &amp; Assumptions'!$E$148,I304-I315,IF(('Inputs &amp; Assumptions'!$C$148+5)&gt;'Inputs &amp; Assumptions'!$C$11,'Inputs &amp; Assumptions'!$C$12*(I304-I315),0)))</f>
        <v>1158822.18380979</v>
      </c>
      <c r="J326" s="39" t="n">
        <f aca="false">IF(6&gt;'Inputs &amp; Assumptions'!$E$148,0,IF(6='Inputs &amp; Assumptions'!$E$148,J304-J315,IF(('Inputs &amp; Assumptions'!$C$148+6)&gt;'Inputs &amp; Assumptions'!$C$11,'Inputs &amp; Assumptions'!$C$12*(J304-J315),0)))</f>
        <v>1076291.24836917</v>
      </c>
      <c r="K326" s="39" t="n">
        <f aca="false">IF(7&gt;'Inputs &amp; Assumptions'!$E$148,0,IF(7='Inputs &amp; Assumptions'!$E$148,K304-K315,IF(('Inputs &amp; Assumptions'!$C$148+7)&gt;'Inputs &amp; Assumptions'!$C$11,'Inputs &amp; Assumptions'!$C$12*(K304-K315),0)))</f>
        <v>999638.139052241</v>
      </c>
      <c r="L326" s="39" t="n">
        <f aca="false">IF(8&gt;'Inputs &amp; Assumptions'!$E$148,0,IF(8='Inputs &amp; Assumptions'!$E$148,L304-L315,IF(('Inputs &amp; Assumptions'!$C$148+8)&gt;'Inputs &amp; Assumptions'!$C$11,'Inputs &amp; Assumptions'!$C$12*(L304-L315),0)))</f>
        <v>928444.239012403</v>
      </c>
      <c r="M326" s="39" t="n">
        <f aca="false">IF(9&gt;'Inputs &amp; Assumptions'!$E$148,0,IF(9='Inputs &amp; Assumptions'!$E$148,M304-M315,IF(('Inputs &amp; Assumptions'!$C$148+9)&gt;'Inputs &amp; Assumptions'!$C$11,'Inputs &amp; Assumptions'!$C$12*(M304-M315),0)))</f>
        <v>864512.309867337</v>
      </c>
      <c r="N326" s="39" t="n">
        <f aca="false">IF(10&gt;'Inputs &amp; Assumptions'!$E$148,0,IF(10='Inputs &amp; Assumptions'!$E$148,N304-N315,IF(('Inputs &amp; Assumptions'!$C$148+10)&gt;'Inputs &amp; Assumptions'!$C$11,'Inputs &amp; Assumptions'!$C$12*(N304-N315),0)))</f>
        <v>804982.682327973</v>
      </c>
      <c r="O326" s="39" t="n">
        <f aca="false">IF(11&gt;'Inputs &amp; Assumptions'!$E$148,0,IF(11='Inputs &amp; Assumptions'!$E$148,O304-O315,IF(('Inputs &amp; Assumptions'!$C$148+11)&gt;'Inputs &amp; Assumptions'!$C$11,'Inputs &amp; Assumptions'!$C$12*(O304-O315),0)))</f>
        <v>749552.217419989</v>
      </c>
      <c r="P326" s="39" t="n">
        <f aca="false">IF(12&gt;'Inputs &amp; Assumptions'!$E$148,0,IF(12='Inputs &amp; Assumptions'!$E$148,P304-P315,IF(('Inputs &amp; Assumptions'!$C$148+12)&gt;'Inputs &amp; Assumptions'!$C$11,'Inputs &amp; Assumptions'!$C$12*(P304-P315),0)))</f>
        <v>697938.650076843</v>
      </c>
      <c r="Q326" s="39" t="n">
        <f aca="false">IF(13&gt;'Inputs &amp; Assumptions'!$E$148,0,IF(13='Inputs &amp; Assumptions'!$E$148,Q304-Q315,IF(('Inputs &amp; Assumptions'!$C$148+13)&gt;'Inputs &amp; Assumptions'!$C$11,'Inputs &amp; Assumptions'!$C$12*(Q304-Q315),0)))</f>
        <v>650985.65691215</v>
      </c>
      <c r="R326" s="39" t="n">
        <f aca="false">IF(14&gt;'Inputs &amp; Assumptions'!$E$148,0,IF(14='Inputs &amp; Assumptions'!$E$148,R304-R315,IF(('Inputs &amp; Assumptions'!$C$148+14)&gt;'Inputs &amp; Assumptions'!$C$11,'Inputs &amp; Assumptions'!$C$12*(R304-R315),0)))</f>
        <v>607191.370557693</v>
      </c>
      <c r="S326" s="39" t="n">
        <f aca="false">IF(15&gt;'Inputs &amp; Assumptions'!$E$148,0,IF(15='Inputs &amp; Assumptions'!$E$148,S304-S315,IF(('Inputs &amp; Assumptions'!$C$148+15)&gt;'Inputs &amp; Assumptions'!$C$11,'Inputs &amp; Assumptions'!$C$12*(S304-S315),0)))</f>
        <v>566343.29276702</v>
      </c>
      <c r="T326" s="39" t="n">
        <f aca="false">IF(16&gt;'Inputs &amp; Assumptions'!$E$148,0,IF(16='Inputs &amp; Assumptions'!$E$148,T304-T315,IF(('Inputs &amp; Assumptions'!$C$148+16)&gt;'Inputs &amp; Assumptions'!$C$11,'Inputs &amp; Assumptions'!$C$12*(T304-T315),0)))</f>
        <v>528243.220860655</v>
      </c>
      <c r="U326" s="39" t="n">
        <f aca="false">IF(17&gt;'Inputs &amp; Assumptions'!$E$148,0,IF(17='Inputs &amp; Assumptions'!$E$148,U304-U315,IF(('Inputs &amp; Assumptions'!$C$148+17)&gt;'Inputs &amp; Assumptions'!$C$11,'Inputs &amp; Assumptions'!$C$12*(U304-U315),0)))</f>
        <v>493469.315737595</v>
      </c>
      <c r="V326" s="39" t="n">
        <f aca="false">IF(18&gt;'Inputs &amp; Assumptions'!$E$148,0,IF(18='Inputs &amp; Assumptions'!$E$148,V304-V315,IF(('Inputs &amp; Assumptions'!$C$148+18)&gt;'Inputs &amp; Assumptions'!$C$11,'Inputs &amp; Assumptions'!$C$12*(V304-V315),0)))</f>
        <v>460984.554004843</v>
      </c>
      <c r="W326" s="39" t="n">
        <f aca="false">IF(19&gt;'Inputs &amp; Assumptions'!$E$148,0,IF(19='Inputs &amp; Assumptions'!$E$148,W304-W315,IF(('Inputs &amp; Assumptions'!$C$148+19)&gt;'Inputs &amp; Assumptions'!$C$11,'Inputs &amp; Assumptions'!$C$12*(W304-W315),0)))</f>
        <v>430638.242852865</v>
      </c>
      <c r="X326" s="39" t="n">
        <f aca="false">IF(20&gt;'Inputs &amp; Assumptions'!$E$148,0,IF(20='Inputs &amp; Assumptions'!$E$148,X304-X315,IF(('Inputs &amp; Assumptions'!$C$148+20)&gt;'Inputs &amp; Assumptions'!$C$11,'Inputs &amp; Assumptions'!$C$12*(X304-X315),0)))</f>
        <v>13409653.6493683</v>
      </c>
      <c r="Y326" s="39" t="n">
        <f aca="false">IF(21&gt;'Inputs &amp; Assumptions'!$E$148,0,IF(21='Inputs &amp; Assumptions'!$E$148,Y304-Y315,IF(('Inputs &amp; Assumptions'!$C$148+21)&gt;'Inputs &amp; Assumptions'!$C$11,'Inputs &amp; Assumptions'!$C$12*(Y304-Y315),0)))</f>
        <v>0</v>
      </c>
      <c r="Z326" s="39" t="n">
        <f aca="false">IF(22&gt;'Inputs &amp; Assumptions'!$E$148,0,IF(22='Inputs &amp; Assumptions'!$E$148,Z304-Z315,IF(('Inputs &amp; Assumptions'!$C$148+22)&gt;'Inputs &amp; Assumptions'!$C$11,'Inputs &amp; Assumptions'!$C$12*(Z304-Z315),0)))</f>
        <v>0</v>
      </c>
      <c r="AA326" s="39" t="n">
        <f aca="false">IF(23&gt;'Inputs &amp; Assumptions'!$E$148,0,IF(23='Inputs &amp; Assumptions'!$E$148,AA304-AA315,IF(('Inputs &amp; Assumptions'!$C$148+23)&gt;'Inputs &amp; Assumptions'!$C$11,'Inputs &amp; Assumptions'!$C$12*(AA304-AA315),0)))</f>
        <v>0</v>
      </c>
      <c r="AB326" s="39" t="n">
        <f aca="false">IF(24&gt;'Inputs &amp; Assumptions'!$E$148,0,IF(24='Inputs &amp; Assumptions'!$E$148,AB304-AB315,IF(('Inputs &amp; Assumptions'!$C$148+24)&gt;'Inputs &amp; Assumptions'!$C$11,'Inputs &amp; Assumptions'!$C$12*(AB304-AB315),0)))</f>
        <v>0</v>
      </c>
      <c r="AC326" s="39" t="n">
        <f aca="false">IF(25&gt;'Inputs &amp; Assumptions'!$E$148,0,IF(25='Inputs &amp; Assumptions'!$E$148,AC304-AC315,IF(('Inputs &amp; Assumptions'!$C$148+25)&gt;'Inputs &amp; Assumptions'!$C$11,'Inputs &amp; Assumptions'!$C$12*(AC304-AC315),0)))</f>
        <v>0</v>
      </c>
      <c r="AD326" s="39" t="n">
        <f aca="false">IF(26&gt;'Inputs &amp; Assumptions'!$E$148,0,IF(26='Inputs &amp; Assumptions'!$E$148,AD304-AD315,IF(('Inputs &amp; Assumptions'!$C$148+26)&gt;'Inputs &amp; Assumptions'!$C$11,'Inputs &amp; Assumptions'!$C$12*(AD304-AD315),0)))</f>
        <v>0</v>
      </c>
      <c r="AE326" s="39" t="n">
        <f aca="false">IF(27&gt;'Inputs &amp; Assumptions'!$E$148,0,IF(27='Inputs &amp; Assumptions'!$E$148,AE304-AE315,IF(('Inputs &amp; Assumptions'!$C$148+27)&gt;'Inputs &amp; Assumptions'!$C$11,'Inputs &amp; Assumptions'!$C$12*(AE304-AE315),0)))</f>
        <v>0</v>
      </c>
      <c r="AF326" s="39" t="n">
        <f aca="false">IF(28&gt;'Inputs &amp; Assumptions'!$E$148,0,IF(28='Inputs &amp; Assumptions'!$E$148,AF304-AF315,IF(('Inputs &amp; Assumptions'!$C$148+28)&gt;'Inputs &amp; Assumptions'!$C$11,'Inputs &amp; Assumptions'!$C$12*(AF304-AF315),0)))</f>
        <v>0</v>
      </c>
      <c r="AG326" s="39" t="n">
        <f aca="false">IF(29&gt;'Inputs &amp; Assumptions'!$E$148,0,IF(29='Inputs &amp; Assumptions'!$E$148,AG304-AG315,IF(('Inputs &amp; Assumptions'!$C$148+29)&gt;'Inputs &amp; Assumptions'!$C$11,'Inputs &amp; Assumptions'!$C$12*(AG304-AG315),0)))</f>
        <v>0</v>
      </c>
      <c r="AH326" s="39" t="n">
        <f aca="false">IF(30&gt;'Inputs &amp; Assumptions'!$E$148,0,IF(30='Inputs &amp; Assumptions'!$E$148,AH304-AH315,IF(('Inputs &amp; Assumptions'!$C$148+30)&gt;'Inputs &amp; Assumptions'!$C$11,'Inputs &amp; Assumptions'!$C$12*(AH304-AH315),0)))</f>
        <v>0</v>
      </c>
      <c r="AI326" s="39" t="n">
        <f aca="false">IF(31&gt;'Inputs &amp; Assumptions'!$E$148,0,IF(31='Inputs &amp; Assumptions'!$E$148,AI304-AI315,IF(('Inputs &amp; Assumptions'!$C$148+31)&gt;'Inputs &amp; Assumptions'!$C$11,'Inputs &amp; Assumptions'!$C$12*(AI304-AI315),0)))</f>
        <v>0</v>
      </c>
      <c r="AJ326" s="39" t="n">
        <f aca="false">IF(32&gt;'Inputs &amp; Assumptions'!$E$148,0,IF(32='Inputs &amp; Assumptions'!$E$148,AJ304-AJ315,IF(('Inputs &amp; Assumptions'!$C$148+32)&gt;'Inputs &amp; Assumptions'!$C$11,'Inputs &amp; Assumptions'!$C$12*(AJ304-AJ315),0)))</f>
        <v>0</v>
      </c>
      <c r="AK326" s="39" t="n">
        <f aca="false">IF(33&gt;'Inputs &amp; Assumptions'!$E$148,0,IF(33='Inputs &amp; Assumptions'!$E$148,AK304-AK315,IF(('Inputs &amp; Assumptions'!$C$148+33)&gt;'Inputs &amp; Assumptions'!$C$11,'Inputs &amp; Assumptions'!$C$12*(AK304-AK315),0)))</f>
        <v>0</v>
      </c>
      <c r="AL326" s="39" t="n">
        <f aca="false">IF(34&gt;'Inputs &amp; Assumptions'!$E$148,0,IF(34='Inputs &amp; Assumptions'!$E$148,AL304-AL315,IF(('Inputs &amp; Assumptions'!$C$148+34)&gt;'Inputs &amp; Assumptions'!$C$11,'Inputs &amp; Assumptions'!$C$12*(AL304-AL315),0)))</f>
        <v>0</v>
      </c>
      <c r="AM326" s="39" t="n">
        <f aca="false">IF(35&gt;'Inputs &amp; Assumptions'!$E$148,0,IF(35='Inputs &amp; Assumptions'!$E$148,AM304-AM315,IF(('Inputs &amp; Assumptions'!$C$148+35)&gt;'Inputs &amp; Assumptions'!$C$11,'Inputs &amp; Assumptions'!$C$12*(AM304-AM315),0)))</f>
        <v>0</v>
      </c>
      <c r="AN326" s="39" t="n">
        <f aca="false">IF(36&gt;'Inputs &amp; Assumptions'!$E$148,0,IF(36='Inputs &amp; Assumptions'!$E$148,AN304-AN315,IF(('Inputs &amp; Assumptions'!$C$148+36)&gt;'Inputs &amp; Assumptions'!$C$11,'Inputs &amp; Assumptions'!$C$12*(AN304-AN315),0)))</f>
        <v>0</v>
      </c>
    </row>
    <row r="327" customFormat="false" ht="15" hidden="false" customHeight="false" outlineLevel="0" collapsed="false">
      <c r="B327" s="37" t="n">
        <v>10</v>
      </c>
      <c r="C327" s="38" t="n">
        <f aca="false">'Inputs &amp; Assumptions'!$C$149</f>
        <v>9</v>
      </c>
      <c r="D327" s="38" t="n">
        <f aca="false">'Inputs &amp; Assumptions'!$D$149</f>
        <v>3</v>
      </c>
      <c r="E327" s="39" t="n">
        <f aca="false">IF(1&gt;'Inputs &amp; Assumptions'!$E$149,0,IF(1='Inputs &amp; Assumptions'!$E$149,E305-E316,IF(('Inputs &amp; Assumptions'!$C$149+1)&gt;'Inputs &amp; Assumptions'!$C$11,'Inputs &amp; Assumptions'!$C$12*(E305-E316),0)))</f>
        <v>1523694.71850079</v>
      </c>
      <c r="F327" s="39" t="n">
        <f aca="false">IF(2&gt;'Inputs &amp; Assumptions'!$E$149,0,IF(2='Inputs &amp; Assumptions'!$E$149,F305-F316,IF(('Inputs &amp; Assumptions'!$C$149+2)&gt;'Inputs &amp; Assumptions'!$C$11,'Inputs &amp; Assumptions'!$C$12*(F305-F316),0)))</f>
        <v>1411097.91522267</v>
      </c>
      <c r="G327" s="39" t="n">
        <f aca="false">IF(3&gt;'Inputs &amp; Assumptions'!$E$149,0,IF(3='Inputs &amp; Assumptions'!$E$149,G305-G316,IF(('Inputs &amp; Assumptions'!$C$149+3)&gt;'Inputs &amp; Assumptions'!$C$11,'Inputs &amp; Assumptions'!$C$12*(G305-G316),0)))</f>
        <v>1306821.70264721</v>
      </c>
      <c r="H327" s="39" t="n">
        <f aca="false">IF(4&gt;'Inputs &amp; Assumptions'!$E$149,0,IF(4='Inputs &amp; Assumptions'!$E$149,H305-H316,IF(('Inputs &amp; Assumptions'!$C$149+4)&gt;'Inputs &amp; Assumptions'!$C$11,'Inputs &amp; Assumptions'!$C$12*(H305-H316),0)))</f>
        <v>1213750.29006949</v>
      </c>
      <c r="I327" s="39" t="n">
        <f aca="false">IF(5&gt;'Inputs &amp; Assumptions'!$E$149,0,IF(5='Inputs &amp; Assumptions'!$E$149,I305-I316,IF(('Inputs &amp; Assumptions'!$C$149+5)&gt;'Inputs &amp; Assumptions'!$C$11,'Inputs &amp; Assumptions'!$C$12*(I305-I316),0)))</f>
        <v>1127307.39293627</v>
      </c>
      <c r="J327" s="39" t="n">
        <f aca="false">IF(6&gt;'Inputs &amp; Assumptions'!$E$149,0,IF(6='Inputs &amp; Assumptions'!$E$149,J305-J316,IF(('Inputs &amp; Assumptions'!$C$149+6)&gt;'Inputs &amp; Assumptions'!$C$11,'Inputs &amp; Assumptions'!$C$12*(J305-J316),0)))</f>
        <v>1047020.93055403</v>
      </c>
      <c r="K327" s="39" t="n">
        <f aca="false">IF(7&gt;'Inputs &amp; Assumptions'!$E$149,0,IF(7='Inputs &amp; Assumptions'!$E$149,K305-K316,IF(('Inputs &amp; Assumptions'!$C$149+7)&gt;'Inputs &amp; Assumptions'!$C$11,'Inputs &amp; Assumptions'!$C$12*(K305-K316),0)))</f>
        <v>972452.443661207</v>
      </c>
      <c r="L327" s="39" t="n">
        <f aca="false">IF(8&gt;'Inputs &amp; Assumptions'!$E$149,0,IF(8='Inputs &amp; Assumptions'!$E$149,L305-L316,IF(('Inputs &amp; Assumptions'!$C$149+8)&gt;'Inputs &amp; Assumptions'!$C$11,'Inputs &amp; Assumptions'!$C$12*(L305-L316),0)))</f>
        <v>905490.14467465</v>
      </c>
      <c r="M327" s="39" t="n">
        <f aca="false">IF(9&gt;'Inputs &amp; Assumptions'!$E$149,0,IF(9='Inputs &amp; Assumptions'!$E$149,M305-M316,IF(('Inputs &amp; Assumptions'!$C$149+9)&gt;'Inputs &amp; Assumptions'!$C$11,'Inputs &amp; Assumptions'!$C$12*(M305-M316),0)))</f>
        <v>843138.816142013</v>
      </c>
      <c r="N327" s="39" t="n">
        <f aca="false">IF(10&gt;'Inputs &amp; Assumptions'!$E$149,0,IF(10='Inputs &amp; Assumptions'!$E$149,N305-N316,IF(('Inputs &amp; Assumptions'!$C$149+10)&gt;'Inputs &amp; Assumptions'!$C$11,'Inputs &amp; Assumptions'!$C$12*(N305-N316),0)))</f>
        <v>785080.950318661</v>
      </c>
      <c r="O327" s="39" t="n">
        <f aca="false">IF(11&gt;'Inputs &amp; Assumptions'!$E$149,0,IF(11='Inputs &amp; Assumptions'!$E$149,O305-O316,IF(('Inputs &amp; Assumptions'!$C$149+11)&gt;'Inputs &amp; Assumptions'!$C$11,'Inputs &amp; Assumptions'!$C$12*(O305-O316),0)))</f>
        <v>731020.902789793</v>
      </c>
      <c r="P327" s="39" t="n">
        <f aca="false">IF(12&gt;'Inputs &amp; Assumptions'!$E$149,0,IF(12='Inputs &amp; Assumptions'!$E$149,P305-P316,IF(('Inputs &amp; Assumptions'!$C$149+12)&gt;'Inputs &amp; Assumptions'!$C$11,'Inputs &amp; Assumptions'!$C$12*(P305-P316),0)))</f>
        <v>681842.340393002</v>
      </c>
      <c r="Q327" s="39" t="n">
        <f aca="false">IF(13&gt;'Inputs &amp; Assumptions'!$E$149,0,IF(13='Inputs &amp; Assumptions'!$E$149,Q305-Q316,IF(('Inputs &amp; Assumptions'!$C$149+13)&gt;'Inputs &amp; Assumptions'!$C$11,'Inputs &amp; Assumptions'!$C$12*(Q305-Q316),0)))</f>
        <v>635972.207331384</v>
      </c>
      <c r="R327" s="39" t="n">
        <f aca="false">IF(14&gt;'Inputs &amp; Assumptions'!$E$149,0,IF(14='Inputs &amp; Assumptions'!$E$149,R305-R316,IF(('Inputs &amp; Assumptions'!$C$149+14)&gt;'Inputs &amp; Assumptions'!$C$11,'Inputs &amp; Assumptions'!$C$12*(R305-R316),0)))</f>
        <v>593187.932953576</v>
      </c>
      <c r="S327" s="39" t="n">
        <f aca="false">IF(15&gt;'Inputs &amp; Assumptions'!$E$149,0,IF(15='Inputs &amp; Assumptions'!$E$149,S305-S316,IF(('Inputs &amp; Assumptions'!$C$149+15)&gt;'Inputs &amp; Assumptions'!$C$11,'Inputs &amp; Assumptions'!$C$12*(S305-S316),0)))</f>
        <v>553281.919784251</v>
      </c>
      <c r="T327" s="39" t="n">
        <f aca="false">IF(16&gt;'Inputs &amp; Assumptions'!$E$149,0,IF(16='Inputs &amp; Assumptions'!$E$149,T305-T316,IF(('Inputs &amp; Assumptions'!$C$149+16)&gt;'Inputs &amp; Assumptions'!$C$11,'Inputs &amp; Assumptions'!$C$12*(T305-T316),0)))</f>
        <v>516859.733516465</v>
      </c>
      <c r="U327" s="39" t="n">
        <f aca="false">IF(17&gt;'Inputs &amp; Assumptions'!$E$149,0,IF(17='Inputs &amp; Assumptions'!$E$149,U305-U316,IF(('Inputs &amp; Assumptions'!$C$149+17)&gt;'Inputs &amp; Assumptions'!$C$11,'Inputs &amp; Assumptions'!$C$12*(U305-U316),0)))</f>
        <v>482835.195906786</v>
      </c>
      <c r="V327" s="39" t="n">
        <f aca="false">IF(18&gt;'Inputs &amp; Assumptions'!$E$149,0,IF(18='Inputs &amp; Assumptions'!$E$149,V305-V316,IF(('Inputs &amp; Assumptions'!$C$149+18)&gt;'Inputs &amp; Assumptions'!$C$11,'Inputs &amp; Assumptions'!$C$12*(V305-V316),0)))</f>
        <v>451050.471314996</v>
      </c>
      <c r="W327" s="39" t="n">
        <f aca="false">IF(19&gt;'Inputs &amp; Assumptions'!$E$149,0,IF(19='Inputs &amp; Assumptions'!$E$149,W305-W316,IF(('Inputs &amp; Assumptions'!$C$149+19)&gt;'Inputs &amp; Assumptions'!$C$11,'Inputs &amp; Assumptions'!$C$12*(W305-W316),0)))</f>
        <v>14045270.4772552</v>
      </c>
      <c r="X327" s="39" t="n">
        <f aca="false">IF(20&gt;'Inputs &amp; Assumptions'!$E$149,0,IF(20='Inputs &amp; Assumptions'!$E$149,X305-X316,IF(('Inputs &amp; Assumptions'!$C$149+20)&gt;'Inputs &amp; Assumptions'!$C$11,'Inputs &amp; Assumptions'!$C$12*(X305-X316),0)))</f>
        <v>0</v>
      </c>
      <c r="Y327" s="39" t="n">
        <f aca="false">IF(21&gt;'Inputs &amp; Assumptions'!$E$149,0,IF(21='Inputs &amp; Assumptions'!$E$149,Y305-Y316,IF(('Inputs &amp; Assumptions'!$C$149+21)&gt;'Inputs &amp; Assumptions'!$C$11,'Inputs &amp; Assumptions'!$C$12*(Y305-Y316),0)))</f>
        <v>0</v>
      </c>
      <c r="Z327" s="39" t="n">
        <f aca="false">IF(22&gt;'Inputs &amp; Assumptions'!$E$149,0,IF(22='Inputs &amp; Assumptions'!$E$149,Z305-Z316,IF(('Inputs &amp; Assumptions'!$C$149+22)&gt;'Inputs &amp; Assumptions'!$C$11,'Inputs &amp; Assumptions'!$C$12*(Z305-Z316),0)))</f>
        <v>0</v>
      </c>
      <c r="AA327" s="39" t="n">
        <f aca="false">IF(23&gt;'Inputs &amp; Assumptions'!$E$149,0,IF(23='Inputs &amp; Assumptions'!$E$149,AA305-AA316,IF(('Inputs &amp; Assumptions'!$C$149+23)&gt;'Inputs &amp; Assumptions'!$C$11,'Inputs &amp; Assumptions'!$C$12*(AA305-AA316),0)))</f>
        <v>0</v>
      </c>
      <c r="AB327" s="39" t="n">
        <f aca="false">IF(24&gt;'Inputs &amp; Assumptions'!$E$149,0,IF(24='Inputs &amp; Assumptions'!$E$149,AB305-AB316,IF(('Inputs &amp; Assumptions'!$C$149+24)&gt;'Inputs &amp; Assumptions'!$C$11,'Inputs &amp; Assumptions'!$C$12*(AB305-AB316),0)))</f>
        <v>0</v>
      </c>
      <c r="AC327" s="39" t="n">
        <f aca="false">IF(25&gt;'Inputs &amp; Assumptions'!$E$149,0,IF(25='Inputs &amp; Assumptions'!$E$149,AC305-AC316,IF(('Inputs &amp; Assumptions'!$C$149+25)&gt;'Inputs &amp; Assumptions'!$C$11,'Inputs &amp; Assumptions'!$C$12*(AC305-AC316),0)))</f>
        <v>0</v>
      </c>
      <c r="AD327" s="39" t="n">
        <f aca="false">IF(26&gt;'Inputs &amp; Assumptions'!$E$149,0,IF(26='Inputs &amp; Assumptions'!$E$149,AD305-AD316,IF(('Inputs &amp; Assumptions'!$C$149+26)&gt;'Inputs &amp; Assumptions'!$C$11,'Inputs &amp; Assumptions'!$C$12*(AD305-AD316),0)))</f>
        <v>0</v>
      </c>
      <c r="AE327" s="39" t="n">
        <f aca="false">IF(27&gt;'Inputs &amp; Assumptions'!$E$149,0,IF(27='Inputs &amp; Assumptions'!$E$149,AE305-AE316,IF(('Inputs &amp; Assumptions'!$C$149+27)&gt;'Inputs &amp; Assumptions'!$C$11,'Inputs &amp; Assumptions'!$C$12*(AE305-AE316),0)))</f>
        <v>0</v>
      </c>
      <c r="AF327" s="39" t="n">
        <f aca="false">IF(28&gt;'Inputs &amp; Assumptions'!$E$149,0,IF(28='Inputs &amp; Assumptions'!$E$149,AF305-AF316,IF(('Inputs &amp; Assumptions'!$C$149+28)&gt;'Inputs &amp; Assumptions'!$C$11,'Inputs &amp; Assumptions'!$C$12*(AF305-AF316),0)))</f>
        <v>0</v>
      </c>
      <c r="AG327" s="39" t="n">
        <f aca="false">IF(29&gt;'Inputs &amp; Assumptions'!$E$149,0,IF(29='Inputs &amp; Assumptions'!$E$149,AG305-AG316,IF(('Inputs &amp; Assumptions'!$C$149+29)&gt;'Inputs &amp; Assumptions'!$C$11,'Inputs &amp; Assumptions'!$C$12*(AG305-AG316),0)))</f>
        <v>0</v>
      </c>
      <c r="AH327" s="39" t="n">
        <f aca="false">IF(30&gt;'Inputs &amp; Assumptions'!$E$149,0,IF(30='Inputs &amp; Assumptions'!$E$149,AH305-AH316,IF(('Inputs &amp; Assumptions'!$C$149+30)&gt;'Inputs &amp; Assumptions'!$C$11,'Inputs &amp; Assumptions'!$C$12*(AH305-AH316),0)))</f>
        <v>0</v>
      </c>
      <c r="AI327" s="39" t="n">
        <f aca="false">IF(31&gt;'Inputs &amp; Assumptions'!$E$149,0,IF(31='Inputs &amp; Assumptions'!$E$149,AI305-AI316,IF(('Inputs &amp; Assumptions'!$C$149+31)&gt;'Inputs &amp; Assumptions'!$C$11,'Inputs &amp; Assumptions'!$C$12*(AI305-AI316),0)))</f>
        <v>0</v>
      </c>
      <c r="AJ327" s="39" t="n">
        <f aca="false">IF(32&gt;'Inputs &amp; Assumptions'!$E$149,0,IF(32='Inputs &amp; Assumptions'!$E$149,AJ305-AJ316,IF(('Inputs &amp; Assumptions'!$C$149+32)&gt;'Inputs &amp; Assumptions'!$C$11,'Inputs &amp; Assumptions'!$C$12*(AJ305-AJ316),0)))</f>
        <v>0</v>
      </c>
      <c r="AK327" s="39" t="n">
        <f aca="false">IF(33&gt;'Inputs &amp; Assumptions'!$E$149,0,IF(33='Inputs &amp; Assumptions'!$E$149,AK305-AK316,IF(('Inputs &amp; Assumptions'!$C$149+33)&gt;'Inputs &amp; Assumptions'!$C$11,'Inputs &amp; Assumptions'!$C$12*(AK305-AK316),0)))</f>
        <v>0</v>
      </c>
      <c r="AL327" s="39" t="n">
        <f aca="false">IF(34&gt;'Inputs &amp; Assumptions'!$E$149,0,IF(34='Inputs &amp; Assumptions'!$E$149,AL305-AL316,IF(('Inputs &amp; Assumptions'!$C$149+34)&gt;'Inputs &amp; Assumptions'!$C$11,'Inputs &amp; Assumptions'!$C$12*(AL305-AL316),0)))</f>
        <v>0</v>
      </c>
      <c r="AM327" s="39" t="n">
        <f aca="false">IF(35&gt;'Inputs &amp; Assumptions'!$E$149,0,IF(35='Inputs &amp; Assumptions'!$E$149,AM305-AM316,IF(('Inputs &amp; Assumptions'!$C$149+35)&gt;'Inputs &amp; Assumptions'!$C$11,'Inputs &amp; Assumptions'!$C$12*(AM305-AM316),0)))</f>
        <v>0</v>
      </c>
      <c r="AN327" s="39" t="n">
        <f aca="false">IF(36&gt;'Inputs &amp; Assumptions'!$E$149,0,IF(36='Inputs &amp; Assumptions'!$E$149,AN305-AN316,IF(('Inputs &amp; Assumptions'!$C$149+36)&gt;'Inputs &amp; Assumptions'!$C$11,'Inputs &amp; Assumptions'!$C$12*(AN305-AN316),0)))</f>
        <v>0</v>
      </c>
    </row>
    <row r="328" customFormat="false" ht="15" hidden="false" customHeight="false" outlineLevel="0" collapsed="false">
      <c r="B328" s="37" t="n">
        <v>11</v>
      </c>
      <c r="C328" s="38" t="n">
        <f aca="false">'Inputs &amp; Assumptions'!$C$150</f>
        <v>10</v>
      </c>
      <c r="D328" s="38" t="n">
        <f aca="false">'Inputs &amp; Assumptions'!$D$150</f>
        <v>2</v>
      </c>
      <c r="E328" s="39" t="n">
        <f aca="false">IF(1&gt;'Inputs &amp; Assumptions'!$E$150,0,IF(1='Inputs &amp; Assumptions'!$E$150,E306-E317,IF(('Inputs &amp; Assumptions'!$C$150+1)&gt;'Inputs &amp; Assumptions'!$C$11,'Inputs &amp; Assumptions'!$C$12*(E306-E317),0)))</f>
        <v>985322.584630514</v>
      </c>
      <c r="F328" s="39" t="n">
        <f aca="false">IF(2&gt;'Inputs &amp; Assumptions'!$E$150,0,IF(2='Inputs &amp; Assumptions'!$E$150,F306-F317,IF(('Inputs &amp; Assumptions'!$C$150+2)&gt;'Inputs &amp; Assumptions'!$C$11,'Inputs &amp; Assumptions'!$C$12*(F306-F317),0)))</f>
        <v>912509.985177326</v>
      </c>
      <c r="G328" s="39" t="n">
        <f aca="false">IF(3&gt;'Inputs &amp; Assumptions'!$E$150,0,IF(3='Inputs &amp; Assumptions'!$E$150,G306-G317,IF(('Inputs &amp; Assumptions'!$C$150+3)&gt;'Inputs &amp; Assumptions'!$C$11,'Inputs &amp; Assumptions'!$C$12*(G306-G317),0)))</f>
        <v>847521.323648604</v>
      </c>
      <c r="H328" s="39" t="n">
        <f aca="false">IF(4&gt;'Inputs &amp; Assumptions'!$E$150,0,IF(4='Inputs &amp; Assumptions'!$E$150,H306-H317,IF(('Inputs &amp; Assumptions'!$C$150+4)&gt;'Inputs &amp; Assumptions'!$C$11,'Inputs &amp; Assumptions'!$C$12*(H306-H317),0)))</f>
        <v>787161.133255432</v>
      </c>
      <c r="I328" s="39" t="n">
        <f aca="false">IF(5&gt;'Inputs &amp; Assumptions'!$E$150,0,IF(5='Inputs &amp; Assumptions'!$E$150,I306-I317,IF(('Inputs &amp; Assumptions'!$C$150+5)&gt;'Inputs &amp; Assumptions'!$C$11,'Inputs &amp; Assumptions'!$C$12*(I306-I317),0)))</f>
        <v>731099.775803259</v>
      </c>
      <c r="J328" s="39" t="n">
        <f aca="false">IF(6&gt;'Inputs &amp; Assumptions'!$E$150,0,IF(6='Inputs &amp; Assumptions'!$E$150,J306-J317,IF(('Inputs &amp; Assumptions'!$C$150+6)&gt;'Inputs &amp; Assumptions'!$C$11,'Inputs &amp; Assumptions'!$C$12*(J306-J317),0)))</f>
        <v>679031.089821516</v>
      </c>
      <c r="K328" s="39" t="n">
        <f aca="false">IF(7&gt;'Inputs &amp; Assumptions'!$E$150,0,IF(7='Inputs &amp; Assumptions'!$E$150,K306-K317,IF(('Inputs &amp; Assumptions'!$C$150+7)&gt;'Inputs &amp; Assumptions'!$C$11,'Inputs &amp; Assumptions'!$C$12*(K306-K317),0)))</f>
        <v>632273.551029586</v>
      </c>
      <c r="L328" s="39" t="n">
        <f aca="false">IF(8&gt;'Inputs &amp; Assumptions'!$E$150,0,IF(8='Inputs &amp; Assumptions'!$E$150,L306-L317,IF(('Inputs &amp; Assumptions'!$C$150+8)&gt;'Inputs &amp; Assumptions'!$C$11,'Inputs &amp; Assumptions'!$C$12*(L306-L317),0)))</f>
        <v>588735.699033519</v>
      </c>
      <c r="M328" s="39" t="n">
        <f aca="false">IF(9&gt;'Inputs &amp; Assumptions'!$E$150,0,IF(9='Inputs &amp; Assumptions'!$E$150,M306-M317,IF(('Inputs &amp; Assumptions'!$C$150+9)&gt;'Inputs &amp; Assumptions'!$C$11,'Inputs &amp; Assumptions'!$C$12*(M306-M317),0)))</f>
        <v>548195.828770746</v>
      </c>
      <c r="N328" s="39" t="n">
        <f aca="false">IF(10&gt;'Inputs &amp; Assumptions'!$E$150,0,IF(10='Inputs &amp; Assumptions'!$E$150,N306-N317,IF(('Inputs &amp; Assumptions'!$C$150+10)&gt;'Inputs &amp; Assumptions'!$C$11,'Inputs &amp; Assumptions'!$C$12*(N306-N317),0)))</f>
        <v>510447.501612324</v>
      </c>
      <c r="O328" s="39" t="n">
        <f aca="false">IF(11&gt;'Inputs &amp; Assumptions'!$E$150,0,IF(11='Inputs &amp; Assumptions'!$E$150,O306-O317,IF(('Inputs &amp; Assumptions'!$C$150+11)&gt;'Inputs &amp; Assumptions'!$C$11,'Inputs &amp; Assumptions'!$C$12*(O306-O317),0)))</f>
        <v>476107.75262221</v>
      </c>
      <c r="P328" s="39" t="n">
        <f aca="false">IF(12&gt;'Inputs &amp; Assumptions'!$E$150,0,IF(12='Inputs &amp; Assumptions'!$E$150,P306-P317,IF(('Inputs &amp; Assumptions'!$C$150+12)&gt;'Inputs &amp; Assumptions'!$C$11,'Inputs &amp; Assumptions'!$C$12*(P306-P317),0)))</f>
        <v>444078.169431672</v>
      </c>
      <c r="Q328" s="39" t="n">
        <f aca="false">IF(13&gt;'Inputs &amp; Assumptions'!$E$150,0,IF(13='Inputs &amp; Assumptions'!$E$150,Q306-Q317,IF(('Inputs &amp; Assumptions'!$C$150+13)&gt;'Inputs &amp; Assumptions'!$C$11,'Inputs &amp; Assumptions'!$C$12*(Q306-Q317),0)))</f>
        <v>414203.33838224</v>
      </c>
      <c r="R328" s="39" t="n">
        <f aca="false">IF(14&gt;'Inputs &amp; Assumptions'!$E$150,0,IF(14='Inputs &amp; Assumptions'!$E$150,R306-R317,IF(('Inputs &amp; Assumptions'!$C$150+14)&gt;'Inputs &amp; Assumptions'!$C$11,'Inputs &amp; Assumptions'!$C$12*(R306-R317),0)))</f>
        <v>386338.301084603</v>
      </c>
      <c r="S328" s="39" t="n">
        <f aca="false">IF(15&gt;'Inputs &amp; Assumptions'!$E$150,0,IF(15='Inputs &amp; Assumptions'!$E$150,S306-S317,IF(('Inputs &amp; Assumptions'!$C$150+15)&gt;'Inputs &amp; Assumptions'!$C$11,'Inputs &amp; Assumptions'!$C$12*(S306-S317),0)))</f>
        <v>360905.903853964</v>
      </c>
      <c r="T328" s="39" t="n">
        <f aca="false">IF(16&gt;'Inputs &amp; Assumptions'!$E$150,0,IF(16='Inputs &amp; Assumptions'!$E$150,T306-T317,IF(('Inputs &amp; Assumptions'!$C$150+16)&gt;'Inputs &amp; Assumptions'!$C$11,'Inputs &amp; Assumptions'!$C$12*(T306-T317),0)))</f>
        <v>337147.704669653</v>
      </c>
      <c r="U328" s="39" t="n">
        <f aca="false">IF(17&gt;'Inputs &amp; Assumptions'!$E$150,0,IF(17='Inputs &amp; Assumptions'!$E$150,U306-U317,IF(('Inputs &amp; Assumptions'!$C$150+17)&gt;'Inputs &amp; Assumptions'!$C$11,'Inputs &amp; Assumptions'!$C$12*(U306-U317),0)))</f>
        <v>314953.492171217</v>
      </c>
      <c r="V328" s="39" t="n">
        <f aca="false">IF(18&gt;'Inputs &amp; Assumptions'!$E$150,0,IF(18='Inputs &amp; Assumptions'!$E$150,V306-V317,IF(('Inputs &amp; Assumptions'!$C$150+18)&gt;'Inputs &amp; Assumptions'!$C$11,'Inputs &amp; Assumptions'!$C$12*(V306-V317),0)))</f>
        <v>9807343.67132842</v>
      </c>
      <c r="W328" s="39" t="n">
        <f aca="false">IF(19&gt;'Inputs &amp; Assumptions'!$E$150,0,IF(19='Inputs &amp; Assumptions'!$E$150,W306-W317,IF(('Inputs &amp; Assumptions'!$C$150+19)&gt;'Inputs &amp; Assumptions'!$C$11,'Inputs &amp; Assumptions'!$C$12*(W306-W317),0)))</f>
        <v>0</v>
      </c>
      <c r="X328" s="39" t="n">
        <f aca="false">IF(20&gt;'Inputs &amp; Assumptions'!$E$150,0,IF(20='Inputs &amp; Assumptions'!$E$150,X306-X317,IF(('Inputs &amp; Assumptions'!$C$150+20)&gt;'Inputs &amp; Assumptions'!$C$11,'Inputs &amp; Assumptions'!$C$12*(X306-X317),0)))</f>
        <v>0</v>
      </c>
      <c r="Y328" s="39" t="n">
        <f aca="false">IF(21&gt;'Inputs &amp; Assumptions'!$E$150,0,IF(21='Inputs &amp; Assumptions'!$E$150,Y306-Y317,IF(('Inputs &amp; Assumptions'!$C$150+21)&gt;'Inputs &amp; Assumptions'!$C$11,'Inputs &amp; Assumptions'!$C$12*(Y306-Y317),0)))</f>
        <v>0</v>
      </c>
      <c r="Z328" s="39" t="n">
        <f aca="false">IF(22&gt;'Inputs &amp; Assumptions'!$E$150,0,IF(22='Inputs &amp; Assumptions'!$E$150,Z306-Z317,IF(('Inputs &amp; Assumptions'!$C$150+22)&gt;'Inputs &amp; Assumptions'!$C$11,'Inputs &amp; Assumptions'!$C$12*(Z306-Z317),0)))</f>
        <v>0</v>
      </c>
      <c r="AA328" s="39" t="n">
        <f aca="false">IF(23&gt;'Inputs &amp; Assumptions'!$E$150,0,IF(23='Inputs &amp; Assumptions'!$E$150,AA306-AA317,IF(('Inputs &amp; Assumptions'!$C$150+23)&gt;'Inputs &amp; Assumptions'!$C$11,'Inputs &amp; Assumptions'!$C$12*(AA306-AA317),0)))</f>
        <v>0</v>
      </c>
      <c r="AB328" s="39" t="n">
        <f aca="false">IF(24&gt;'Inputs &amp; Assumptions'!$E$150,0,IF(24='Inputs &amp; Assumptions'!$E$150,AB306-AB317,IF(('Inputs &amp; Assumptions'!$C$150+24)&gt;'Inputs &amp; Assumptions'!$C$11,'Inputs &amp; Assumptions'!$C$12*(AB306-AB317),0)))</f>
        <v>0</v>
      </c>
      <c r="AC328" s="39" t="n">
        <f aca="false">IF(25&gt;'Inputs &amp; Assumptions'!$E$150,0,IF(25='Inputs &amp; Assumptions'!$E$150,AC306-AC317,IF(('Inputs &amp; Assumptions'!$C$150+25)&gt;'Inputs &amp; Assumptions'!$C$11,'Inputs &amp; Assumptions'!$C$12*(AC306-AC317),0)))</f>
        <v>0</v>
      </c>
      <c r="AD328" s="39" t="n">
        <f aca="false">IF(26&gt;'Inputs &amp; Assumptions'!$E$150,0,IF(26='Inputs &amp; Assumptions'!$E$150,AD306-AD317,IF(('Inputs &amp; Assumptions'!$C$150+26)&gt;'Inputs &amp; Assumptions'!$C$11,'Inputs &amp; Assumptions'!$C$12*(AD306-AD317),0)))</f>
        <v>0</v>
      </c>
      <c r="AE328" s="39" t="n">
        <f aca="false">IF(27&gt;'Inputs &amp; Assumptions'!$E$150,0,IF(27='Inputs &amp; Assumptions'!$E$150,AE306-AE317,IF(('Inputs &amp; Assumptions'!$C$150+27)&gt;'Inputs &amp; Assumptions'!$C$11,'Inputs &amp; Assumptions'!$C$12*(AE306-AE317),0)))</f>
        <v>0</v>
      </c>
      <c r="AF328" s="39" t="n">
        <f aca="false">IF(28&gt;'Inputs &amp; Assumptions'!$E$150,0,IF(28='Inputs &amp; Assumptions'!$E$150,AF306-AF317,IF(('Inputs &amp; Assumptions'!$C$150+28)&gt;'Inputs &amp; Assumptions'!$C$11,'Inputs &amp; Assumptions'!$C$12*(AF306-AF317),0)))</f>
        <v>0</v>
      </c>
      <c r="AG328" s="39" t="n">
        <f aca="false">IF(29&gt;'Inputs &amp; Assumptions'!$E$150,0,IF(29='Inputs &amp; Assumptions'!$E$150,AG306-AG317,IF(('Inputs &amp; Assumptions'!$C$150+29)&gt;'Inputs &amp; Assumptions'!$C$11,'Inputs &amp; Assumptions'!$C$12*(AG306-AG317),0)))</f>
        <v>0</v>
      </c>
      <c r="AH328" s="39" t="n">
        <f aca="false">IF(30&gt;'Inputs &amp; Assumptions'!$E$150,0,IF(30='Inputs &amp; Assumptions'!$E$150,AH306-AH317,IF(('Inputs &amp; Assumptions'!$C$150+30)&gt;'Inputs &amp; Assumptions'!$C$11,'Inputs &amp; Assumptions'!$C$12*(AH306-AH317),0)))</f>
        <v>0</v>
      </c>
      <c r="AI328" s="39" t="n">
        <f aca="false">IF(31&gt;'Inputs &amp; Assumptions'!$E$150,0,IF(31='Inputs &amp; Assumptions'!$E$150,AI306-AI317,IF(('Inputs &amp; Assumptions'!$C$150+31)&gt;'Inputs &amp; Assumptions'!$C$11,'Inputs &amp; Assumptions'!$C$12*(AI306-AI317),0)))</f>
        <v>0</v>
      </c>
      <c r="AJ328" s="39" t="n">
        <f aca="false">IF(32&gt;'Inputs &amp; Assumptions'!$E$150,0,IF(32='Inputs &amp; Assumptions'!$E$150,AJ306-AJ317,IF(('Inputs &amp; Assumptions'!$C$150+32)&gt;'Inputs &amp; Assumptions'!$C$11,'Inputs &amp; Assumptions'!$C$12*(AJ306-AJ317),0)))</f>
        <v>0</v>
      </c>
      <c r="AK328" s="39" t="n">
        <f aca="false">IF(33&gt;'Inputs &amp; Assumptions'!$E$150,0,IF(33='Inputs &amp; Assumptions'!$E$150,AK306-AK317,IF(('Inputs &amp; Assumptions'!$C$150+33)&gt;'Inputs &amp; Assumptions'!$C$11,'Inputs &amp; Assumptions'!$C$12*(AK306-AK317),0)))</f>
        <v>0</v>
      </c>
      <c r="AL328" s="39" t="n">
        <f aca="false">IF(34&gt;'Inputs &amp; Assumptions'!$E$150,0,IF(34='Inputs &amp; Assumptions'!$E$150,AL306-AL317,IF(('Inputs &amp; Assumptions'!$C$150+34)&gt;'Inputs &amp; Assumptions'!$C$11,'Inputs &amp; Assumptions'!$C$12*(AL306-AL317),0)))</f>
        <v>0</v>
      </c>
      <c r="AM328" s="39" t="n">
        <f aca="false">IF(35&gt;'Inputs &amp; Assumptions'!$E$150,0,IF(35='Inputs &amp; Assumptions'!$E$150,AM306-AM317,IF(('Inputs &amp; Assumptions'!$C$150+35)&gt;'Inputs &amp; Assumptions'!$C$11,'Inputs &amp; Assumptions'!$C$12*(AM306-AM317),0)))</f>
        <v>0</v>
      </c>
      <c r="AN328" s="39" t="n">
        <f aca="false">IF(36&gt;'Inputs &amp; Assumptions'!$E$150,0,IF(36='Inputs &amp; Assumptions'!$E$150,AN306-AN317,IF(('Inputs &amp; Assumptions'!$C$150+36)&gt;'Inputs &amp; Assumptions'!$C$11,'Inputs &amp; Assumptions'!$C$12*(AN306-AN317),0)))</f>
        <v>0</v>
      </c>
    </row>
    <row r="329" customFormat="false" ht="15" hidden="false" customHeight="false" outlineLevel="0" collapsed="false">
      <c r="A329" s="14" t="s">
        <v>129</v>
      </c>
      <c r="B329" s="37" t="n">
        <v>1</v>
      </c>
      <c r="C329" s="38" t="n">
        <f aca="false">'Inputs &amp; Assumptions'!$C$140</f>
        <v>0</v>
      </c>
      <c r="D329" s="38" t="n">
        <f aca="false">'Inputs &amp; Assumptions'!$D$140</f>
        <v>1</v>
      </c>
      <c r="E329" s="39" t="n">
        <f aca="false">IF(1&gt;='Inputs &amp; Assumptions'!$E$140,0,'Inputs &amp; Assumptions'!$G$60*MAX(E296-E307-E318,0))</f>
        <v>621559.880017856</v>
      </c>
      <c r="F329" s="39" t="n">
        <f aca="false">IF(2&gt;='Inputs &amp; Assumptions'!$E$140,0,'Inputs &amp; Assumptions'!$G$60*MAX(F296-F307-F318,0))</f>
        <v>594830.944226253</v>
      </c>
      <c r="G329" s="39" t="n">
        <f aca="false">IF(3&gt;='Inputs &amp; Assumptions'!$E$140,0,'Inputs &amp; Assumptions'!$G$60*MAX(G296-G307-G318,0))</f>
        <v>569251.432700146</v>
      </c>
      <c r="H329" s="39" t="n">
        <f aca="false">IF(4&gt;='Inputs &amp; Assumptions'!$E$140,0,'Inputs &amp; Assumptions'!$G$60*MAX(H296-H307-H318,0))</f>
        <v>544771.916754742</v>
      </c>
      <c r="I329" s="39" t="n">
        <f aca="false">IF(5&gt;='Inputs &amp; Assumptions'!$E$140,0,'Inputs &amp; Assumptions'!$G$60*MAX(I296-I307-I318,0))</f>
        <v>503593.532275636</v>
      </c>
      <c r="J329" s="39" t="n">
        <f aca="false">IF(6&gt;='Inputs &amp; Assumptions'!$E$140,0,'Inputs &amp; Assumptions'!$G$60*MAX(J296-J307-J318,0))</f>
        <v>465527.751982168</v>
      </c>
      <c r="K329" s="39" t="n">
        <f aca="false">IF(7&gt;='Inputs &amp; Assumptions'!$E$140,0,'Inputs &amp; Assumptions'!$G$60*MAX(K296-K307-K318,0))</f>
        <v>430339.299407352</v>
      </c>
      <c r="L329" s="39" t="n">
        <f aca="false">IF(8&gt;='Inputs &amp; Assumptions'!$E$140,0,'Inputs &amp; Assumptions'!$G$60*MAX(L296-L307-L318,0))</f>
        <v>397810.682232978</v>
      </c>
      <c r="M329" s="39" t="n">
        <f aca="false">IF(9&gt;='Inputs &amp; Assumptions'!$E$140,0,'Inputs &amp; Assumptions'!$G$60*MAX(M296-M307-M318,0))</f>
        <v>368413.578872669</v>
      </c>
      <c r="N329" s="39" t="n">
        <f aca="false">IF(10&gt;='Inputs &amp; Assumptions'!$E$140,0,'Inputs &amp; Assumptions'!$G$60*MAX(N296-N307-N318,0))</f>
        <v>341188.839716173</v>
      </c>
      <c r="O329" s="39" t="n">
        <f aca="false">IF(11&gt;='Inputs &amp; Assumptions'!$E$140,0,'Inputs &amp; Assumptions'!$G$60*MAX(O296-O307-O318,0))</f>
        <v>315975.933088779</v>
      </c>
      <c r="P329" s="39" t="n">
        <f aca="false">IF(12&gt;='Inputs &amp; Assumptions'!$E$140,0,'Inputs &amp; Assumptions'!$G$60*MAX(P296-P307-P318,0))</f>
        <v>292626.190160205</v>
      </c>
      <c r="Q329" s="39" t="n">
        <f aca="false">IF(13&gt;='Inputs &amp; Assumptions'!$E$140,0,'Inputs &amp; Assumptions'!$G$60*MAX(Q296-Q307-Q318,0))</f>
        <v>271785.448978545</v>
      </c>
      <c r="R329" s="39" t="n">
        <f aca="false">IF(14&gt;='Inputs &amp; Assumptions'!$E$140,0,'Inputs &amp; Assumptions'!$G$60*MAX(R296-R307-R318,0))</f>
        <v>252428.978540946</v>
      </c>
      <c r="S329" s="39" t="n">
        <f aca="false">IF(15&gt;='Inputs &amp; Assumptions'!$E$140,0,'Inputs &amp; Assumptions'!$G$60*MAX(S296-S307-S318,0))</f>
        <v>234451.069572366</v>
      </c>
      <c r="T329" s="39" t="n">
        <f aca="false">IF(16&gt;='Inputs &amp; Assumptions'!$E$140,0,'Inputs &amp; Assumptions'!$G$60*MAX(T296-T307-T318,0))</f>
        <v>217753.54137762</v>
      </c>
      <c r="U329" s="39" t="n">
        <f aca="false">IF(17&gt;='Inputs &amp; Assumptions'!$E$140,0,'Inputs &amp; Assumptions'!$G$60*MAX(U296-U307-U318,0))</f>
        <v>202759.206345448</v>
      </c>
      <c r="V329" s="39" t="n">
        <f aca="false">IF(18&gt;='Inputs &amp; Assumptions'!$E$140,0,'Inputs &amp; Assumptions'!$G$60*MAX(V296-V307-V318,0))</f>
        <v>188797.369253998</v>
      </c>
      <c r="W329" s="39" t="n">
        <f aca="false">IF(19&gt;='Inputs &amp; Assumptions'!$E$140,0,'Inputs &amp; Assumptions'!$G$60*MAX(W296-W307-W318,0))</f>
        <v>175796.933119286</v>
      </c>
      <c r="X329" s="39" t="n">
        <f aca="false">IF(20&gt;='Inputs &amp; Assumptions'!$E$140,0,'Inputs &amp; Assumptions'!$G$60*MAX(X296-X307-X318,0))</f>
        <v>163691.696638895</v>
      </c>
      <c r="Y329" s="39" t="n">
        <f aca="false">IF(21&gt;='Inputs &amp; Assumptions'!$E$140,0,'Inputs &amp; Assumptions'!$G$60*MAX(Y296-Y307-Y318,0))</f>
        <v>152679.532299584</v>
      </c>
      <c r="Z329" s="39" t="n">
        <f aca="false">IF(22&gt;='Inputs &amp; Assumptions'!$E$140,0,'Inputs &amp; Assumptions'!$G$60*MAX(Z296-Z307-Z318,0))</f>
        <v>142408.198227941</v>
      </c>
      <c r="AA329" s="39" t="n">
        <f aca="false">IF(23&gt;='Inputs &amp; Assumptions'!$E$140,0,'Inputs &amp; Assumptions'!$G$60*MAX(AA296-AA307-AA318,0))</f>
        <v>132827.855948206</v>
      </c>
      <c r="AB329" s="39" t="n">
        <f aca="false">IF(24&gt;='Inputs &amp; Assumptions'!$E$140,0,'Inputs &amp; Assumptions'!$G$60*MAX(AB296-AB307-AB318,0))</f>
        <v>123892.01980884</v>
      </c>
      <c r="AC329" s="39" t="n">
        <f aca="false">IF(25&gt;='Inputs &amp; Assumptions'!$E$140,0,'Inputs &amp; Assumptions'!$G$60*MAX(AC296-AC307-AC318,0))</f>
        <v>115736.289319166</v>
      </c>
      <c r="AD329" s="39" t="n">
        <f aca="false">IF(26&gt;='Inputs &amp; Assumptions'!$E$140,0,'Inputs &amp; Assumptions'!$G$60*MAX(AD296-AD307-AD318,0))</f>
        <v>108117.445223973</v>
      </c>
      <c r="AE329" s="39" t="n">
        <f aca="false">IF(27&gt;='Inputs &amp; Assumptions'!$E$140,0,'Inputs &amp; Assumptions'!$G$60*MAX(AE296-AE307-AE318,0))</f>
        <v>101000.144643683</v>
      </c>
      <c r="AF329" s="39" t="n">
        <f aca="false">IF(28&gt;='Inputs &amp; Assumptions'!$E$140,0,'Inputs &amp; Assumptions'!$G$60*MAX(AF296-AF307-AF318,0))</f>
        <v>0</v>
      </c>
      <c r="AG329" s="39" t="n">
        <f aca="false">IF(29&gt;='Inputs &amp; Assumptions'!$E$140,0,'Inputs &amp; Assumptions'!$G$60*MAX(AG296-AG307-AG318,0))</f>
        <v>0</v>
      </c>
      <c r="AH329" s="39" t="n">
        <f aca="false">IF(30&gt;='Inputs &amp; Assumptions'!$E$140,0,'Inputs &amp; Assumptions'!$G$60*MAX(AH296-AH307-AH318,0))</f>
        <v>0</v>
      </c>
      <c r="AI329" s="39" t="n">
        <f aca="false">IF(31&gt;='Inputs &amp; Assumptions'!$E$140,0,'Inputs &amp; Assumptions'!$G$60*MAX(AI296-AI307-AI318,0))</f>
        <v>0</v>
      </c>
      <c r="AJ329" s="39" t="n">
        <f aca="false">IF(32&gt;='Inputs &amp; Assumptions'!$E$140,0,'Inputs &amp; Assumptions'!$G$60*MAX(AJ296-AJ307-AJ318,0))</f>
        <v>0</v>
      </c>
      <c r="AK329" s="39" t="n">
        <f aca="false">IF(33&gt;='Inputs &amp; Assumptions'!$E$140,0,'Inputs &amp; Assumptions'!$G$60*MAX(AK296-AK307-AK318,0))</f>
        <v>0</v>
      </c>
      <c r="AL329" s="39" t="n">
        <f aca="false">IF(34&gt;='Inputs &amp; Assumptions'!$E$140,0,'Inputs &amp; Assumptions'!$G$60*MAX(AL296-AL307-AL318,0))</f>
        <v>0</v>
      </c>
      <c r="AM329" s="39" t="n">
        <f aca="false">IF(35&gt;='Inputs &amp; Assumptions'!$E$140,0,'Inputs &amp; Assumptions'!$G$60*MAX(AM296-AM307-AM318,0))</f>
        <v>0</v>
      </c>
      <c r="AN329" s="39" t="n">
        <f aca="false">IF(36&gt;='Inputs &amp; Assumptions'!$E$140,0,'Inputs &amp; Assumptions'!$G$60*MAX(AN296-AN307-AN318,0))</f>
        <v>0</v>
      </c>
    </row>
    <row r="330" customFormat="false" ht="15" hidden="false" customHeight="false" outlineLevel="0" collapsed="false">
      <c r="B330" s="37" t="n">
        <v>2</v>
      </c>
      <c r="C330" s="38" t="n">
        <f aca="false">'Inputs &amp; Assumptions'!$C$141</f>
        <v>1</v>
      </c>
      <c r="D330" s="38" t="n">
        <f aca="false">'Inputs &amp; Assumptions'!$D$141</f>
        <v>3</v>
      </c>
      <c r="E330" s="39" t="n">
        <f aca="false">IF(1&gt;='Inputs &amp; Assumptions'!$E$141,0,'Inputs &amp; Assumptions'!$G$60*MAX(E297-E308-E319,0))</f>
        <v>1864679.64005357</v>
      </c>
      <c r="F330" s="39" t="n">
        <f aca="false">IF(2&gt;='Inputs &amp; Assumptions'!$E$141,0,'Inputs &amp; Assumptions'!$G$60*MAX(F297-F308-F319,0))</f>
        <v>1784492.83267876</v>
      </c>
      <c r="G330" s="39" t="n">
        <f aca="false">IF(3&gt;='Inputs &amp; Assumptions'!$E$141,0,'Inputs &amp; Assumptions'!$G$60*MAX(G297-G308-G319,0))</f>
        <v>1707754.29810044</v>
      </c>
      <c r="H330" s="39" t="n">
        <f aca="false">IF(4&gt;='Inputs &amp; Assumptions'!$E$141,0,'Inputs &amp; Assumptions'!$G$60*MAX(H297-H308-H319,0))</f>
        <v>1578668.04948846</v>
      </c>
      <c r="I330" s="39" t="n">
        <f aca="false">IF(5&gt;='Inputs &amp; Assumptions'!$E$141,0,'Inputs &amp; Assumptions'!$G$60*MAX(I297-I308-I319,0))</f>
        <v>1459339.21129509</v>
      </c>
      <c r="J330" s="39" t="n">
        <f aca="false">IF(6&gt;='Inputs &amp; Assumptions'!$E$141,0,'Inputs &amp; Assumptions'!$G$60*MAX(J297-J308-J319,0))</f>
        <v>1349030.23742925</v>
      </c>
      <c r="K330" s="39" t="n">
        <f aca="false">IF(7&gt;='Inputs &amp; Assumptions'!$E$141,0,'Inputs &amp; Assumptions'!$G$60*MAX(K297-K308-K319,0))</f>
        <v>1247059.33165693</v>
      </c>
      <c r="L330" s="39" t="n">
        <f aca="false">IF(8&gt;='Inputs &amp; Assumptions'!$E$141,0,'Inputs &amp; Assumptions'!$G$60*MAX(L297-L308-L319,0))</f>
        <v>1154905.11432074</v>
      </c>
      <c r="M330" s="39" t="n">
        <f aca="false">IF(9&gt;='Inputs &amp; Assumptions'!$E$141,0,'Inputs &amp; Assumptions'!$G$60*MAX(M297-M308-M319,0))</f>
        <v>1069560.83742384</v>
      </c>
      <c r="N330" s="39" t="n">
        <f aca="false">IF(10&gt;='Inputs &amp; Assumptions'!$E$141,0,'Inputs &amp; Assumptions'!$G$60*MAX(N297-N308-N319,0))</f>
        <v>990523.265301856</v>
      </c>
      <c r="O330" s="39" t="n">
        <f aca="false">IF(11&gt;='Inputs &amp; Assumptions'!$E$141,0,'Inputs &amp; Assumptions'!$G$60*MAX(O297-O308-O319,0))</f>
        <v>917326.350006818</v>
      </c>
      <c r="P330" s="39" t="n">
        <f aca="false">IF(12&gt;='Inputs &amp; Assumptions'!$E$141,0,'Inputs &amp; Assumptions'!$G$60*MAX(P297-P308-P319,0))</f>
        <v>851994.668556355</v>
      </c>
      <c r="Q330" s="39" t="n">
        <f aca="false">IF(13&gt;='Inputs &amp; Assumptions'!$E$141,0,'Inputs &amp; Assumptions'!$G$60*MAX(Q297-Q308-Q319,0))</f>
        <v>791315.888007642</v>
      </c>
      <c r="R330" s="39" t="n">
        <f aca="false">IF(14&gt;='Inputs &amp; Assumptions'!$E$141,0,'Inputs &amp; Assumptions'!$G$60*MAX(R297-R308-R319,0))</f>
        <v>734958.630286198</v>
      </c>
      <c r="S330" s="39" t="n">
        <f aca="false">IF(15&gt;='Inputs &amp; Assumptions'!$E$141,0,'Inputs &amp; Assumptions'!$G$60*MAX(S297-S308-S319,0))</f>
        <v>682615.117955206</v>
      </c>
      <c r="T330" s="39" t="n">
        <f aca="false">IF(16&gt;='Inputs &amp; Assumptions'!$E$141,0,'Inputs &amp; Assumptions'!$G$60*MAX(T297-T308-T319,0))</f>
        <v>635610.785847028</v>
      </c>
      <c r="U330" s="39" t="n">
        <f aca="false">IF(17&gt;='Inputs &amp; Assumptions'!$E$141,0,'Inputs &amp; Assumptions'!$G$60*MAX(U297-U308-U319,0))</f>
        <v>591843.134525461</v>
      </c>
      <c r="V330" s="39" t="n">
        <f aca="false">IF(18&gt;='Inputs &amp; Assumptions'!$E$141,0,'Inputs &amp; Assumptions'!$G$60*MAX(V297-V308-V319,0))</f>
        <v>551089.288735299</v>
      </c>
      <c r="W330" s="39" t="n">
        <f aca="false">IF(19&gt;='Inputs &amp; Assumptions'!$E$141,0,'Inputs &amp; Assumptions'!$G$60*MAX(W297-W308-W319,0))</f>
        <v>513141.720233493</v>
      </c>
      <c r="X330" s="39" t="n">
        <f aca="false">IF(20&gt;='Inputs &amp; Assumptions'!$E$141,0,'Inputs &amp; Assumptions'!$G$60*MAX(X297-X308-X319,0))</f>
        <v>478620.720887793</v>
      </c>
      <c r="Y330" s="39" t="n">
        <f aca="false">IF(21&gt;='Inputs &amp; Assumptions'!$E$141,0,'Inputs &amp; Assumptions'!$G$60*MAX(Y297-Y308-Y319,0))</f>
        <v>446422.08074392</v>
      </c>
      <c r="Z330" s="39" t="n">
        <f aca="false">IF(22&gt;='Inputs &amp; Assumptions'!$E$141,0,'Inputs &amp; Assumptions'!$G$60*MAX(Z297-Z308-Z319,0))</f>
        <v>416389.565846759</v>
      </c>
      <c r="AA330" s="39" t="n">
        <f aca="false">IF(23&gt;='Inputs &amp; Assumptions'!$E$141,0,'Inputs &amp; Assumptions'!$G$60*MAX(AA297-AA308-AA319,0))</f>
        <v>388377.452694837</v>
      </c>
      <c r="AB330" s="39" t="n">
        <f aca="false">IF(24&gt;='Inputs &amp; Assumptions'!$E$141,0,'Inputs &amp; Assumptions'!$G$60*MAX(AB297-AB308-AB319,0))</f>
        <v>362810.819449754</v>
      </c>
      <c r="AC330" s="39" t="n">
        <f aca="false">IF(25&gt;='Inputs &amp; Assumptions'!$E$141,0,'Inputs &amp; Assumptions'!$G$60*MAX(AC297-AC308-AC319,0))</f>
        <v>338927.220919877</v>
      </c>
      <c r="AD330" s="39" t="n">
        <f aca="false">IF(26&gt;='Inputs &amp; Assumptions'!$E$141,0,'Inputs &amp; Assumptions'!$G$60*MAX(AD297-AD308-AD319,0))</f>
        <v>316615.864032632</v>
      </c>
      <c r="AE330" s="39" t="n">
        <f aca="false">IF(27&gt;='Inputs &amp; Assumptions'!$E$141,0,'Inputs &amp; Assumptions'!$G$60*MAX(AE297-AE308-AE319,0))</f>
        <v>0</v>
      </c>
      <c r="AF330" s="39" t="n">
        <f aca="false">IF(28&gt;='Inputs &amp; Assumptions'!$E$141,0,'Inputs &amp; Assumptions'!$G$60*MAX(AF297-AF308-AF319,0))</f>
        <v>0</v>
      </c>
      <c r="AG330" s="39" t="n">
        <f aca="false">IF(29&gt;='Inputs &amp; Assumptions'!$E$141,0,'Inputs &amp; Assumptions'!$G$60*MAX(AG297-AG308-AG319,0))</f>
        <v>0</v>
      </c>
      <c r="AH330" s="39" t="n">
        <f aca="false">IF(30&gt;='Inputs &amp; Assumptions'!$E$141,0,'Inputs &amp; Assumptions'!$G$60*MAX(AH297-AH308-AH319,0))</f>
        <v>0</v>
      </c>
      <c r="AI330" s="39" t="n">
        <f aca="false">IF(31&gt;='Inputs &amp; Assumptions'!$E$141,0,'Inputs &amp; Assumptions'!$G$60*MAX(AI297-AI308-AI319,0))</f>
        <v>0</v>
      </c>
      <c r="AJ330" s="39" t="n">
        <f aca="false">IF(32&gt;='Inputs &amp; Assumptions'!$E$141,0,'Inputs &amp; Assumptions'!$G$60*MAX(AJ297-AJ308-AJ319,0))</f>
        <v>0</v>
      </c>
      <c r="AK330" s="39" t="n">
        <f aca="false">IF(33&gt;='Inputs &amp; Assumptions'!$E$141,0,'Inputs &amp; Assumptions'!$G$60*MAX(AK297-AK308-AK319,0))</f>
        <v>0</v>
      </c>
      <c r="AL330" s="39" t="n">
        <f aca="false">IF(34&gt;='Inputs &amp; Assumptions'!$E$141,0,'Inputs &amp; Assumptions'!$G$60*MAX(AL297-AL308-AL319,0))</f>
        <v>0</v>
      </c>
      <c r="AM330" s="39" t="n">
        <f aca="false">IF(35&gt;='Inputs &amp; Assumptions'!$E$141,0,'Inputs &amp; Assumptions'!$G$60*MAX(AM297-AM308-AM319,0))</f>
        <v>0</v>
      </c>
      <c r="AN330" s="39" t="n">
        <f aca="false">IF(36&gt;='Inputs &amp; Assumptions'!$E$141,0,'Inputs &amp; Assumptions'!$G$60*MAX(AN297-AN308-AN319,0))</f>
        <v>0</v>
      </c>
    </row>
    <row r="331" customFormat="false" ht="15" hidden="false" customHeight="false" outlineLevel="0" collapsed="false">
      <c r="B331" s="37" t="n">
        <v>3</v>
      </c>
      <c r="C331" s="38" t="n">
        <f aca="false">'Inputs &amp; Assumptions'!$C$142</f>
        <v>2</v>
      </c>
      <c r="D331" s="38" t="n">
        <f aca="false">'Inputs &amp; Assumptions'!$D$142</f>
        <v>3</v>
      </c>
      <c r="E331" s="39" t="n">
        <f aca="false">IF(1&gt;='Inputs &amp; Assumptions'!$E$142,0,'Inputs &amp; Assumptions'!$G$60*MAX(E298-E309-E320,0))</f>
        <v>1864679.64005357</v>
      </c>
      <c r="F331" s="39" t="n">
        <f aca="false">IF(2&gt;='Inputs &amp; Assumptions'!$E$142,0,'Inputs &amp; Assumptions'!$G$60*MAX(F298-F309-F320,0))</f>
        <v>1784492.83267876</v>
      </c>
      <c r="G331" s="39" t="n">
        <f aca="false">IF(3&gt;='Inputs &amp; Assumptions'!$E$142,0,'Inputs &amp; Assumptions'!$G$60*MAX(G298-G309-G320,0))</f>
        <v>1649606.04849576</v>
      </c>
      <c r="H331" s="39" t="n">
        <f aca="false">IF(4&gt;='Inputs &amp; Assumptions'!$E$142,0,'Inputs &amp; Assumptions'!$G$60*MAX(H298-H309-H320,0))</f>
        <v>1524915.12736922</v>
      </c>
      <c r="I331" s="39" t="n">
        <f aca="false">IF(5&gt;='Inputs &amp; Assumptions'!$E$142,0,'Inputs &amp; Assumptions'!$G$60*MAX(I298-I309-I320,0))</f>
        <v>1409649.3813174</v>
      </c>
      <c r="J331" s="39" t="n">
        <f aca="false">IF(6&gt;='Inputs &amp; Assumptions'!$E$142,0,'Inputs &amp; Assumptions'!$G$60*MAX(J298-J309-J320,0))</f>
        <v>1303096.37735491</v>
      </c>
      <c r="K331" s="39" t="n">
        <f aca="false">IF(7&gt;='Inputs &amp; Assumptions'!$E$142,0,'Inputs &amp; Assumptions'!$G$60*MAX(K298-K309-K320,0))</f>
        <v>1206801.17814477</v>
      </c>
      <c r="L331" s="39" t="n">
        <f aca="false">IF(8&gt;='Inputs &amp; Assumptions'!$E$142,0,'Inputs &amp; Assumptions'!$G$60*MAX(L298-L309-L320,0))</f>
        <v>1117621.92642099</v>
      </c>
      <c r="M331" s="39" t="n">
        <f aca="false">IF(9&gt;='Inputs &amp; Assumptions'!$E$142,0,'Inputs &amp; Assumptions'!$G$60*MAX(M298-M309-M320,0))</f>
        <v>1035032.77344922</v>
      </c>
      <c r="N331" s="39" t="n">
        <f aca="false">IF(10&gt;='Inputs &amp; Assumptions'!$E$142,0,'Inputs &amp; Assumptions'!$G$60*MAX(N298-N309-N320,0))</f>
        <v>958546.729254525</v>
      </c>
      <c r="O331" s="39" t="n">
        <f aca="false">IF(11&gt;='Inputs &amp; Assumptions'!$E$142,0,'Inputs &amp; Assumptions'!$G$60*MAX(O298-O309-O320,0))</f>
        <v>890279.345928434</v>
      </c>
      <c r="P331" s="39" t="n">
        <f aca="false">IF(12&gt;='Inputs &amp; Assumptions'!$E$142,0,'Inputs &amp; Assumptions'!$G$60*MAX(P298-P309-P320,0))</f>
        <v>826873.943227759</v>
      </c>
      <c r="Q331" s="39" t="n">
        <f aca="false">IF(13&gt;='Inputs &amp; Assumptions'!$E$142,0,'Inputs &amp; Assumptions'!$G$60*MAX(Q298-Q309-Q320,0))</f>
        <v>767984.252488752</v>
      </c>
      <c r="R331" s="39" t="n">
        <f aca="false">IF(14&gt;='Inputs &amp; Assumptions'!$E$142,0,'Inputs &amp; Assumptions'!$G$60*MAX(R298-R309-R320,0))</f>
        <v>713288.666188202</v>
      </c>
      <c r="S331" s="39" t="n">
        <f aca="false">IF(15&gt;='Inputs &amp; Assumptions'!$E$142,0,'Inputs &amp; Assumptions'!$G$60*MAX(S298-S309-S320,0))</f>
        <v>664172.17803461</v>
      </c>
      <c r="T331" s="39" t="n">
        <f aca="false">IF(16&gt;='Inputs &amp; Assumptions'!$E$142,0,'Inputs &amp; Assumptions'!$G$60*MAX(T298-T309-T320,0))</f>
        <v>618437.812046836</v>
      </c>
      <c r="U331" s="39" t="n">
        <f aca="false">IF(17&gt;='Inputs &amp; Assumptions'!$E$142,0,'Inputs &amp; Assumptions'!$G$60*MAX(U298-U309-U320,0))</f>
        <v>575852.677992404</v>
      </c>
      <c r="V331" s="39" t="n">
        <f aca="false">IF(18&gt;='Inputs &amp; Assumptions'!$E$142,0,'Inputs &amp; Assumptions'!$G$60*MAX(V298-V309-V320,0))</f>
        <v>536199.922274335</v>
      </c>
      <c r="W331" s="39" t="n">
        <f aca="false">IF(19&gt;='Inputs &amp; Assumptions'!$E$142,0,'Inputs &amp; Assumptions'!$G$60*MAX(W298-W309-W320,0))</f>
        <v>500127.709791643</v>
      </c>
      <c r="X331" s="39" t="n">
        <f aca="false">IF(20&gt;='Inputs &amp; Assumptions'!$E$142,0,'Inputs &amp; Assumptions'!$G$60*MAX(X298-X309-X320,0))</f>
        <v>466482.212530909</v>
      </c>
      <c r="Y331" s="39" t="n">
        <f aca="false">IF(21&gt;='Inputs &amp; Assumptions'!$E$142,0,'Inputs &amp; Assumptions'!$G$60*MAX(Y298-Y309-Y320,0))</f>
        <v>435100.176109796</v>
      </c>
      <c r="Z331" s="39" t="n">
        <f aca="false">IF(22&gt;='Inputs &amp; Assumptions'!$E$142,0,'Inputs &amp; Assumptions'!$G$60*MAX(Z298-Z309-Z320,0))</f>
        <v>405829.328890501</v>
      </c>
      <c r="AA331" s="39" t="n">
        <f aca="false">IF(23&gt;='Inputs &amp; Assumptions'!$E$142,0,'Inputs &amp; Assumptions'!$G$60*MAX(AA298-AA309-AA320,0))</f>
        <v>379113.850069968</v>
      </c>
      <c r="AB331" s="39" t="n">
        <f aca="false">IF(24&gt;='Inputs &amp; Assumptions'!$E$142,0,'Inputs &amp; Assumptions'!$G$60*MAX(AB298-AB309-AB320,0))</f>
        <v>354157.033716146</v>
      </c>
      <c r="AC331" s="39" t="n">
        <f aca="false">IF(25&gt;='Inputs &amp; Assumptions'!$E$142,0,'Inputs &amp; Assumptions'!$G$60*MAX(AC298-AC309-AC320,0))</f>
        <v>330843.108231132</v>
      </c>
      <c r="AD331" s="39" t="n">
        <f aca="false">IF(26&gt;='Inputs &amp; Assumptions'!$E$142,0,'Inputs &amp; Assumptions'!$G$60*MAX(AD298-AD309-AD320,0))</f>
        <v>0</v>
      </c>
      <c r="AE331" s="39" t="n">
        <f aca="false">IF(27&gt;='Inputs &amp; Assumptions'!$E$142,0,'Inputs &amp; Assumptions'!$G$60*MAX(AE298-AE309-AE320,0))</f>
        <v>0</v>
      </c>
      <c r="AF331" s="39" t="n">
        <f aca="false">IF(28&gt;='Inputs &amp; Assumptions'!$E$142,0,'Inputs &amp; Assumptions'!$G$60*MAX(AF298-AF309-AF320,0))</f>
        <v>0</v>
      </c>
      <c r="AG331" s="39" t="n">
        <f aca="false">IF(29&gt;='Inputs &amp; Assumptions'!$E$142,0,'Inputs &amp; Assumptions'!$G$60*MAX(AG298-AG309-AG320,0))</f>
        <v>0</v>
      </c>
      <c r="AH331" s="39" t="n">
        <f aca="false">IF(30&gt;='Inputs &amp; Assumptions'!$E$142,0,'Inputs &amp; Assumptions'!$G$60*MAX(AH298-AH309-AH320,0))</f>
        <v>0</v>
      </c>
      <c r="AI331" s="39" t="n">
        <f aca="false">IF(31&gt;='Inputs &amp; Assumptions'!$E$142,0,'Inputs &amp; Assumptions'!$G$60*MAX(AI298-AI309-AI320,0))</f>
        <v>0</v>
      </c>
      <c r="AJ331" s="39" t="n">
        <f aca="false">IF(32&gt;='Inputs &amp; Assumptions'!$E$142,0,'Inputs &amp; Assumptions'!$G$60*MAX(AJ298-AJ309-AJ320,0))</f>
        <v>0</v>
      </c>
      <c r="AK331" s="39" t="n">
        <f aca="false">IF(33&gt;='Inputs &amp; Assumptions'!$E$142,0,'Inputs &amp; Assumptions'!$G$60*MAX(AK298-AK309-AK320,0))</f>
        <v>0</v>
      </c>
      <c r="AL331" s="39" t="n">
        <f aca="false">IF(34&gt;='Inputs &amp; Assumptions'!$E$142,0,'Inputs &amp; Assumptions'!$G$60*MAX(AL298-AL309-AL320,0))</f>
        <v>0</v>
      </c>
      <c r="AM331" s="39" t="n">
        <f aca="false">IF(35&gt;='Inputs &amp; Assumptions'!$E$142,0,'Inputs &amp; Assumptions'!$G$60*MAX(AM298-AM309-AM320,0))</f>
        <v>0</v>
      </c>
      <c r="AN331" s="39" t="n">
        <f aca="false">IF(36&gt;='Inputs &amp; Assumptions'!$E$142,0,'Inputs &amp; Assumptions'!$G$60*MAX(AN298-AN309-AN320,0))</f>
        <v>0</v>
      </c>
    </row>
    <row r="332" customFormat="false" ht="15" hidden="false" customHeight="false" outlineLevel="0" collapsed="false">
      <c r="B332" s="37" t="n">
        <v>4</v>
      </c>
      <c r="C332" s="38" t="n">
        <f aca="false">'Inputs &amp; Assumptions'!$C$143</f>
        <v>3</v>
      </c>
      <c r="D332" s="38" t="n">
        <f aca="false">'Inputs &amp; Assumptions'!$D$143</f>
        <v>3</v>
      </c>
      <c r="E332" s="39" t="n">
        <f aca="false">IF(1&gt;='Inputs &amp; Assumptions'!$E$143,0,'Inputs &amp; Assumptions'!$G$60*MAX(E299-E310-E321,0))</f>
        <v>1864679.64005357</v>
      </c>
      <c r="F332" s="39" t="n">
        <f aca="false">IF(2&gt;='Inputs &amp; Assumptions'!$E$143,0,'Inputs &amp; Assumptions'!$G$60*MAX(F299-F310-F321,0))</f>
        <v>1723731.67121204</v>
      </c>
      <c r="G332" s="39" t="n">
        <f aca="false">IF(3&gt;='Inputs &amp; Assumptions'!$E$143,0,'Inputs &amp; Assumptions'!$G$60*MAX(G299-G310-G321,0))</f>
        <v>1593437.72008692</v>
      </c>
      <c r="H332" s="39" t="n">
        <f aca="false">IF(4&gt;='Inputs &amp; Assumptions'!$E$143,0,'Inputs &amp; Assumptions'!$G$60*MAX(H299-H310-H321,0))</f>
        <v>1472992.46756339</v>
      </c>
      <c r="I332" s="39" t="n">
        <f aca="false">IF(5&gt;='Inputs &amp; Assumptions'!$E$143,0,'Inputs &amp; Assumptions'!$G$60*MAX(I299-I310-I321,0))</f>
        <v>1361651.46723158</v>
      </c>
      <c r="J332" s="39" t="n">
        <f aca="false">IF(6&gt;='Inputs &amp; Assumptions'!$E$143,0,'Inputs &amp; Assumptions'!$G$60*MAX(J299-J310-J321,0))</f>
        <v>1261029.20968375</v>
      </c>
      <c r="K332" s="39" t="n">
        <f aca="false">IF(7&gt;='Inputs &amp; Assumptions'!$E$143,0,'Inputs &amp; Assumptions'!$G$60*MAX(K299-K310-K321,0))</f>
        <v>1167842.65720267</v>
      </c>
      <c r="L332" s="39" t="n">
        <f aca="false">IF(8&gt;='Inputs &amp; Assumptions'!$E$143,0,'Inputs &amp; Assumptions'!$G$60*MAX(L299-L310-L321,0))</f>
        <v>1081542.33185781</v>
      </c>
      <c r="M332" s="39" t="n">
        <f aca="false">IF(9&gt;='Inputs &amp; Assumptions'!$E$143,0,'Inputs &amp; Assumptions'!$G$60*MAX(M299-M310-M321,0))</f>
        <v>1001619.36061002</v>
      </c>
      <c r="N332" s="39" t="n">
        <f aca="false">IF(10&gt;='Inputs &amp; Assumptions'!$E$143,0,'Inputs &amp; Assumptions'!$G$60*MAX(N299-N310-N321,0))</f>
        <v>930284.358621353</v>
      </c>
      <c r="O332" s="39" t="n">
        <f aca="false">IF(11&gt;='Inputs &amp; Assumptions'!$E$143,0,'Inputs &amp; Assumptions'!$G$60*MAX(O299-O310-O321,0))</f>
        <v>864029.812052025</v>
      </c>
      <c r="P332" s="39" t="n">
        <f aca="false">IF(12&gt;='Inputs &amp; Assumptions'!$E$143,0,'Inputs &amp; Assumptions'!$G$60*MAX(P299-P310-P321,0))</f>
        <v>802493.892535196</v>
      </c>
      <c r="Q332" s="39" t="n">
        <f aca="false">IF(13&gt;='Inputs &amp; Assumptions'!$E$143,0,'Inputs &amp; Assumptions'!$G$60*MAX(Q299-Q310-Q321,0))</f>
        <v>745340.541001512</v>
      </c>
      <c r="R332" s="39" t="n">
        <f aca="false">IF(14&gt;='Inputs &amp; Assumptions'!$E$143,0,'Inputs &amp; Assumptions'!$G$60*MAX(R299-R310-R321,0))</f>
        <v>694016.986334469</v>
      </c>
      <c r="S332" s="39" t="n">
        <f aca="false">IF(15&gt;='Inputs &amp; Assumptions'!$E$143,0,'Inputs &amp; Assumptions'!$G$60*MAX(S299-S310-S321,0))</f>
        <v>646227.530671516</v>
      </c>
      <c r="T332" s="39" t="n">
        <f aca="false">IF(16&gt;='Inputs &amp; Assumptions'!$E$143,0,'Inputs &amp; Assumptions'!$G$60*MAX(T299-T310-T321,0))</f>
        <v>601728.818776411</v>
      </c>
      <c r="U332" s="39" t="n">
        <f aca="false">IF(17&gt;='Inputs &amp; Assumptions'!$E$143,0,'Inputs &amp; Assumptions'!$G$60*MAX(U299-U310-U321,0))</f>
        <v>560294.252660218</v>
      </c>
      <c r="V332" s="39" t="n">
        <f aca="false">IF(18&gt;='Inputs &amp; Assumptions'!$E$143,0,'Inputs &amp; Assumptions'!$G$60*MAX(V299-V310-V321,0))</f>
        <v>522601.122737587</v>
      </c>
      <c r="W332" s="39" t="n">
        <f aca="false">IF(19&gt;='Inputs &amp; Assumptions'!$E$143,0,'Inputs &amp; Assumptions'!$G$60*MAX(W299-W310-W321,0))</f>
        <v>487443.753331183</v>
      </c>
      <c r="X332" s="39" t="n">
        <f aca="false">IF(20&gt;='Inputs &amp; Assumptions'!$E$143,0,'Inputs &amp; Assumptions'!$G$60*MAX(X299-X310-X321,0))</f>
        <v>454651.554166097</v>
      </c>
      <c r="Y332" s="39" t="n">
        <f aca="false">IF(21&gt;='Inputs &amp; Assumptions'!$E$143,0,'Inputs &amp; Assumptions'!$G$60*MAX(Y299-Y310-Y321,0))</f>
        <v>424065.411225414</v>
      </c>
      <c r="Z332" s="39" t="n">
        <f aca="false">IF(22&gt;='Inputs &amp; Assumptions'!$E$143,0,'Inputs &amp; Assumptions'!$G$60*MAX(Z299-Z310-Z321,0))</f>
        <v>396149.463053098</v>
      </c>
      <c r="AA332" s="39" t="n">
        <f aca="false">IF(23&gt;='Inputs &amp; Assumptions'!$E$143,0,'Inputs &amp; Assumptions'!$G$60*MAX(AA299-AA310-AA321,0))</f>
        <v>370071.20345837</v>
      </c>
      <c r="AB332" s="39" t="n">
        <f aca="false">IF(24&gt;='Inputs &amp; Assumptions'!$E$143,0,'Inputs &amp; Assumptions'!$G$60*MAX(AB299-AB310-AB321,0))</f>
        <v>345709.658606226</v>
      </c>
      <c r="AC332" s="39" t="n">
        <f aca="false">IF(25&gt;='Inputs &amp; Assumptions'!$E$143,0,'Inputs &amp; Assumptions'!$G$60*MAX(AC299-AC310-AC321,0))</f>
        <v>0</v>
      </c>
      <c r="AD332" s="39" t="n">
        <f aca="false">IF(26&gt;='Inputs &amp; Assumptions'!$E$143,0,'Inputs &amp; Assumptions'!$G$60*MAX(AD299-AD310-AD321,0))</f>
        <v>0</v>
      </c>
      <c r="AE332" s="39" t="n">
        <f aca="false">IF(27&gt;='Inputs &amp; Assumptions'!$E$143,0,'Inputs &amp; Assumptions'!$G$60*MAX(AE299-AE310-AE321,0))</f>
        <v>0</v>
      </c>
      <c r="AF332" s="39" t="n">
        <f aca="false">IF(28&gt;='Inputs &amp; Assumptions'!$E$143,0,'Inputs &amp; Assumptions'!$G$60*MAX(AF299-AF310-AF321,0))</f>
        <v>0</v>
      </c>
      <c r="AG332" s="39" t="n">
        <f aca="false">IF(29&gt;='Inputs &amp; Assumptions'!$E$143,0,'Inputs &amp; Assumptions'!$G$60*MAX(AG299-AG310-AG321,0))</f>
        <v>0</v>
      </c>
      <c r="AH332" s="39" t="n">
        <f aca="false">IF(30&gt;='Inputs &amp; Assumptions'!$E$143,0,'Inputs &amp; Assumptions'!$G$60*MAX(AH299-AH310-AH321,0))</f>
        <v>0</v>
      </c>
      <c r="AI332" s="39" t="n">
        <f aca="false">IF(31&gt;='Inputs &amp; Assumptions'!$E$143,0,'Inputs &amp; Assumptions'!$G$60*MAX(AI299-AI310-AI321,0))</f>
        <v>0</v>
      </c>
      <c r="AJ332" s="39" t="n">
        <f aca="false">IF(32&gt;='Inputs &amp; Assumptions'!$E$143,0,'Inputs &amp; Assumptions'!$G$60*MAX(AJ299-AJ310-AJ321,0))</f>
        <v>0</v>
      </c>
      <c r="AK332" s="39" t="n">
        <f aca="false">IF(33&gt;='Inputs &amp; Assumptions'!$E$143,0,'Inputs &amp; Assumptions'!$G$60*MAX(AK299-AK310-AK321,0))</f>
        <v>0</v>
      </c>
      <c r="AL332" s="39" t="n">
        <f aca="false">IF(34&gt;='Inputs &amp; Assumptions'!$E$143,0,'Inputs &amp; Assumptions'!$G$60*MAX(AL299-AL310-AL321,0))</f>
        <v>0</v>
      </c>
      <c r="AM332" s="39" t="n">
        <f aca="false">IF(35&gt;='Inputs &amp; Assumptions'!$E$143,0,'Inputs &amp; Assumptions'!$G$60*MAX(AM299-AM310-AM321,0))</f>
        <v>0</v>
      </c>
      <c r="AN332" s="39" t="n">
        <f aca="false">IF(36&gt;='Inputs &amp; Assumptions'!$E$143,0,'Inputs &amp; Assumptions'!$G$60*MAX(AN299-AN310-AN321,0))</f>
        <v>0</v>
      </c>
    </row>
    <row r="333" customFormat="false" ht="15" hidden="false" customHeight="false" outlineLevel="0" collapsed="false">
      <c r="B333" s="37" t="n">
        <v>5</v>
      </c>
      <c r="C333" s="38" t="n">
        <f aca="false">'Inputs &amp; Assumptions'!$C$144</f>
        <v>4</v>
      </c>
      <c r="D333" s="38" t="n">
        <f aca="false">'Inputs &amp; Assumptions'!$D$144</f>
        <v>3</v>
      </c>
      <c r="E333" s="39" t="n">
        <f aca="false">IF(1&gt;='Inputs &amp; Assumptions'!$E$144,0,'Inputs &amp; Assumptions'!$G$60*MAX(E300-E311-E322,0))</f>
        <v>1801188.15461963</v>
      </c>
      <c r="F333" s="39" t="n">
        <f aca="false">IF(2&gt;='Inputs &amp; Assumptions'!$E$144,0,'Inputs &amp; Assumptions'!$G$60*MAX(F300-F311-F322,0))</f>
        <v>1665039.39939014</v>
      </c>
      <c r="G333" s="39" t="n">
        <f aca="false">IF(3&gt;='Inputs &amp; Assumptions'!$E$144,0,'Inputs &amp; Assumptions'!$G$60*MAX(G300-G311-G322,0))</f>
        <v>1539181.89746642</v>
      </c>
      <c r="H333" s="39" t="n">
        <f aca="false">IF(4&gt;='Inputs &amp; Assumptions'!$E$144,0,'Inputs &amp; Assumptions'!$G$60*MAX(H300-H311-H322,0))</f>
        <v>1422837.7504797</v>
      </c>
      <c r="I333" s="39" t="n">
        <f aca="false">IF(5&gt;='Inputs &amp; Assumptions'!$E$144,0,'Inputs &amp; Assumptions'!$G$60*MAX(I300-I311-I322,0))</f>
        <v>1317693.9967197</v>
      </c>
      <c r="J333" s="39" t="n">
        <f aca="false">IF(6&gt;='Inputs &amp; Assumptions'!$E$144,0,'Inputs &amp; Assumptions'!$G$60*MAX(J300-J311-J322,0))</f>
        <v>1220320.07402514</v>
      </c>
      <c r="K333" s="39" t="n">
        <f aca="false">IF(7&gt;='Inputs &amp; Assumptions'!$E$144,0,'Inputs &amp; Assumptions'!$G$60*MAX(K300-K311-K322,0))</f>
        <v>1130141.81348319</v>
      </c>
      <c r="L333" s="39" t="n">
        <f aca="false">IF(8&gt;='Inputs &amp; Assumptions'!$E$144,0,'Inputs &amp; Assumptions'!$G$60*MAX(L300-L311-L322,0))</f>
        <v>1046627.47566731</v>
      </c>
      <c r="M333" s="39" t="n">
        <f aca="false">IF(9&gt;='Inputs &amp; Assumptions'!$E$144,0,'Inputs &amp; Assumptions'!$G$60*MAX(M300-M311-M322,0))</f>
        <v>972087.010502331</v>
      </c>
      <c r="N333" s="39" t="n">
        <f aca="false">IF(10&gt;='Inputs &amp; Assumptions'!$E$144,0,'Inputs &amp; Assumptions'!$G$60*MAX(N300-N311-N322,0))</f>
        <v>902855.292791618</v>
      </c>
      <c r="O333" s="39" t="n">
        <f aca="false">IF(11&gt;='Inputs &amp; Assumptions'!$E$144,0,'Inputs &amp; Assumptions'!$G$60*MAX(O300-O311-O322,0))</f>
        <v>838554.235284562</v>
      </c>
      <c r="P333" s="39" t="n">
        <f aca="false">IF(12&gt;='Inputs &amp; Assumptions'!$E$144,0,'Inputs &amp; Assumptions'!$G$60*MAX(P300-P311-P322,0))</f>
        <v>778832.677980403</v>
      </c>
      <c r="Q333" s="39" t="n">
        <f aca="false">IF(13&gt;='Inputs &amp; Assumptions'!$E$144,0,'Inputs &amp; Assumptions'!$G$60*MAX(Q300-Q311-Q322,0))</f>
        <v>725202.881496911</v>
      </c>
      <c r="R333" s="39" t="n">
        <f aca="false">IF(14&gt;='Inputs &amp; Assumptions'!$E$144,0,'Inputs &amp; Assumptions'!$G$60*MAX(R300-R311-R322,0))</f>
        <v>675265.989987975</v>
      </c>
      <c r="S333" s="39" t="n">
        <f aca="false">IF(15&gt;='Inputs &amp; Assumptions'!$E$144,0,'Inputs &amp; Assumptions'!$G$60*MAX(S300-S311-S322,0))</f>
        <v>628767.712965</v>
      </c>
      <c r="T333" s="39" t="n">
        <f aca="false">IF(16&gt;='Inputs &amp; Assumptions'!$E$144,0,'Inputs &amp; Assumptions'!$G$60*MAX(T300-T311-T322,0))</f>
        <v>585471.270179439</v>
      </c>
      <c r="U333" s="39" t="n">
        <f aca="false">IF(17&gt;='Inputs &amp; Assumptions'!$E$144,0,'Inputs &amp; Assumptions'!$G$60*MAX(U300-U311-U322,0))</f>
        <v>546084.386326779</v>
      </c>
      <c r="V333" s="39" t="n">
        <f aca="false">IF(18&gt;='Inputs &amp; Assumptions'!$E$144,0,'Inputs &amp; Assumptions'!$G$60*MAX(V300-V311-V322,0))</f>
        <v>509347.208272915</v>
      </c>
      <c r="W333" s="39" t="n">
        <f aca="false">IF(19&gt;='Inputs &amp; Assumptions'!$E$144,0,'Inputs &amp; Assumptions'!$G$60*MAX(W300-W311-W322,0))</f>
        <v>475081.480209481</v>
      </c>
      <c r="X333" s="39" t="n">
        <f aca="false">IF(20&gt;='Inputs &amp; Assumptions'!$E$144,0,'Inputs &amp; Assumptions'!$G$60*MAX(X300-X311-X322,0))</f>
        <v>443120.938275757</v>
      </c>
      <c r="Y333" s="39" t="n">
        <f aca="false">IF(21&gt;='Inputs &amp; Assumptions'!$E$144,0,'Inputs &amp; Assumptions'!$G$60*MAX(Y300-Y311-Y322,0))</f>
        <v>413950.577242942</v>
      </c>
      <c r="Z333" s="39" t="n">
        <f aca="false">IF(22&gt;='Inputs &amp; Assumptions'!$E$144,0,'Inputs &amp; Assumptions'!$G$60*MAX(Z300-Z311-Z322,0))</f>
        <v>386700.481964428</v>
      </c>
      <c r="AA333" s="39" t="n">
        <f aca="false">IF(23&gt;='Inputs &amp; Assumptions'!$E$144,0,'Inputs &amp; Assumptions'!$G$60*MAX(AA300-AA311-AA322,0))</f>
        <v>361244.242603773</v>
      </c>
      <c r="AB333" s="39" t="n">
        <f aca="false">IF(24&gt;='Inputs &amp; Assumptions'!$E$144,0,'Inputs &amp; Assumptions'!$G$60*MAX(AB300-AB311-AB322,0))</f>
        <v>0</v>
      </c>
      <c r="AC333" s="39" t="n">
        <f aca="false">IF(25&gt;='Inputs &amp; Assumptions'!$E$144,0,'Inputs &amp; Assumptions'!$G$60*MAX(AC300-AC311-AC322,0))</f>
        <v>0</v>
      </c>
      <c r="AD333" s="39" t="n">
        <f aca="false">IF(26&gt;='Inputs &amp; Assumptions'!$E$144,0,'Inputs &amp; Assumptions'!$G$60*MAX(AD300-AD311-AD322,0))</f>
        <v>0</v>
      </c>
      <c r="AE333" s="39" t="n">
        <f aca="false">IF(27&gt;='Inputs &amp; Assumptions'!$E$144,0,'Inputs &amp; Assumptions'!$G$60*MAX(AE300-AE311-AE322,0))</f>
        <v>0</v>
      </c>
      <c r="AF333" s="39" t="n">
        <f aca="false">IF(28&gt;='Inputs &amp; Assumptions'!$E$144,0,'Inputs &amp; Assumptions'!$G$60*MAX(AF300-AF311-AF322,0))</f>
        <v>0</v>
      </c>
      <c r="AG333" s="39" t="n">
        <f aca="false">IF(29&gt;='Inputs &amp; Assumptions'!$E$144,0,'Inputs &amp; Assumptions'!$G$60*MAX(AG300-AG311-AG322,0))</f>
        <v>0</v>
      </c>
      <c r="AH333" s="39" t="n">
        <f aca="false">IF(30&gt;='Inputs &amp; Assumptions'!$E$144,0,'Inputs &amp; Assumptions'!$G$60*MAX(AH300-AH311-AH322,0))</f>
        <v>0</v>
      </c>
      <c r="AI333" s="39" t="n">
        <f aca="false">IF(31&gt;='Inputs &amp; Assumptions'!$E$144,0,'Inputs &amp; Assumptions'!$G$60*MAX(AI300-AI311-AI322,0))</f>
        <v>0</v>
      </c>
      <c r="AJ333" s="39" t="n">
        <f aca="false">IF(32&gt;='Inputs &amp; Assumptions'!$E$144,0,'Inputs &amp; Assumptions'!$G$60*MAX(AJ300-AJ311-AJ322,0))</f>
        <v>0</v>
      </c>
      <c r="AK333" s="39" t="n">
        <f aca="false">IF(33&gt;='Inputs &amp; Assumptions'!$E$144,0,'Inputs &amp; Assumptions'!$G$60*MAX(AK300-AK311-AK322,0))</f>
        <v>0</v>
      </c>
      <c r="AL333" s="39" t="n">
        <f aca="false">IF(34&gt;='Inputs &amp; Assumptions'!$E$144,0,'Inputs &amp; Assumptions'!$G$60*MAX(AL300-AL311-AL322,0))</f>
        <v>0</v>
      </c>
      <c r="AM333" s="39" t="n">
        <f aca="false">IF(35&gt;='Inputs &amp; Assumptions'!$E$144,0,'Inputs &amp; Assumptions'!$G$60*MAX(AM300-AM311-AM322,0))</f>
        <v>0</v>
      </c>
      <c r="AN333" s="39" t="n">
        <f aca="false">IF(36&gt;='Inputs &amp; Assumptions'!$E$144,0,'Inputs &amp; Assumptions'!$G$60*MAX(AN300-AN311-AN322,0))</f>
        <v>0</v>
      </c>
    </row>
    <row r="334" customFormat="false" ht="15" hidden="false" customHeight="false" outlineLevel="0" collapsed="false">
      <c r="B334" s="37" t="n">
        <v>6</v>
      </c>
      <c r="C334" s="38" t="n">
        <f aca="false">'Inputs &amp; Assumptions'!$C$145</f>
        <v>5</v>
      </c>
      <c r="D334" s="38" t="n">
        <f aca="false">'Inputs &amp; Assumptions'!$D$145</f>
        <v>3</v>
      </c>
      <c r="E334" s="39" t="n">
        <f aca="false">IF(1&gt;='Inputs &amp; Assumptions'!$E$145,0,'Inputs &amp; Assumptions'!$G$60*MAX(E301-E312-E323,0))</f>
        <v>1747152.50998104</v>
      </c>
      <c r="F334" s="39" t="n">
        <f aca="false">IF(2&gt;='Inputs &amp; Assumptions'!$E$145,0,'Inputs &amp; Assumptions'!$G$60*MAX(F301-F312-F323,0))</f>
        <v>1615088.21740844</v>
      </c>
      <c r="G334" s="39" t="n">
        <f aca="false">IF(3&gt;='Inputs &amp; Assumptions'!$E$145,0,'Inputs &amp; Assumptions'!$G$60*MAX(G301-G312-G323,0))</f>
        <v>1493006.44054243</v>
      </c>
      <c r="H334" s="39" t="n">
        <f aca="false">IF(4&gt;='Inputs &amp; Assumptions'!$E$145,0,'Inputs &amp; Assumptions'!$G$60*MAX(H301-H312-H323,0))</f>
        <v>1382677.41568098</v>
      </c>
      <c r="I334" s="39" t="n">
        <f aca="false">IF(5&gt;='Inputs &amp; Assumptions'!$E$145,0,'Inputs &amp; Assumptions'!$G$60*MAX(I301-I312-I323,0))</f>
        <v>1280501.39900244</v>
      </c>
      <c r="J334" s="39" t="n">
        <f aca="false">IF(6&gt;='Inputs &amp; Assumptions'!$E$145,0,'Inputs &amp; Assumptions'!$G$60*MAX(J301-J312-J323,0))</f>
        <v>1185875.90587039</v>
      </c>
      <c r="K334" s="39" t="n">
        <f aca="false">IF(7&gt;='Inputs &amp; Assumptions'!$E$145,0,'Inputs &amp; Assumptions'!$G$60*MAX(K301-K312-K323,0))</f>
        <v>1098242.97358791</v>
      </c>
      <c r="L334" s="39" t="n">
        <f aca="false">IF(8&gt;='Inputs &amp; Assumptions'!$E$145,0,'Inputs &amp; Assumptions'!$G$60*MAX(L301-L312-L323,0))</f>
        <v>1020026.46960858</v>
      </c>
      <c r="M334" s="39" t="n">
        <f aca="false">IF(9&gt;='Inputs &amp; Assumptions'!$E$145,0,'Inputs &amp; Assumptions'!$G$60*MAX(M301-M312-M323,0))</f>
        <v>947380.519360867</v>
      </c>
      <c r="N334" s="39" t="n">
        <f aca="false">IF(10&gt;='Inputs &amp; Assumptions'!$E$145,0,'Inputs &amp; Assumptions'!$G$60*MAX(N301-N312-N323,0))</f>
        <v>879908.389837064</v>
      </c>
      <c r="O334" s="39" t="n">
        <f aca="false">IF(11&gt;='Inputs &amp; Assumptions'!$E$145,0,'Inputs &amp; Assumptions'!$G$60*MAX(O301-O312-O323,0))</f>
        <v>817241.603223993</v>
      </c>
      <c r="P334" s="39" t="n">
        <f aca="false">IF(12&gt;='Inputs &amp; Assumptions'!$E$145,0,'Inputs &amp; Assumptions'!$G$60*MAX(P301-P312-P323,0))</f>
        <v>760966.998809092</v>
      </c>
      <c r="Q334" s="39" t="n">
        <f aca="false">IF(13&gt;='Inputs &amp; Assumptions'!$E$145,0,'Inputs &amp; Assumptions'!$G$60*MAX(Q301-Q312-Q323,0))</f>
        <v>708567.418731621</v>
      </c>
      <c r="R334" s="39" t="n">
        <f aca="false">IF(14&gt;='Inputs &amp; Assumptions'!$E$145,0,'Inputs &amp; Assumptions'!$G$60*MAX(R301-R312-R323,0))</f>
        <v>659776.031909038</v>
      </c>
      <c r="S334" s="39" t="n">
        <f aca="false">IF(15&gt;='Inputs &amp; Assumptions'!$E$145,0,'Inputs &amp; Assumptions'!$G$60*MAX(S301-S312-S323,0))</f>
        <v>614344.381034141</v>
      </c>
      <c r="T334" s="39" t="n">
        <f aca="false">IF(16&gt;='Inputs &amp; Assumptions'!$E$145,0,'Inputs &amp; Assumptions'!$G$60*MAX(T301-T312-T323,0))</f>
        <v>573015.092965215</v>
      </c>
      <c r="U334" s="39" t="n">
        <f aca="false">IF(17&gt;='Inputs &amp; Assumptions'!$E$145,0,'Inputs &amp; Assumptions'!$G$60*MAX(U301-U312-U323,0))</f>
        <v>534466.183630133</v>
      </c>
      <c r="V334" s="39" t="n">
        <f aca="false">IF(18&gt;='Inputs &amp; Assumptions'!$E$145,0,'Inputs &amp; Assumptions'!$G$60*MAX(V301-V312-V323,0))</f>
        <v>498510.606354133</v>
      </c>
      <c r="W334" s="39" t="n">
        <f aca="false">IF(19&gt;='Inputs &amp; Assumptions'!$E$145,0,'Inputs &amp; Assumptions'!$G$60*MAX(W301-W312-W323,0))</f>
        <v>464973.897805187</v>
      </c>
      <c r="X334" s="39" t="n">
        <f aca="false">IF(20&gt;='Inputs &amp; Assumptions'!$E$145,0,'Inputs &amp; Assumptions'!$G$60*MAX(X301-X312-X323,0))</f>
        <v>434364.97076466</v>
      </c>
      <c r="Y334" s="39" t="n">
        <f aca="false">IF(21&gt;='Inputs &amp; Assumptions'!$E$145,0,'Inputs &amp; Assumptions'!$G$60*MAX(Y301-Y312-Y323,0))</f>
        <v>405771.00933617</v>
      </c>
      <c r="Z334" s="39" t="n">
        <f aca="false">IF(22&gt;='Inputs &amp; Assumptions'!$E$145,0,'Inputs &amp; Assumptions'!$G$60*MAX(Z301-Z312-Z323,0))</f>
        <v>379059.369653688</v>
      </c>
      <c r="AA334" s="39" t="n">
        <f aca="false">IF(23&gt;='Inputs &amp; Assumptions'!$E$145,0,'Inputs &amp; Assumptions'!$G$60*MAX(AA301-AA312-AA323,0))</f>
        <v>0</v>
      </c>
      <c r="AB334" s="39" t="n">
        <f aca="false">IF(24&gt;='Inputs &amp; Assumptions'!$E$145,0,'Inputs &amp; Assumptions'!$G$60*MAX(AB301-AB312-AB323,0))</f>
        <v>0</v>
      </c>
      <c r="AC334" s="39" t="n">
        <f aca="false">IF(25&gt;='Inputs &amp; Assumptions'!$E$145,0,'Inputs &amp; Assumptions'!$G$60*MAX(AC301-AC312-AC323,0))</f>
        <v>0</v>
      </c>
      <c r="AD334" s="39" t="n">
        <f aca="false">IF(26&gt;='Inputs &amp; Assumptions'!$E$145,0,'Inputs &amp; Assumptions'!$G$60*MAX(AD301-AD312-AD323,0))</f>
        <v>0</v>
      </c>
      <c r="AE334" s="39" t="n">
        <f aca="false">IF(27&gt;='Inputs &amp; Assumptions'!$E$145,0,'Inputs &amp; Assumptions'!$G$60*MAX(AE301-AE312-AE323,0))</f>
        <v>0</v>
      </c>
      <c r="AF334" s="39" t="n">
        <f aca="false">IF(28&gt;='Inputs &amp; Assumptions'!$E$145,0,'Inputs &amp; Assumptions'!$G$60*MAX(AF301-AF312-AF323,0))</f>
        <v>0</v>
      </c>
      <c r="AG334" s="39" t="n">
        <f aca="false">IF(29&gt;='Inputs &amp; Assumptions'!$E$145,0,'Inputs &amp; Assumptions'!$G$60*MAX(AG301-AG312-AG323,0))</f>
        <v>0</v>
      </c>
      <c r="AH334" s="39" t="n">
        <f aca="false">IF(30&gt;='Inputs &amp; Assumptions'!$E$145,0,'Inputs &amp; Assumptions'!$G$60*MAX(AH301-AH312-AH323,0))</f>
        <v>0</v>
      </c>
      <c r="AI334" s="39" t="n">
        <f aca="false">IF(31&gt;='Inputs &amp; Assumptions'!$E$145,0,'Inputs &amp; Assumptions'!$G$60*MAX(AI301-AI312-AI323,0))</f>
        <v>0</v>
      </c>
      <c r="AJ334" s="39" t="n">
        <f aca="false">IF(32&gt;='Inputs &amp; Assumptions'!$E$145,0,'Inputs &amp; Assumptions'!$G$60*MAX(AJ301-AJ312-AJ323,0))</f>
        <v>0</v>
      </c>
      <c r="AK334" s="39" t="n">
        <f aca="false">IF(33&gt;='Inputs &amp; Assumptions'!$E$145,0,'Inputs &amp; Assumptions'!$G$60*MAX(AK301-AK312-AK323,0))</f>
        <v>0</v>
      </c>
      <c r="AL334" s="39" t="n">
        <f aca="false">IF(34&gt;='Inputs &amp; Assumptions'!$E$145,0,'Inputs &amp; Assumptions'!$G$60*MAX(AL301-AL312-AL323,0))</f>
        <v>0</v>
      </c>
      <c r="AM334" s="39" t="n">
        <f aca="false">IF(35&gt;='Inputs &amp; Assumptions'!$E$145,0,'Inputs &amp; Assumptions'!$G$60*MAX(AM301-AM312-AM323,0))</f>
        <v>0</v>
      </c>
      <c r="AN334" s="39" t="n">
        <f aca="false">IF(36&gt;='Inputs &amp; Assumptions'!$E$145,0,'Inputs &amp; Assumptions'!$G$60*MAX(AN301-AN312-AN323,0))</f>
        <v>0</v>
      </c>
    </row>
    <row r="335" customFormat="false" ht="15" hidden="false" customHeight="false" outlineLevel="0" collapsed="false">
      <c r="B335" s="37" t="n">
        <v>7</v>
      </c>
      <c r="C335" s="38" t="n">
        <f aca="false">'Inputs &amp; Assumptions'!$C$146</f>
        <v>6</v>
      </c>
      <c r="D335" s="38" t="n">
        <f aca="false">'Inputs &amp; Assumptions'!$D$146</f>
        <v>3</v>
      </c>
      <c r="E335" s="39" t="n">
        <f aca="false">IF(1&gt;='Inputs &amp; Assumptions'!$E$146,0,'Inputs &amp; Assumptions'!$G$60*MAX(E302-E313-E324,0))</f>
        <v>1694737.93468161</v>
      </c>
      <c r="F335" s="39" t="n">
        <f aca="false">IF(2&gt;='Inputs &amp; Assumptions'!$E$146,0,'Inputs &amp; Assumptions'!$G$60*MAX(F302-F313-F324,0))</f>
        <v>1566635.57088618</v>
      </c>
      <c r="G335" s="39" t="n">
        <f aca="false">IF(3&gt;='Inputs &amp; Assumptions'!$E$146,0,'Inputs &amp; Assumptions'!$G$60*MAX(G302-G313-G324,0))</f>
        <v>1450865.55800778</v>
      </c>
      <c r="H335" s="39" t="n">
        <f aca="false">IF(4&gt;='Inputs &amp; Assumptions'!$E$146,0,'Inputs &amp; Assumptions'!$G$60*MAX(H302-H313-H324,0))</f>
        <v>1343650.62719884</v>
      </c>
      <c r="I335" s="39" t="n">
        <f aca="false">IF(5&gt;='Inputs &amp; Assumptions'!$E$146,0,'Inputs &amp; Assumptions'!$G$60*MAX(I302-I313-I324,0))</f>
        <v>1244358.58168063</v>
      </c>
      <c r="J335" s="39" t="n">
        <f aca="false">IF(6&gt;='Inputs &amp; Assumptions'!$E$146,0,'Inputs &amp; Assumptions'!$G$60*MAX(J302-J313-J324,0))</f>
        <v>1152403.94225864</v>
      </c>
      <c r="K335" s="39" t="n">
        <f aca="false">IF(7&gt;='Inputs &amp; Assumptions'!$E$146,0,'Inputs &amp; Assumptions'!$G$60*MAX(K302-K313-K324,0))</f>
        <v>1070330.11187391</v>
      </c>
      <c r="L335" s="39" t="n">
        <f aca="false">IF(8&gt;='Inputs &amp; Assumptions'!$E$146,0,'Inputs &amp; Assumptions'!$G$60*MAX(L302-L313-L324,0))</f>
        <v>994101.552740878</v>
      </c>
      <c r="M335" s="39" t="n">
        <f aca="false">IF(9&gt;='Inputs &amp; Assumptions'!$E$146,0,'Inputs &amp; Assumptions'!$G$60*MAX(M302-M313-M324,0))</f>
        <v>923301.966560241</v>
      </c>
      <c r="N335" s="39" t="n">
        <f aca="false">IF(10&gt;='Inputs &amp; Assumptions'!$E$146,0,'Inputs &amp; Assumptions'!$G$60*MAX(N302-N313-N324,0))</f>
        <v>857544.703660891</v>
      </c>
      <c r="O335" s="39" t="n">
        <f aca="false">IF(11&gt;='Inputs &amp; Assumptions'!$E$146,0,'Inputs &amp; Assumptions'!$G$60*MAX(O302-O313-O324,0))</f>
        <v>798494.859922841</v>
      </c>
      <c r="P335" s="39" t="n">
        <f aca="false">IF(12&gt;='Inputs &amp; Assumptions'!$E$146,0,'Inputs &amp; Assumptions'!$G$60*MAX(P302-P313-P324,0))</f>
        <v>743511.141286611</v>
      </c>
      <c r="Q335" s="39" t="n">
        <f aca="false">IF(13&gt;='Inputs &amp; Assumptions'!$E$146,0,'Inputs &amp; Assumptions'!$G$60*MAX(Q302-Q313-Q324,0))</f>
        <v>692313.557623573</v>
      </c>
      <c r="R335" s="39" t="n">
        <f aca="false">IF(14&gt;='Inputs &amp; Assumptions'!$E$146,0,'Inputs &amp; Assumptions'!$G$60*MAX(R302-R313-R324,0))</f>
        <v>644641.398701848</v>
      </c>
      <c r="S335" s="39" t="n">
        <f aca="false">IF(15&gt;='Inputs &amp; Assumptions'!$E$146,0,'Inputs &amp; Assumptions'!$G$60*MAX(S302-S313-S324,0))</f>
        <v>601273.914778163</v>
      </c>
      <c r="T335" s="39" t="n">
        <f aca="false">IF(16&gt;='Inputs &amp; Assumptions'!$E$146,0,'Inputs &amp; Assumptions'!$G$60*MAX(T302-T313-T324,0))</f>
        <v>560823.926792001</v>
      </c>
      <c r="U335" s="39" t="n">
        <f aca="false">IF(17&gt;='Inputs &amp; Assumptions'!$E$146,0,'Inputs &amp; Assumptions'!$G$60*MAX(U302-U313-U324,0))</f>
        <v>523095.163671687</v>
      </c>
      <c r="V335" s="39" t="n">
        <f aca="false">IF(18&gt;='Inputs &amp; Assumptions'!$E$146,0,'Inputs &amp; Assumptions'!$G$60*MAX(V302-V313-V324,0))</f>
        <v>487904.558248623</v>
      </c>
      <c r="W335" s="39" t="n">
        <f aca="false">IF(19&gt;='Inputs &amp; Assumptions'!$E$146,0,'Inputs &amp; Assumptions'!$G$60*MAX(W302-W313-W324,0))</f>
        <v>455786.120855327</v>
      </c>
      <c r="X335" s="39" t="n">
        <f aca="false">IF(20&gt;='Inputs &amp; Assumptions'!$E$146,0,'Inputs &amp; Assumptions'!$G$60*MAX(X302-X313-X324,0))</f>
        <v>425782.019151557</v>
      </c>
      <c r="Y335" s="39" t="n">
        <f aca="false">IF(21&gt;='Inputs &amp; Assumptions'!$E$146,0,'Inputs &amp; Assumptions'!$G$60*MAX(Y302-Y313-Y324,0))</f>
        <v>397753.067804187</v>
      </c>
      <c r="Z335" s="39" t="n">
        <f aca="false">IF(22&gt;='Inputs &amp; Assumptions'!$E$146,0,'Inputs &amp; Assumptions'!$G$60*MAX(Z302-Z313-Z324,0))</f>
        <v>0</v>
      </c>
      <c r="AA335" s="39" t="n">
        <f aca="false">IF(23&gt;='Inputs &amp; Assumptions'!$E$146,0,'Inputs &amp; Assumptions'!$G$60*MAX(AA302-AA313-AA324,0))</f>
        <v>0</v>
      </c>
      <c r="AB335" s="39" t="n">
        <f aca="false">IF(24&gt;='Inputs &amp; Assumptions'!$E$146,0,'Inputs &amp; Assumptions'!$G$60*MAX(AB302-AB313-AB324,0))</f>
        <v>0</v>
      </c>
      <c r="AC335" s="39" t="n">
        <f aca="false">IF(25&gt;='Inputs &amp; Assumptions'!$E$146,0,'Inputs &amp; Assumptions'!$G$60*MAX(AC302-AC313-AC324,0))</f>
        <v>0</v>
      </c>
      <c r="AD335" s="39" t="n">
        <f aca="false">IF(26&gt;='Inputs &amp; Assumptions'!$E$146,0,'Inputs &amp; Assumptions'!$G$60*MAX(AD302-AD313-AD324,0))</f>
        <v>0</v>
      </c>
      <c r="AE335" s="39" t="n">
        <f aca="false">IF(27&gt;='Inputs &amp; Assumptions'!$E$146,0,'Inputs &amp; Assumptions'!$G$60*MAX(AE302-AE313-AE324,0))</f>
        <v>0</v>
      </c>
      <c r="AF335" s="39" t="n">
        <f aca="false">IF(28&gt;='Inputs &amp; Assumptions'!$E$146,0,'Inputs &amp; Assumptions'!$G$60*MAX(AF302-AF313-AF324,0))</f>
        <v>0</v>
      </c>
      <c r="AG335" s="39" t="n">
        <f aca="false">IF(29&gt;='Inputs &amp; Assumptions'!$E$146,0,'Inputs &amp; Assumptions'!$G$60*MAX(AG302-AG313-AG324,0))</f>
        <v>0</v>
      </c>
      <c r="AH335" s="39" t="n">
        <f aca="false">IF(30&gt;='Inputs &amp; Assumptions'!$E$146,0,'Inputs &amp; Assumptions'!$G$60*MAX(AH302-AH313-AH324,0))</f>
        <v>0</v>
      </c>
      <c r="AI335" s="39" t="n">
        <f aca="false">IF(31&gt;='Inputs &amp; Assumptions'!$E$146,0,'Inputs &amp; Assumptions'!$G$60*MAX(AI302-AI313-AI324,0))</f>
        <v>0</v>
      </c>
      <c r="AJ335" s="39" t="n">
        <f aca="false">IF(32&gt;='Inputs &amp; Assumptions'!$E$146,0,'Inputs &amp; Assumptions'!$G$60*MAX(AJ302-AJ313-AJ324,0))</f>
        <v>0</v>
      </c>
      <c r="AK335" s="39" t="n">
        <f aca="false">IF(33&gt;='Inputs &amp; Assumptions'!$E$146,0,'Inputs &amp; Assumptions'!$G$60*MAX(AK302-AK313-AK324,0))</f>
        <v>0</v>
      </c>
      <c r="AL335" s="39" t="n">
        <f aca="false">IF(34&gt;='Inputs &amp; Assumptions'!$E$146,0,'Inputs &amp; Assumptions'!$G$60*MAX(AL302-AL313-AL324,0))</f>
        <v>0</v>
      </c>
      <c r="AM335" s="39" t="n">
        <f aca="false">IF(35&gt;='Inputs &amp; Assumptions'!$E$146,0,'Inputs &amp; Assumptions'!$G$60*MAX(AM302-AM313-AM324,0))</f>
        <v>0</v>
      </c>
      <c r="AN335" s="39" t="n">
        <f aca="false">IF(36&gt;='Inputs &amp; Assumptions'!$E$146,0,'Inputs &amp; Assumptions'!$G$60*MAX(AN302-AN313-AN324,0))</f>
        <v>0</v>
      </c>
    </row>
    <row r="336" customFormat="false" ht="15" hidden="false" customHeight="false" outlineLevel="0" collapsed="false">
      <c r="B336" s="37" t="n">
        <v>8</v>
      </c>
      <c r="C336" s="38" t="n">
        <f aca="false">'Inputs &amp; Assumptions'!$C$147</f>
        <v>7</v>
      </c>
      <c r="D336" s="38" t="n">
        <f aca="false">'Inputs &amp; Assumptions'!$D$147</f>
        <v>3</v>
      </c>
      <c r="E336" s="39" t="n">
        <f aca="false">IF(1&gt;='Inputs &amp; Assumptions'!$E$147,0,'Inputs &amp; Assumptions'!$G$60*MAX(E303-E314-E325,0))</f>
        <v>1643895.79664116</v>
      </c>
      <c r="F336" s="39" t="n">
        <f aca="false">IF(2&gt;='Inputs &amp; Assumptions'!$E$147,0,'Inputs &amp; Assumptions'!$G$60*MAX(F303-F314-F325,0))</f>
        <v>1522416.46789067</v>
      </c>
      <c r="G336" s="39" t="n">
        <f aca="false">IF(3&gt;='Inputs &amp; Assumptions'!$E$147,0,'Inputs &amp; Assumptions'!$G$60*MAX(G303-G314-G325,0))</f>
        <v>1409914.12377864</v>
      </c>
      <c r="H336" s="39" t="n">
        <f aca="false">IF(4&gt;='Inputs &amp; Assumptions'!$E$147,0,'Inputs &amp; Assumptions'!$G$60*MAX(H303-H314-H325,0))</f>
        <v>1305725.39009952</v>
      </c>
      <c r="I336" s="39" t="n">
        <f aca="false">IF(5&gt;='Inputs &amp; Assumptions'!$E$147,0,'Inputs &amp; Assumptions'!$G$60*MAX(I303-I314-I325,0))</f>
        <v>1209235.91415716</v>
      </c>
      <c r="J336" s="39" t="n">
        <f aca="false">IF(6&gt;='Inputs &amp; Assumptions'!$E$147,0,'Inputs &amp; Assumptions'!$G$60*MAX(J303-J314-J325,0))</f>
        <v>1123114.52939416</v>
      </c>
      <c r="K336" s="39" t="n">
        <f aca="false">IF(7&gt;='Inputs &amp; Assumptions'!$E$147,0,'Inputs &amp; Assumptions'!$G$60*MAX(K303-K314-K325,0))</f>
        <v>1043126.68137669</v>
      </c>
      <c r="L336" s="39" t="n">
        <f aca="false">IF(8&gt;='Inputs &amp; Assumptions'!$E$147,0,'Inputs &amp; Assumptions'!$G$60*MAX(L303-L314-L325,0))</f>
        <v>968835.541631631</v>
      </c>
      <c r="M336" s="39" t="n">
        <f aca="false">IF(9&gt;='Inputs &amp; Assumptions'!$E$147,0,'Inputs &amp; Assumptions'!$G$60*MAX(M303-M314-M325,0))</f>
        <v>899835.392466294</v>
      </c>
      <c r="N336" s="39" t="n">
        <f aca="false">IF(10&gt;='Inputs &amp; Assumptions'!$E$147,0,'Inputs &amp; Assumptions'!$G$60*MAX(N303-N314-N325,0))</f>
        <v>837873.445656681</v>
      </c>
      <c r="O336" s="39" t="n">
        <f aca="false">IF(11&gt;='Inputs &amp; Assumptions'!$E$147,0,'Inputs &amp; Assumptions'!$G$60*MAX(O303-O314-O325,0))</f>
        <v>780178.149041738</v>
      </c>
      <c r="P336" s="39" t="n">
        <f aca="false">IF(12&gt;='Inputs &amp; Assumptions'!$E$147,0,'Inputs &amp; Assumptions'!$G$60*MAX(P303-P314-P325,0))</f>
        <v>726455.704495018</v>
      </c>
      <c r="Q336" s="39" t="n">
        <f aca="false">IF(13&gt;='Inputs &amp; Assumptions'!$E$147,0,'Inputs &amp; Assumptions'!$G$60*MAX(Q303-Q314-Q325,0))</f>
        <v>676432.54459453</v>
      </c>
      <c r="R336" s="39" t="n">
        <f aca="false">IF(14&gt;='Inputs &amp; Assumptions'!$E$147,0,'Inputs &amp; Assumptions'!$G$60*MAX(R303-R314-R325,0))</f>
        <v>630926.349115564</v>
      </c>
      <c r="S336" s="39" t="n">
        <f aca="false">IF(15&gt;='Inputs &amp; Assumptions'!$E$147,0,'Inputs &amp; Assumptions'!$G$60*MAX(S303-S314-S325,0))</f>
        <v>588481.528852084</v>
      </c>
      <c r="T336" s="39" t="n">
        <f aca="false">IF(16&gt;='Inputs &amp; Assumptions'!$E$147,0,'Inputs &amp; Assumptions'!$G$60*MAX(T303-T314-T325,0))</f>
        <v>548892.133424996</v>
      </c>
      <c r="U336" s="39" t="n">
        <f aca="false">IF(17&gt;='Inputs &amp; Assumptions'!$E$147,0,'Inputs &amp; Assumptions'!$G$60*MAX(U303-U314-U325,0))</f>
        <v>511966.067522184</v>
      </c>
      <c r="V336" s="39" t="n">
        <f aca="false">IF(18&gt;='Inputs &amp; Assumptions'!$E$147,0,'Inputs &amp; Assumptions'!$G$60*MAX(V303-V314-V325,0))</f>
        <v>478263.676738567</v>
      </c>
      <c r="W336" s="39" t="n">
        <f aca="false">IF(19&gt;='Inputs &amp; Assumptions'!$E$147,0,'Inputs &amp; Assumptions'!$G$60*MAX(W303-W314-W325,0))</f>
        <v>446779.89225835</v>
      </c>
      <c r="X336" s="39" t="n">
        <f aca="false">IF(20&gt;='Inputs &amp; Assumptions'!$E$147,0,'Inputs &amp; Assumptions'!$G$60*MAX(X303-X314-X325,0))</f>
        <v>417368.664682217</v>
      </c>
      <c r="Y336" s="39" t="n">
        <f aca="false">IF(21&gt;='Inputs &amp; Assumptions'!$E$147,0,'Inputs &amp; Assumptions'!$G$60*MAX(Y303-Y314-Y325,0))</f>
        <v>0</v>
      </c>
      <c r="Z336" s="39" t="n">
        <f aca="false">IF(22&gt;='Inputs &amp; Assumptions'!$E$147,0,'Inputs &amp; Assumptions'!$G$60*MAX(Z303-Z314-Z325,0))</f>
        <v>0</v>
      </c>
      <c r="AA336" s="39" t="n">
        <f aca="false">IF(23&gt;='Inputs &amp; Assumptions'!$E$147,0,'Inputs &amp; Assumptions'!$G$60*MAX(AA303-AA314-AA325,0))</f>
        <v>0</v>
      </c>
      <c r="AB336" s="39" t="n">
        <f aca="false">IF(24&gt;='Inputs &amp; Assumptions'!$E$147,0,'Inputs &amp; Assumptions'!$G$60*MAX(AB303-AB314-AB325,0))</f>
        <v>0</v>
      </c>
      <c r="AC336" s="39" t="n">
        <f aca="false">IF(25&gt;='Inputs &amp; Assumptions'!$E$147,0,'Inputs &amp; Assumptions'!$G$60*MAX(AC303-AC314-AC325,0))</f>
        <v>0</v>
      </c>
      <c r="AD336" s="39" t="n">
        <f aca="false">IF(26&gt;='Inputs &amp; Assumptions'!$E$147,0,'Inputs &amp; Assumptions'!$G$60*MAX(AD303-AD314-AD325,0))</f>
        <v>0</v>
      </c>
      <c r="AE336" s="39" t="n">
        <f aca="false">IF(27&gt;='Inputs &amp; Assumptions'!$E$147,0,'Inputs &amp; Assumptions'!$G$60*MAX(AE303-AE314-AE325,0))</f>
        <v>0</v>
      </c>
      <c r="AF336" s="39" t="n">
        <f aca="false">IF(28&gt;='Inputs &amp; Assumptions'!$E$147,0,'Inputs &amp; Assumptions'!$G$60*MAX(AF303-AF314-AF325,0))</f>
        <v>0</v>
      </c>
      <c r="AG336" s="39" t="n">
        <f aca="false">IF(29&gt;='Inputs &amp; Assumptions'!$E$147,0,'Inputs &amp; Assumptions'!$G$60*MAX(AG303-AG314-AG325,0))</f>
        <v>0</v>
      </c>
      <c r="AH336" s="39" t="n">
        <f aca="false">IF(30&gt;='Inputs &amp; Assumptions'!$E$147,0,'Inputs &amp; Assumptions'!$G$60*MAX(AH303-AH314-AH325,0))</f>
        <v>0</v>
      </c>
      <c r="AI336" s="39" t="n">
        <f aca="false">IF(31&gt;='Inputs &amp; Assumptions'!$E$147,0,'Inputs &amp; Assumptions'!$G$60*MAX(AI303-AI314-AI325,0))</f>
        <v>0</v>
      </c>
      <c r="AJ336" s="39" t="n">
        <f aca="false">IF(32&gt;='Inputs &amp; Assumptions'!$E$147,0,'Inputs &amp; Assumptions'!$G$60*MAX(AJ303-AJ314-AJ325,0))</f>
        <v>0</v>
      </c>
      <c r="AK336" s="39" t="n">
        <f aca="false">IF(33&gt;='Inputs &amp; Assumptions'!$E$147,0,'Inputs &amp; Assumptions'!$G$60*MAX(AK303-AK314-AK325,0))</f>
        <v>0</v>
      </c>
      <c r="AL336" s="39" t="n">
        <f aca="false">IF(34&gt;='Inputs &amp; Assumptions'!$E$147,0,'Inputs &amp; Assumptions'!$G$60*MAX(AL303-AL314-AL325,0))</f>
        <v>0</v>
      </c>
      <c r="AM336" s="39" t="n">
        <f aca="false">IF(35&gt;='Inputs &amp; Assumptions'!$E$147,0,'Inputs &amp; Assumptions'!$G$60*MAX(AM303-AM314-AM325,0))</f>
        <v>0</v>
      </c>
      <c r="AN336" s="39" t="n">
        <f aca="false">IF(36&gt;='Inputs &amp; Assumptions'!$E$147,0,'Inputs &amp; Assumptions'!$G$60*MAX(AN303-AN314-AN325,0))</f>
        <v>0</v>
      </c>
    </row>
    <row r="337" customFormat="false" ht="15" hidden="false" customHeight="false" outlineLevel="0" collapsed="false">
      <c r="B337" s="37" t="n">
        <v>9</v>
      </c>
      <c r="C337" s="38" t="n">
        <f aca="false">'Inputs &amp; Assumptions'!$C$148</f>
        <v>8</v>
      </c>
      <c r="D337" s="38" t="n">
        <f aca="false">'Inputs &amp; Assumptions'!$D$148</f>
        <v>3</v>
      </c>
      <c r="E337" s="39" t="n">
        <f aca="false">IF(1&gt;='Inputs &amp; Assumptions'!$E$148,0,'Inputs &amp; Assumptions'!$G$60*MAX(E304-E315-E326,0))</f>
        <v>1597495.98363011</v>
      </c>
      <c r="F337" s="39" t="n">
        <f aca="false">IF(2&gt;='Inputs &amp; Assumptions'!$E$148,0,'Inputs &amp; Assumptions'!$G$60*MAX(F304-F315-F326,0))</f>
        <v>1479445.47205298</v>
      </c>
      <c r="G337" s="39" t="n">
        <f aca="false">IF(3&gt;='Inputs &amp; Assumptions'!$E$148,0,'Inputs &amp; Assumptions'!$G$60*MAX(G304-G315-G326,0))</f>
        <v>1370118.56505854</v>
      </c>
      <c r="H337" s="39" t="n">
        <f aca="false">IF(4&gt;='Inputs &amp; Assumptions'!$E$148,0,'Inputs &amp; Assumptions'!$G$60*MAX(H304-H315-H326,0))</f>
        <v>1268870.61252288</v>
      </c>
      <c r="I337" s="39" t="n">
        <f aca="false">IF(5&gt;='Inputs &amp; Assumptions'!$E$148,0,'Inputs &amp; Assumptions'!$G$60*MAX(I304-I315-I326,0))</f>
        <v>1178502.06412286</v>
      </c>
      <c r="J337" s="39" t="n">
        <f aca="false">IF(6&gt;='Inputs &amp; Assumptions'!$E$148,0,'Inputs &amp; Assumptions'!$G$60*MAX(J304-J315-J326,0))</f>
        <v>1094569.53406808</v>
      </c>
      <c r="K337" s="39" t="n">
        <f aca="false">IF(7&gt;='Inputs &amp; Assumptions'!$E$148,0,'Inputs &amp; Assumptions'!$G$60*MAX(K304-K315-K326,0))</f>
        <v>1016614.65124521</v>
      </c>
      <c r="L337" s="39" t="n">
        <f aca="false">IF(8&gt;='Inputs &amp; Assumptions'!$E$148,0,'Inputs &amp; Assumptions'!$G$60*MAX(L304-L315-L326,0))</f>
        <v>944211.689581096</v>
      </c>
      <c r="M337" s="39" t="n">
        <f aca="false">IF(9&gt;='Inputs &amp; Assumptions'!$E$148,0,'Inputs &amp; Assumptions'!$G$60*MAX(M304-M315-M326,0))</f>
        <v>879194.026376622</v>
      </c>
      <c r="N337" s="39" t="n">
        <f aca="false">IF(10&gt;='Inputs &amp; Assumptions'!$E$148,0,'Inputs &amp; Assumptions'!$G$60*MAX(N304-N315-N326,0))</f>
        <v>818653.427558468</v>
      </c>
      <c r="O337" s="39" t="n">
        <f aca="false">IF(11&gt;='Inputs &amp; Assumptions'!$E$148,0,'Inputs &amp; Assumptions'!$G$60*MAX(O304-O315-O326,0))</f>
        <v>762281.606046919</v>
      </c>
      <c r="P337" s="39" t="n">
        <f aca="false">IF(12&gt;='Inputs &amp; Assumptions'!$E$148,0,'Inputs &amp; Assumptions'!$G$60*MAX(P304-P315-P326,0))</f>
        <v>709791.503164469</v>
      </c>
      <c r="Q337" s="39" t="n">
        <f aca="false">IF(13&gt;='Inputs &amp; Assumptions'!$E$148,0,'Inputs &amp; Assumptions'!$G$60*MAX(Q304-Q315-Q326,0))</f>
        <v>662041.123395747</v>
      </c>
      <c r="R337" s="39" t="n">
        <f aca="false">IF(14&gt;='Inputs &amp; Assumptions'!$E$148,0,'Inputs &amp; Assumptions'!$G$60*MAX(R304-R315-R326,0))</f>
        <v>617503.09367333</v>
      </c>
      <c r="S337" s="39" t="n">
        <f aca="false">IF(15&gt;='Inputs &amp; Assumptions'!$E$148,0,'Inputs &amp; Assumptions'!$G$60*MAX(S304-S315-S326,0))</f>
        <v>575961.306965819</v>
      </c>
      <c r="T337" s="39" t="n">
        <f aca="false">IF(16&gt;='Inputs &amp; Assumptions'!$E$148,0,'Inputs &amp; Assumptions'!$G$60*MAX(T304-T315-T326,0))</f>
        <v>537214.194585503</v>
      </c>
      <c r="U337" s="39" t="n">
        <f aca="false">IF(17&gt;='Inputs &amp; Assumptions'!$E$148,0,'Inputs &amp; Assumptions'!$G$60*MAX(U304-U315-U326,0))</f>
        <v>501849.73613994</v>
      </c>
      <c r="V337" s="39" t="n">
        <f aca="false">IF(18&gt;='Inputs &amp; Assumptions'!$E$148,0,'Inputs &amp; Assumptions'!$G$60*MAX(V304-V315-V326,0))</f>
        <v>468813.296822972</v>
      </c>
      <c r="W337" s="39" t="n">
        <f aca="false">IF(19&gt;='Inputs &amp; Assumptions'!$E$148,0,'Inputs &amp; Assumptions'!$G$60*MAX(W304-W315-W326,0))</f>
        <v>437951.624660688</v>
      </c>
      <c r="X337" s="39" t="n">
        <f aca="false">IF(20&gt;='Inputs &amp; Assumptions'!$E$148,0,'Inputs &amp; Assumptions'!$G$60*MAX(X304-X315-X326,0))</f>
        <v>0</v>
      </c>
      <c r="Y337" s="39" t="n">
        <f aca="false">IF(21&gt;='Inputs &amp; Assumptions'!$E$148,0,'Inputs &amp; Assumptions'!$G$60*MAX(Y304-Y315-Y326,0))</f>
        <v>0</v>
      </c>
      <c r="Z337" s="39" t="n">
        <f aca="false">IF(22&gt;='Inputs &amp; Assumptions'!$E$148,0,'Inputs &amp; Assumptions'!$G$60*MAX(Z304-Z315-Z326,0))</f>
        <v>0</v>
      </c>
      <c r="AA337" s="39" t="n">
        <f aca="false">IF(23&gt;='Inputs &amp; Assumptions'!$E$148,0,'Inputs &amp; Assumptions'!$G$60*MAX(AA304-AA315-AA326,0))</f>
        <v>0</v>
      </c>
      <c r="AB337" s="39" t="n">
        <f aca="false">IF(24&gt;='Inputs &amp; Assumptions'!$E$148,0,'Inputs &amp; Assumptions'!$G$60*MAX(AB304-AB315-AB326,0))</f>
        <v>0</v>
      </c>
      <c r="AC337" s="39" t="n">
        <f aca="false">IF(25&gt;='Inputs &amp; Assumptions'!$E$148,0,'Inputs &amp; Assumptions'!$G$60*MAX(AC304-AC315-AC326,0))</f>
        <v>0</v>
      </c>
      <c r="AD337" s="39" t="n">
        <f aca="false">IF(26&gt;='Inputs &amp; Assumptions'!$E$148,0,'Inputs &amp; Assumptions'!$G$60*MAX(AD304-AD315-AD326,0))</f>
        <v>0</v>
      </c>
      <c r="AE337" s="39" t="n">
        <f aca="false">IF(27&gt;='Inputs &amp; Assumptions'!$E$148,0,'Inputs &amp; Assumptions'!$G$60*MAX(AE304-AE315-AE326,0))</f>
        <v>0</v>
      </c>
      <c r="AF337" s="39" t="n">
        <f aca="false">IF(28&gt;='Inputs &amp; Assumptions'!$E$148,0,'Inputs &amp; Assumptions'!$G$60*MAX(AF304-AF315-AF326,0))</f>
        <v>0</v>
      </c>
      <c r="AG337" s="39" t="n">
        <f aca="false">IF(29&gt;='Inputs &amp; Assumptions'!$E$148,0,'Inputs &amp; Assumptions'!$G$60*MAX(AG304-AG315-AG326,0))</f>
        <v>0</v>
      </c>
      <c r="AH337" s="39" t="n">
        <f aca="false">IF(30&gt;='Inputs &amp; Assumptions'!$E$148,0,'Inputs &amp; Assumptions'!$G$60*MAX(AH304-AH315-AH326,0))</f>
        <v>0</v>
      </c>
      <c r="AI337" s="39" t="n">
        <f aca="false">IF(31&gt;='Inputs &amp; Assumptions'!$E$148,0,'Inputs &amp; Assumptions'!$G$60*MAX(AI304-AI315-AI326,0))</f>
        <v>0</v>
      </c>
      <c r="AJ337" s="39" t="n">
        <f aca="false">IF(32&gt;='Inputs &amp; Assumptions'!$E$148,0,'Inputs &amp; Assumptions'!$G$60*MAX(AJ304-AJ315-AJ326,0))</f>
        <v>0</v>
      </c>
      <c r="AK337" s="39" t="n">
        <f aca="false">IF(33&gt;='Inputs &amp; Assumptions'!$E$148,0,'Inputs &amp; Assumptions'!$G$60*MAX(AK304-AK315-AK326,0))</f>
        <v>0</v>
      </c>
      <c r="AL337" s="39" t="n">
        <f aca="false">IF(34&gt;='Inputs &amp; Assumptions'!$E$148,0,'Inputs &amp; Assumptions'!$G$60*MAX(AL304-AL315-AL326,0))</f>
        <v>0</v>
      </c>
      <c r="AM337" s="39" t="n">
        <f aca="false">IF(35&gt;='Inputs &amp; Assumptions'!$E$148,0,'Inputs &amp; Assumptions'!$G$60*MAX(AM304-AM315-AM326,0))</f>
        <v>0</v>
      </c>
      <c r="AN337" s="39" t="n">
        <f aca="false">IF(36&gt;='Inputs &amp; Assumptions'!$E$148,0,'Inputs &amp; Assumptions'!$G$60*MAX(AN304-AN315-AN326,0))</f>
        <v>0</v>
      </c>
    </row>
    <row r="338" customFormat="false" ht="15" hidden="false" customHeight="false" outlineLevel="0" collapsed="false">
      <c r="B338" s="37" t="n">
        <v>10</v>
      </c>
      <c r="C338" s="38" t="n">
        <f aca="false">'Inputs &amp; Assumptions'!$C$149</f>
        <v>9</v>
      </c>
      <c r="D338" s="38" t="n">
        <f aca="false">'Inputs &amp; Assumptions'!$D$149</f>
        <v>3</v>
      </c>
      <c r="E338" s="39" t="n">
        <f aca="false">IF(1&gt;='Inputs &amp; Assumptions'!$E$149,0,'Inputs &amp; Assumptions'!$G$60*MAX(E305-E316-E327,0))</f>
        <v>1549571.10412121</v>
      </c>
      <c r="F338" s="39" t="n">
        <f aca="false">IF(2&gt;='Inputs &amp; Assumptions'!$E$149,0,'Inputs &amp; Assumptions'!$G$60*MAX(F305-F316-F327,0))</f>
        <v>1435062.10789139</v>
      </c>
      <c r="G338" s="39" t="n">
        <f aca="false">IF(3&gt;='Inputs &amp; Assumptions'!$E$149,0,'Inputs &amp; Assumptions'!$G$60*MAX(G305-G316-G327,0))</f>
        <v>1329015.00810678</v>
      </c>
      <c r="H338" s="39" t="n">
        <f aca="false">IF(4&gt;='Inputs &amp; Assumptions'!$E$149,0,'Inputs &amp; Assumptions'!$G$60*MAX(H305-H316-H327,0))</f>
        <v>1234362.99560123</v>
      </c>
      <c r="I338" s="39" t="n">
        <f aca="false">IF(5&gt;='Inputs &amp; Assumptions'!$E$149,0,'Inputs &amp; Assumptions'!$G$60*MAX(I305-I316-I327,0))</f>
        <v>1146452.06834807</v>
      </c>
      <c r="J338" s="39" t="n">
        <f aca="false">IF(6&gt;='Inputs &amp; Assumptions'!$E$149,0,'Inputs &amp; Assumptions'!$G$60*MAX(J305-J316-J327,0))</f>
        <v>1064802.128469</v>
      </c>
      <c r="K338" s="39" t="n">
        <f aca="false">IF(7&gt;='Inputs &amp; Assumptions'!$E$149,0,'Inputs &amp; Assumptions'!$G$60*MAX(K305-K316-K327,0))</f>
        <v>988967.270498995</v>
      </c>
      <c r="L338" s="39" t="n">
        <f aca="false">IF(8&gt;='Inputs &amp; Assumptions'!$E$149,0,'Inputs &amp; Assumptions'!$G$60*MAX(L305-L316-L327,0))</f>
        <v>920867.773719752</v>
      </c>
      <c r="M338" s="39" t="n">
        <f aca="false">IF(9&gt;='Inputs &amp; Assumptions'!$E$149,0,'Inputs &amp; Assumptions'!$G$60*MAX(M305-M316-M327,0))</f>
        <v>857457.553926639</v>
      </c>
      <c r="N338" s="39" t="n">
        <f aca="false">IF(10&gt;='Inputs &amp; Assumptions'!$E$149,0,'Inputs &amp; Assumptions'!$G$60*MAX(N305-N316-N327,0))</f>
        <v>798413.71124972</v>
      </c>
      <c r="O338" s="39" t="n">
        <f aca="false">IF(11&gt;='Inputs &amp; Assumptions'!$E$149,0,'Inputs &amp; Assumptions'!$G$60*MAX(O305-O316-O327,0))</f>
        <v>743435.580446342</v>
      </c>
      <c r="P338" s="39" t="n">
        <f aca="false">IF(12&gt;='Inputs &amp; Assumptions'!$E$149,0,'Inputs &amp; Assumptions'!$G$60*MAX(P305-P316-P327,0))</f>
        <v>693421.835365391</v>
      </c>
      <c r="Q338" s="39" t="n">
        <f aca="false">IF(13&gt;='Inputs &amp; Assumptions'!$E$149,0,'Inputs &amp; Assumptions'!$G$60*MAX(Q305-Q316-Q327,0))</f>
        <v>646772.705542053</v>
      </c>
      <c r="R338" s="39" t="n">
        <f aca="false">IF(14&gt;='Inputs &amp; Assumptions'!$E$149,0,'Inputs &amp; Assumptions'!$G$60*MAX(R305-R316-R327,0))</f>
        <v>603261.84048381</v>
      </c>
      <c r="S338" s="39" t="n">
        <f aca="false">IF(15&gt;='Inputs &amp; Assumptions'!$E$149,0,'Inputs &amp; Assumptions'!$G$60*MAX(S305-S316-S327,0))</f>
        <v>562678.117158504</v>
      </c>
      <c r="T338" s="39" t="n">
        <f aca="false">IF(16&gt;='Inputs &amp; Assumptions'!$E$149,0,'Inputs &amp; Assumptions'!$G$60*MAX(T305-T316-T327,0))</f>
        <v>525637.385373982</v>
      </c>
      <c r="U338" s="39" t="n">
        <f aca="false">IF(17&gt;='Inputs &amp; Assumptions'!$E$149,0,'Inputs &amp; Assumptions'!$G$60*MAX(U305-U316-U327,0))</f>
        <v>491035.020693661</v>
      </c>
      <c r="V338" s="39" t="n">
        <f aca="false">IF(18&gt;='Inputs &amp; Assumptions'!$E$149,0,'Inputs &amp; Assumptions'!$G$60*MAX(V305-V316-V327,0))</f>
        <v>458710.507008695</v>
      </c>
      <c r="W338" s="39" t="n">
        <f aca="false">IF(19&gt;='Inputs &amp; Assumptions'!$E$149,0,'Inputs &amp; Assumptions'!$G$60*MAX(W305-W316-W327,0))</f>
        <v>0</v>
      </c>
      <c r="X338" s="39" t="n">
        <f aca="false">IF(20&gt;='Inputs &amp; Assumptions'!$E$149,0,'Inputs &amp; Assumptions'!$G$60*MAX(X305-X316-X327,0))</f>
        <v>0</v>
      </c>
      <c r="Y338" s="39" t="n">
        <f aca="false">IF(21&gt;='Inputs &amp; Assumptions'!$E$149,0,'Inputs &amp; Assumptions'!$G$60*MAX(Y305-Y316-Y327,0))</f>
        <v>0</v>
      </c>
      <c r="Z338" s="39" t="n">
        <f aca="false">IF(22&gt;='Inputs &amp; Assumptions'!$E$149,0,'Inputs &amp; Assumptions'!$G$60*MAX(Z305-Z316-Z327,0))</f>
        <v>0</v>
      </c>
      <c r="AA338" s="39" t="n">
        <f aca="false">IF(23&gt;='Inputs &amp; Assumptions'!$E$149,0,'Inputs &amp; Assumptions'!$G$60*MAX(AA305-AA316-AA327,0))</f>
        <v>0</v>
      </c>
      <c r="AB338" s="39" t="n">
        <f aca="false">IF(24&gt;='Inputs &amp; Assumptions'!$E$149,0,'Inputs &amp; Assumptions'!$G$60*MAX(AB305-AB316-AB327,0))</f>
        <v>0</v>
      </c>
      <c r="AC338" s="39" t="n">
        <f aca="false">IF(25&gt;='Inputs &amp; Assumptions'!$E$149,0,'Inputs &amp; Assumptions'!$G$60*MAX(AC305-AC316-AC327,0))</f>
        <v>0</v>
      </c>
      <c r="AD338" s="39" t="n">
        <f aca="false">IF(26&gt;='Inputs &amp; Assumptions'!$E$149,0,'Inputs &amp; Assumptions'!$G$60*MAX(AD305-AD316-AD327,0))</f>
        <v>0</v>
      </c>
      <c r="AE338" s="39" t="n">
        <f aca="false">IF(27&gt;='Inputs &amp; Assumptions'!$E$149,0,'Inputs &amp; Assumptions'!$G$60*MAX(AE305-AE316-AE327,0))</f>
        <v>0</v>
      </c>
      <c r="AF338" s="39" t="n">
        <f aca="false">IF(28&gt;='Inputs &amp; Assumptions'!$E$149,0,'Inputs &amp; Assumptions'!$G$60*MAX(AF305-AF316-AF327,0))</f>
        <v>0</v>
      </c>
      <c r="AG338" s="39" t="n">
        <f aca="false">IF(29&gt;='Inputs &amp; Assumptions'!$E$149,0,'Inputs &amp; Assumptions'!$G$60*MAX(AG305-AG316-AG327,0))</f>
        <v>0</v>
      </c>
      <c r="AH338" s="39" t="n">
        <f aca="false">IF(30&gt;='Inputs &amp; Assumptions'!$E$149,0,'Inputs &amp; Assumptions'!$G$60*MAX(AH305-AH316-AH327,0))</f>
        <v>0</v>
      </c>
      <c r="AI338" s="39" t="n">
        <f aca="false">IF(31&gt;='Inputs &amp; Assumptions'!$E$149,0,'Inputs &amp; Assumptions'!$G$60*MAX(AI305-AI316-AI327,0))</f>
        <v>0</v>
      </c>
      <c r="AJ338" s="39" t="n">
        <f aca="false">IF(32&gt;='Inputs &amp; Assumptions'!$E$149,0,'Inputs &amp; Assumptions'!$G$60*MAX(AJ305-AJ316-AJ327,0))</f>
        <v>0</v>
      </c>
      <c r="AK338" s="39" t="n">
        <f aca="false">IF(33&gt;='Inputs &amp; Assumptions'!$E$149,0,'Inputs &amp; Assumptions'!$G$60*MAX(AK305-AK316-AK327,0))</f>
        <v>0</v>
      </c>
      <c r="AL338" s="39" t="n">
        <f aca="false">IF(34&gt;='Inputs &amp; Assumptions'!$E$149,0,'Inputs &amp; Assumptions'!$G$60*MAX(AL305-AL316-AL327,0))</f>
        <v>0</v>
      </c>
      <c r="AM338" s="39" t="n">
        <f aca="false">IF(35&gt;='Inputs &amp; Assumptions'!$E$149,0,'Inputs &amp; Assumptions'!$G$60*MAX(AM305-AM316-AM327,0))</f>
        <v>0</v>
      </c>
      <c r="AN338" s="39" t="n">
        <f aca="false">IF(36&gt;='Inputs &amp; Assumptions'!$E$149,0,'Inputs &amp; Assumptions'!$G$60*MAX(AN305-AN316-AN327,0))</f>
        <v>0</v>
      </c>
    </row>
    <row r="339" customFormat="false" ht="15" hidden="false" customHeight="false" outlineLevel="0" collapsed="false">
      <c r="B339" s="37" t="n">
        <v>11</v>
      </c>
      <c r="C339" s="38" t="n">
        <f aca="false">'Inputs &amp; Assumptions'!$C$150</f>
        <v>10</v>
      </c>
      <c r="D339" s="38" t="n">
        <f aca="false">'Inputs &amp; Assumptions'!$D$150</f>
        <v>2</v>
      </c>
      <c r="E339" s="39" t="n">
        <f aca="false">IF(1&gt;='Inputs &amp; Assumptions'!$E$150,0,'Inputs &amp; Assumptions'!$G$60*MAX(E306-E317-E328,0))</f>
        <v>1002055.98066505</v>
      </c>
      <c r="F339" s="39" t="n">
        <f aca="false">IF(2&gt;='Inputs &amp; Assumptions'!$E$150,0,'Inputs &amp; Assumptions'!$G$60*MAX(F306-F317-F328,0))</f>
        <v>928006.829769766</v>
      </c>
      <c r="G339" s="39" t="n">
        <f aca="false">IF(3&gt;='Inputs &amp; Assumptions'!$E$150,0,'Inputs &amp; Assumptions'!$G$60*MAX(G306-G317-G328,0))</f>
        <v>861914.488057439</v>
      </c>
      <c r="H339" s="39" t="n">
        <f aca="false">IF(4&gt;='Inputs &amp; Assumptions'!$E$150,0,'Inputs &amp; Assumptions'!$G$60*MAX(H306-H317-H328,0))</f>
        <v>800529.221220955</v>
      </c>
      <c r="I339" s="39" t="n">
        <f aca="false">IF(5&gt;='Inputs &amp; Assumptions'!$E$150,0,'Inputs &amp; Assumptions'!$G$60*MAX(I306-I317-I328,0))</f>
        <v>743515.792933186</v>
      </c>
      <c r="J339" s="39" t="n">
        <f aca="false">IF(6&gt;='Inputs &amp; Assumptions'!$E$150,0,'Inputs &amp; Assumptions'!$G$60*MAX(J306-J317-J328,0))</f>
        <v>690562.842288153</v>
      </c>
      <c r="K339" s="39" t="n">
        <f aca="false">IF(7&gt;='Inputs &amp; Assumptions'!$E$150,0,'Inputs &amp; Assumptions'!$G$60*MAX(K306-K317-K328,0))</f>
        <v>643011.236226874</v>
      </c>
      <c r="L339" s="39" t="n">
        <f aca="false">IF(8&gt;='Inputs &amp; Assumptions'!$E$150,0,'Inputs &amp; Assumptions'!$G$60*MAX(L306-L317-L328,0))</f>
        <v>598733.995799742</v>
      </c>
      <c r="M339" s="39" t="n">
        <f aca="false">IF(9&gt;='Inputs &amp; Assumptions'!$E$150,0,'Inputs &amp; Assumptions'!$G$60*MAX(M306-M317-M328,0))</f>
        <v>557505.650803031</v>
      </c>
      <c r="N339" s="39" t="n">
        <f aca="false">IF(10&gt;='Inputs &amp; Assumptions'!$E$150,0,'Inputs &amp; Assumptions'!$G$60*MAX(N306-N317-N328,0))</f>
        <v>519116.256731259</v>
      </c>
      <c r="O339" s="39" t="n">
        <f aca="false">IF(11&gt;='Inputs &amp; Assumptions'!$E$150,0,'Inputs &amp; Assumptions'!$G$60*MAX(O306-O317-O328,0))</f>
        <v>484193.327543572</v>
      </c>
      <c r="P339" s="39" t="n">
        <f aca="false">IF(12&gt;='Inputs &amp; Assumptions'!$E$150,0,'Inputs &amp; Assumptions'!$G$60*MAX(P306-P317-P328,0))</f>
        <v>451619.796910128</v>
      </c>
      <c r="Q339" s="39" t="n">
        <f aca="false">IF(13&gt;='Inputs &amp; Assumptions'!$E$150,0,'Inputs &amp; Assumptions'!$G$60*MAX(Q306-Q317-Q328,0))</f>
        <v>421237.611835513</v>
      </c>
      <c r="R339" s="39" t="n">
        <f aca="false">IF(14&gt;='Inputs &amp; Assumptions'!$E$150,0,'Inputs &amp; Assumptions'!$G$60*MAX(R306-R317-R328,0))</f>
        <v>392899.352151734</v>
      </c>
      <c r="S339" s="39" t="n">
        <f aca="false">IF(15&gt;='Inputs &amp; Assumptions'!$E$150,0,'Inputs &amp; Assumptions'!$G$60*MAX(S306-S317-S328,0))</f>
        <v>367035.045228162</v>
      </c>
      <c r="T339" s="39" t="n">
        <f aca="false">IF(16&gt;='Inputs &amp; Assumptions'!$E$150,0,'Inputs &amp; Assumptions'!$G$60*MAX(T306-T317-T328,0))</f>
        <v>342873.368683015</v>
      </c>
      <c r="U339" s="39" t="n">
        <f aca="false">IF(17&gt;='Inputs &amp; Assumptions'!$E$150,0,'Inputs &amp; Assumptions'!$G$60*MAX(U306-U317-U328,0))</f>
        <v>320302.239474048</v>
      </c>
      <c r="V339" s="39" t="n">
        <f aca="false">IF(18&gt;='Inputs &amp; Assumptions'!$E$150,0,'Inputs &amp; Assumptions'!$G$60*MAX(V306-V317-V328,0))</f>
        <v>0</v>
      </c>
      <c r="W339" s="39" t="n">
        <f aca="false">IF(19&gt;='Inputs &amp; Assumptions'!$E$150,0,'Inputs &amp; Assumptions'!$G$60*MAX(W306-W317-W328,0))</f>
        <v>0</v>
      </c>
      <c r="X339" s="39" t="n">
        <f aca="false">IF(20&gt;='Inputs &amp; Assumptions'!$E$150,0,'Inputs &amp; Assumptions'!$G$60*MAX(X306-X317-X328,0))</f>
        <v>0</v>
      </c>
      <c r="Y339" s="39" t="n">
        <f aca="false">IF(21&gt;='Inputs &amp; Assumptions'!$E$150,0,'Inputs &amp; Assumptions'!$G$60*MAX(Y306-Y317-Y328,0))</f>
        <v>0</v>
      </c>
      <c r="Z339" s="39" t="n">
        <f aca="false">IF(22&gt;='Inputs &amp; Assumptions'!$E$150,0,'Inputs &amp; Assumptions'!$G$60*MAX(Z306-Z317-Z328,0))</f>
        <v>0</v>
      </c>
      <c r="AA339" s="39" t="n">
        <f aca="false">IF(23&gt;='Inputs &amp; Assumptions'!$E$150,0,'Inputs &amp; Assumptions'!$G$60*MAX(AA306-AA317-AA328,0))</f>
        <v>0</v>
      </c>
      <c r="AB339" s="39" t="n">
        <f aca="false">IF(24&gt;='Inputs &amp; Assumptions'!$E$150,0,'Inputs &amp; Assumptions'!$G$60*MAX(AB306-AB317-AB328,0))</f>
        <v>0</v>
      </c>
      <c r="AC339" s="39" t="n">
        <f aca="false">IF(25&gt;='Inputs &amp; Assumptions'!$E$150,0,'Inputs &amp; Assumptions'!$G$60*MAX(AC306-AC317-AC328,0))</f>
        <v>0</v>
      </c>
      <c r="AD339" s="39" t="n">
        <f aca="false">IF(26&gt;='Inputs &amp; Assumptions'!$E$150,0,'Inputs &amp; Assumptions'!$G$60*MAX(AD306-AD317-AD328,0))</f>
        <v>0</v>
      </c>
      <c r="AE339" s="39" t="n">
        <f aca="false">IF(27&gt;='Inputs &amp; Assumptions'!$E$150,0,'Inputs &amp; Assumptions'!$G$60*MAX(AE306-AE317-AE328,0))</f>
        <v>0</v>
      </c>
      <c r="AF339" s="39" t="n">
        <f aca="false">IF(28&gt;='Inputs &amp; Assumptions'!$E$150,0,'Inputs &amp; Assumptions'!$G$60*MAX(AF306-AF317-AF328,0))</f>
        <v>0</v>
      </c>
      <c r="AG339" s="39" t="n">
        <f aca="false">IF(29&gt;='Inputs &amp; Assumptions'!$E$150,0,'Inputs &amp; Assumptions'!$G$60*MAX(AG306-AG317-AG328,0))</f>
        <v>0</v>
      </c>
      <c r="AH339" s="39" t="n">
        <f aca="false">IF(30&gt;='Inputs &amp; Assumptions'!$E$150,0,'Inputs &amp; Assumptions'!$G$60*MAX(AH306-AH317-AH328,0))</f>
        <v>0</v>
      </c>
      <c r="AI339" s="39" t="n">
        <f aca="false">IF(31&gt;='Inputs &amp; Assumptions'!$E$150,0,'Inputs &amp; Assumptions'!$G$60*MAX(AI306-AI317-AI328,0))</f>
        <v>0</v>
      </c>
      <c r="AJ339" s="39" t="n">
        <f aca="false">IF(32&gt;='Inputs &amp; Assumptions'!$E$150,0,'Inputs &amp; Assumptions'!$G$60*MAX(AJ306-AJ317-AJ328,0))</f>
        <v>0</v>
      </c>
      <c r="AK339" s="39" t="n">
        <f aca="false">IF(33&gt;='Inputs &amp; Assumptions'!$E$150,0,'Inputs &amp; Assumptions'!$G$60*MAX(AK306-AK317-AK328,0))</f>
        <v>0</v>
      </c>
      <c r="AL339" s="39" t="n">
        <f aca="false">IF(34&gt;='Inputs &amp; Assumptions'!$E$150,0,'Inputs &amp; Assumptions'!$G$60*MAX(AL306-AL317-AL328,0))</f>
        <v>0</v>
      </c>
      <c r="AM339" s="39" t="n">
        <f aca="false">IF(35&gt;='Inputs &amp; Assumptions'!$E$150,0,'Inputs &amp; Assumptions'!$G$60*MAX(AM306-AM317-AM328,0))</f>
        <v>0</v>
      </c>
      <c r="AN339" s="39" t="n">
        <f aca="false">IF(36&gt;='Inputs &amp; Assumptions'!$E$150,0,'Inputs &amp; Assumptions'!$G$60*MAX(AN306-AN317-AN328,0))</f>
        <v>0</v>
      </c>
    </row>
    <row r="340" customFormat="false" ht="15" hidden="false" customHeight="false" outlineLevel="0" collapsed="false">
      <c r="A340" s="14" t="s">
        <v>130</v>
      </c>
      <c r="B340" s="37" t="n">
        <v>1</v>
      </c>
      <c r="C340" s="38" t="n">
        <f aca="false">'Inputs &amp; Assumptions'!$C$140</f>
        <v>0</v>
      </c>
      <c r="D340" s="38" t="n">
        <f aca="false">'Inputs &amp; Assumptions'!$D$140</f>
        <v>1</v>
      </c>
      <c r="E340" s="39" t="n">
        <f aca="false">'Inputs &amp; Assumptions'!E$51/4*(E296-E307)</f>
        <v>361833.065</v>
      </c>
      <c r="F340" s="39" t="n">
        <f aca="false">'Inputs &amp; Assumptions'!F$51/4*(F296-F307)</f>
        <v>346273.15987648</v>
      </c>
      <c r="G340" s="39" t="n">
        <f aca="false">'Inputs &amp; Assumptions'!G$51/4*(G296-G307)</f>
        <v>331382.377259642</v>
      </c>
      <c r="H340" s="39" t="n">
        <f aca="false">'Inputs &amp; Assumptions'!H$51/4*(H296-H307)</f>
        <v>317131.942878344</v>
      </c>
      <c r="I340" s="39" t="n">
        <f aca="false">'Inputs &amp; Assumptions'!I$51/4*(I296-I307)</f>
        <v>302227.29651879</v>
      </c>
      <c r="J340" s="39" t="n">
        <f aca="false">'Inputs &amp; Assumptions'!J$51/4*(J296-J307)</f>
        <v>279382.4481825</v>
      </c>
      <c r="K340" s="39" t="n">
        <f aca="false">'Inputs &amp; Assumptions'!K$51/4*(K296-K307)</f>
        <v>258264.40315458</v>
      </c>
      <c r="L340" s="39" t="n">
        <f aca="false">'Inputs &amp; Assumptions'!L$51/4*(L296-L307)</f>
        <v>238742.635304065</v>
      </c>
      <c r="M340" s="39" t="n">
        <f aca="false">'Inputs &amp; Assumptions'!M$51/4*(M296-M307)</f>
        <v>221100.218345449</v>
      </c>
      <c r="N340" s="39" t="n">
        <f aca="false">'Inputs &amp; Assumptions'!N$51/4*(N296-N307)</f>
        <v>204761.526947812</v>
      </c>
      <c r="O340" s="39" t="n">
        <f aca="false">'Inputs &amp; Assumptions'!O$51/4*(O296-O307)</f>
        <v>189630.219417025</v>
      </c>
      <c r="P340" s="39" t="n">
        <f aca="false">'Inputs &amp; Assumptions'!P$51/4*(P296-P307)</f>
        <v>175617.073442289</v>
      </c>
      <c r="Q340" s="39" t="n">
        <f aca="false">'Inputs &amp; Assumptions'!Q$51/4*(Q296-Q307)</f>
        <v>163109.683134239</v>
      </c>
      <c r="R340" s="39" t="n">
        <f aca="false">'Inputs &amp; Assumptions'!R$51/4*(R296-R307)</f>
        <v>151493.065057223</v>
      </c>
      <c r="S340" s="39" t="n">
        <f aca="false">'Inputs &amp; Assumptions'!S$51/4*(S296-S307)</f>
        <v>140703.778705426</v>
      </c>
      <c r="T340" s="39" t="n">
        <f aca="false">'Inputs &amp; Assumptions'!T$51/4*(T296-T307)</f>
        <v>130682.901785024</v>
      </c>
      <c r="U340" s="39" t="n">
        <f aca="false">'Inputs &amp; Assumptions'!U$51/4*(U296-U307)</f>
        <v>121684.181488931</v>
      </c>
      <c r="V340" s="39" t="n">
        <f aca="false">'Inputs &amp; Assumptions'!V$51/4*(V296-V307)</f>
        <v>113305.105888978</v>
      </c>
      <c r="W340" s="39" t="n">
        <f aca="false">'Inputs &amp; Assumptions'!W$51/4*(W296-W307)</f>
        <v>105503.006746036</v>
      </c>
      <c r="X340" s="39" t="n">
        <f aca="false">'Inputs &amp; Assumptions'!X$51/4*(X296-X307)</f>
        <v>98238.1539218599</v>
      </c>
      <c r="Y340" s="39" t="n">
        <f aca="false">'Inputs &amp; Assumptions'!Y$51/4*(Y296-Y307)</f>
        <v>91629.298875507</v>
      </c>
      <c r="Z340" s="39" t="n">
        <f aca="false">'Inputs &amp; Assumptions'!Z$51/4*(Z296-Z307)</f>
        <v>85465.046697592</v>
      </c>
      <c r="AA340" s="39" t="n">
        <f aca="false">'Inputs &amp; Assumptions'!AA$51/4*(AA296-AA307)</f>
        <v>79715.4872585634</v>
      </c>
      <c r="AB340" s="39" t="n">
        <f aca="false">'Inputs &amp; Assumptions'!AB$51/4*(AB296-AB307)</f>
        <v>74352.7225972864</v>
      </c>
      <c r="AC340" s="39" t="n">
        <f aca="false">'Inputs &amp; Assumptions'!AC$51/4*(AC296-AC307)</f>
        <v>69458.1315847853</v>
      </c>
      <c r="AD340" s="39" t="n">
        <f aca="false">'Inputs &amp; Assumptions'!AD$51/4*(AD296-AD307)</f>
        <v>64885.7482916897</v>
      </c>
      <c r="AE340" s="39" t="n">
        <f aca="false">'Inputs &amp; Assumptions'!AE$51/4*(AE296-AE307)</f>
        <v>60614.3619949423</v>
      </c>
      <c r="AF340" s="39" t="n">
        <f aca="false">'Inputs &amp; Assumptions'!AF$51/4*(AF296-AF307)</f>
        <v>56624.1582594874</v>
      </c>
      <c r="AG340" s="39" t="n">
        <f aca="false">'Inputs &amp; Assumptions'!AG$51/4*(AG296-AG307)</f>
        <v>0</v>
      </c>
      <c r="AH340" s="39" t="n">
        <f aca="false">'Inputs &amp; Assumptions'!AH$51/4*(AH296-AH307)</f>
        <v>0</v>
      </c>
      <c r="AI340" s="39" t="n">
        <f aca="false">'Inputs &amp; Assumptions'!AI$51/4*(AI296-AI307)</f>
        <v>0</v>
      </c>
      <c r="AJ340" s="39" t="n">
        <f aca="false">'Inputs &amp; Assumptions'!AJ$51/4*(AJ296-AJ307)</f>
        <v>0</v>
      </c>
      <c r="AK340" s="39" t="n">
        <f aca="false">'Inputs &amp; Assumptions'!AK$51/4*(AK296-AK307)</f>
        <v>0</v>
      </c>
      <c r="AL340" s="39" t="n">
        <f aca="false">'Inputs &amp; Assumptions'!AL$51/4*(AL296-AL307)</f>
        <v>0</v>
      </c>
      <c r="AM340" s="39" t="n">
        <f aca="false">'Inputs &amp; Assumptions'!AM$51/4*(AM296-AM307)</f>
        <v>0</v>
      </c>
      <c r="AN340" s="39" t="n">
        <f aca="false">'Inputs &amp; Assumptions'!AN$51/4*(AN296-AN307)</f>
        <v>0</v>
      </c>
    </row>
    <row r="341" customFormat="false" ht="15" hidden="false" customHeight="false" outlineLevel="0" collapsed="false">
      <c r="B341" s="37" t="n">
        <v>2</v>
      </c>
      <c r="C341" s="38" t="n">
        <f aca="false">'Inputs &amp; Assumptions'!$C$141</f>
        <v>1</v>
      </c>
      <c r="D341" s="38" t="n">
        <f aca="false">'Inputs &amp; Assumptions'!$D$141</f>
        <v>3</v>
      </c>
      <c r="E341" s="39" t="n">
        <f aca="false">'Inputs &amp; Assumptions'!E$51/4*(E297-E308)</f>
        <v>1085499.195</v>
      </c>
      <c r="F341" s="39" t="n">
        <f aca="false">'Inputs &amp; Assumptions'!F$51/4*(F297-F308)</f>
        <v>1038819.47962944</v>
      </c>
      <c r="G341" s="39" t="n">
        <f aca="false">'Inputs &amp; Assumptions'!G$51/4*(G297-G308)</f>
        <v>994147.131778926</v>
      </c>
      <c r="H341" s="39" t="n">
        <f aca="false">'Inputs &amp; Assumptions'!H$51/4*(H297-H308)</f>
        <v>947423.956263886</v>
      </c>
      <c r="I341" s="39" t="n">
        <f aca="false">'Inputs &amp; Assumptions'!I$51/4*(I297-I308)</f>
        <v>875809.787589119</v>
      </c>
      <c r="J341" s="39" t="n">
        <f aca="false">'Inputs &amp; Assumptions'!J$51/4*(J297-J308)</f>
        <v>809608.81236494</v>
      </c>
      <c r="K341" s="39" t="n">
        <f aca="false">'Inputs &amp; Assumptions'!K$51/4*(K297-K308)</f>
        <v>748411.856486899</v>
      </c>
      <c r="L341" s="39" t="n">
        <f aca="false">'Inputs &amp; Assumptions'!L$51/4*(L297-L308)</f>
        <v>693106.301146531</v>
      </c>
      <c r="M341" s="39" t="n">
        <f aca="false">'Inputs &amp; Assumptions'!M$51/4*(M297-M308)</f>
        <v>641887.67257649</v>
      </c>
      <c r="N341" s="39" t="n">
        <f aca="false">'Inputs &amp; Assumptions'!N$51/4*(N297-N308)</f>
        <v>594453.958251575</v>
      </c>
      <c r="O341" s="39" t="n">
        <f aca="false">'Inputs &amp; Assumptions'!O$51/4*(O297-O308)</f>
        <v>550525.463532492</v>
      </c>
      <c r="P341" s="39" t="n">
        <f aca="false">'Inputs &amp; Assumptions'!P$51/4*(P297-P308)</f>
        <v>511317.220780493</v>
      </c>
      <c r="Q341" s="39" t="n">
        <f aca="false">'Inputs &amp; Assumptions'!Q$51/4*(Q297-Q308)</f>
        <v>474901.376203567</v>
      </c>
      <c r="R341" s="39" t="n">
        <f aca="false">'Inputs &amp; Assumptions'!R$51/4*(R297-R308)</f>
        <v>441079.056120548</v>
      </c>
      <c r="S341" s="39" t="n">
        <f aca="false">'Inputs &amp; Assumptions'!S$51/4*(S297-S308)</f>
        <v>409665.550568545</v>
      </c>
      <c r="T341" s="39" t="n">
        <f aca="false">'Inputs &amp; Assumptions'!T$51/4*(T297-T308)</f>
        <v>381456.307781943</v>
      </c>
      <c r="U341" s="39" t="n">
        <f aca="false">'Inputs &amp; Assumptions'!U$51/4*(U297-U308)</f>
        <v>355189.530934908</v>
      </c>
      <c r="V341" s="39" t="n">
        <f aca="false">'Inputs &amp; Assumptions'!V$51/4*(V297-V308)</f>
        <v>330731.463373463</v>
      </c>
      <c r="W341" s="39" t="n">
        <f aca="false">'Inputs &amp; Assumptions'!W$51/4*(W297-W308)</f>
        <v>307957.558820048</v>
      </c>
      <c r="X341" s="39" t="n">
        <f aca="false">'Inputs &amp; Assumptions'!X$51/4*(X297-X308)</f>
        <v>287240.080066434</v>
      </c>
      <c r="Y341" s="39" t="n">
        <f aca="false">'Inputs &amp; Assumptions'!Y$51/4*(Y297-Y308)</f>
        <v>267916.345072677</v>
      </c>
      <c r="Z341" s="39" t="n">
        <f aca="false">'Inputs &amp; Assumptions'!Z$51/4*(Z297-Z308)</f>
        <v>249892.591383837</v>
      </c>
      <c r="AA341" s="39" t="n">
        <f aca="false">'Inputs &amp; Assumptions'!AA$51/4*(AA297-AA308)</f>
        <v>233081.364302688</v>
      </c>
      <c r="AB341" s="39" t="n">
        <f aca="false">'Inputs &amp; Assumptions'!AB$51/4*(AB297-AB308)</f>
        <v>217737.770806098</v>
      </c>
      <c r="AC341" s="39" t="n">
        <f aca="false">'Inputs &amp; Assumptions'!AC$51/4*(AC297-AC308)</f>
        <v>203404.236016231</v>
      </c>
      <c r="AD341" s="39" t="n">
        <f aca="false">'Inputs &amp; Assumptions'!AD$51/4*(AD297-AD308)</f>
        <v>190014.268430215</v>
      </c>
      <c r="AE341" s="39" t="n">
        <f aca="false">'Inputs &amp; Assumptions'!AE$51/4*(AE297-AE308)</f>
        <v>177505.753637249</v>
      </c>
      <c r="AF341" s="39" t="n">
        <f aca="false">'Inputs &amp; Assumptions'!AF$51/4*(AF297-AF308)</f>
        <v>0</v>
      </c>
      <c r="AG341" s="39" t="n">
        <f aca="false">'Inputs &amp; Assumptions'!AG$51/4*(AG297-AG308)</f>
        <v>0</v>
      </c>
      <c r="AH341" s="39" t="n">
        <f aca="false">'Inputs &amp; Assumptions'!AH$51/4*(AH297-AH308)</f>
        <v>0</v>
      </c>
      <c r="AI341" s="39" t="n">
        <f aca="false">'Inputs &amp; Assumptions'!AI$51/4*(AI297-AI308)</f>
        <v>0</v>
      </c>
      <c r="AJ341" s="39" t="n">
        <f aca="false">'Inputs &amp; Assumptions'!AJ$51/4*(AJ297-AJ308)</f>
        <v>0</v>
      </c>
      <c r="AK341" s="39" t="n">
        <f aca="false">'Inputs &amp; Assumptions'!AK$51/4*(AK297-AK308)</f>
        <v>0</v>
      </c>
      <c r="AL341" s="39" t="n">
        <f aca="false">'Inputs &amp; Assumptions'!AL$51/4*(AL297-AL308)</f>
        <v>0</v>
      </c>
      <c r="AM341" s="39" t="n">
        <f aca="false">'Inputs &amp; Assumptions'!AM$51/4*(AM297-AM308)</f>
        <v>0</v>
      </c>
      <c r="AN341" s="39" t="n">
        <f aca="false">'Inputs &amp; Assumptions'!AN$51/4*(AN297-AN308)</f>
        <v>0</v>
      </c>
    </row>
    <row r="342" customFormat="false" ht="15" hidden="false" customHeight="false" outlineLevel="0" collapsed="false">
      <c r="B342" s="37" t="n">
        <v>3</v>
      </c>
      <c r="C342" s="38" t="n">
        <f aca="false">'Inputs &amp; Assumptions'!$C$142</f>
        <v>2</v>
      </c>
      <c r="D342" s="38" t="n">
        <f aca="false">'Inputs &amp; Assumptions'!$D$142</f>
        <v>3</v>
      </c>
      <c r="E342" s="39" t="n">
        <f aca="false">'Inputs &amp; Assumptions'!E$51/4*(E298-E309)</f>
        <v>1085499.195</v>
      </c>
      <c r="F342" s="39" t="n">
        <f aca="false">'Inputs &amp; Assumptions'!F$51/4*(F298-F309)</f>
        <v>1038819.47962944</v>
      </c>
      <c r="G342" s="39" t="n">
        <f aca="false">'Inputs &amp; Assumptions'!G$51/4*(G298-G309)</f>
        <v>989996.78193849</v>
      </c>
      <c r="H342" s="39" t="n">
        <f aca="false">'Inputs &amp; Assumptions'!H$51/4*(H298-H309)</f>
        <v>915164.605635074</v>
      </c>
      <c r="I342" s="39" t="n">
        <f aca="false">'Inputs &amp; Assumptions'!I$51/4*(I298-I309)</f>
        <v>845988.866516574</v>
      </c>
      <c r="J342" s="39" t="n">
        <f aca="false">'Inputs &amp; Assumptions'!J$51/4*(J298-J309)</f>
        <v>782042.004097552</v>
      </c>
      <c r="K342" s="39" t="n">
        <f aca="false">'Inputs &amp; Assumptions'!K$51/4*(K298-K309)</f>
        <v>724251.274352657</v>
      </c>
      <c r="L342" s="39" t="n">
        <f aca="false">'Inputs &amp; Assumptions'!L$51/4*(L298-L309)</f>
        <v>670731.118856905</v>
      </c>
      <c r="M342" s="39" t="n">
        <f aca="false">'Inputs &amp; Assumptions'!M$51/4*(M298-M309)</f>
        <v>621165.954047017</v>
      </c>
      <c r="N342" s="39" t="n">
        <f aca="false">'Inputs &amp; Assumptions'!N$51/4*(N298-N309)</f>
        <v>575263.517107603</v>
      </c>
      <c r="O342" s="39" t="n">
        <f aca="false">'Inputs &amp; Assumptions'!O$51/4*(O298-O309)</f>
        <v>534293.438302533</v>
      </c>
      <c r="P342" s="39" t="n">
        <f aca="false">'Inputs &amp; Assumptions'!P$51/4*(P298-P309)</f>
        <v>496241.235057751</v>
      </c>
      <c r="Q342" s="39" t="n">
        <f aca="false">'Inputs &amp; Assumptions'!Q$51/4*(Q298-Q309)</f>
        <v>460899.097233915</v>
      </c>
      <c r="R342" s="39" t="n">
        <f aca="false">'Inputs &amp; Assumptions'!R$51/4*(R298-R309)</f>
        <v>428074.014861575</v>
      </c>
      <c r="S342" s="39" t="n">
        <f aca="false">'Inputs &amp; Assumptions'!S$51/4*(S298-S309)</f>
        <v>398597.179918762</v>
      </c>
      <c r="T342" s="39" t="n">
        <f aca="false">'Inputs &amp; Assumptions'!T$51/4*(T298-T309)</f>
        <v>371150.096299506</v>
      </c>
      <c r="U342" s="39" t="n">
        <f aca="false">'Inputs &amp; Assumptions'!U$51/4*(U298-U309)</f>
        <v>345592.996947967</v>
      </c>
      <c r="V342" s="39" t="n">
        <f aca="false">'Inputs &amp; Assumptions'!V$51/4*(V298-V309)</f>
        <v>321795.739056194</v>
      </c>
      <c r="W342" s="39" t="n">
        <f aca="false">'Inputs &amp; Assumptions'!W$51/4*(W298-W309)</f>
        <v>300147.31317425</v>
      </c>
      <c r="X342" s="39" t="n">
        <f aca="false">'Inputs &amp; Assumptions'!X$51/4*(X298-X309)</f>
        <v>279955.259413766</v>
      </c>
      <c r="Y342" s="39" t="n">
        <f aca="false">'Inputs &amp; Assumptions'!Y$51/4*(Y298-Y309)</f>
        <v>261121.602071208</v>
      </c>
      <c r="Z342" s="39" t="n">
        <f aca="false">'Inputs &amp; Assumptions'!Z$51/4*(Z298-Z309)</f>
        <v>243554.956642053</v>
      </c>
      <c r="AA342" s="39" t="n">
        <f aca="false">'Inputs &amp; Assumptions'!AA$51/4*(AA298-AA309)</f>
        <v>227521.893424086</v>
      </c>
      <c r="AB342" s="39" t="n">
        <f aca="false">'Inputs &amp; Assumptions'!AB$51/4*(AB298-AB309)</f>
        <v>212544.276252857</v>
      </c>
      <c r="AC342" s="39" t="n">
        <f aca="false">'Inputs &amp; Assumptions'!AC$51/4*(AC298-AC309)</f>
        <v>198552.62580664</v>
      </c>
      <c r="AD342" s="39" t="n">
        <f aca="false">'Inputs &amp; Assumptions'!AD$51/4*(AD298-AD309)</f>
        <v>185482.036541935</v>
      </c>
      <c r="AE342" s="39" t="n">
        <f aca="false">'Inputs &amp; Assumptions'!AE$51/4*(AE298-AE309)</f>
        <v>0</v>
      </c>
      <c r="AF342" s="39" t="n">
        <f aca="false">'Inputs &amp; Assumptions'!AF$51/4*(AF298-AF309)</f>
        <v>0</v>
      </c>
      <c r="AG342" s="39" t="n">
        <f aca="false">'Inputs &amp; Assumptions'!AG$51/4*(AG298-AG309)</f>
        <v>0</v>
      </c>
      <c r="AH342" s="39" t="n">
        <f aca="false">'Inputs &amp; Assumptions'!AH$51/4*(AH298-AH309)</f>
        <v>0</v>
      </c>
      <c r="AI342" s="39" t="n">
        <f aca="false">'Inputs &amp; Assumptions'!AI$51/4*(AI298-AI309)</f>
        <v>0</v>
      </c>
      <c r="AJ342" s="39" t="n">
        <f aca="false">'Inputs &amp; Assumptions'!AJ$51/4*(AJ298-AJ309)</f>
        <v>0</v>
      </c>
      <c r="AK342" s="39" t="n">
        <f aca="false">'Inputs &amp; Assumptions'!AK$51/4*(AK298-AK309)</f>
        <v>0</v>
      </c>
      <c r="AL342" s="39" t="n">
        <f aca="false">'Inputs &amp; Assumptions'!AL$51/4*(AL298-AL309)</f>
        <v>0</v>
      </c>
      <c r="AM342" s="39" t="n">
        <f aca="false">'Inputs &amp; Assumptions'!AM$51/4*(AM298-AM309)</f>
        <v>0</v>
      </c>
      <c r="AN342" s="39" t="n">
        <f aca="false">'Inputs &amp; Assumptions'!AN$51/4*(AN298-AN309)</f>
        <v>0</v>
      </c>
    </row>
    <row r="343" customFormat="false" ht="15" hidden="false" customHeight="false" outlineLevel="0" collapsed="false">
      <c r="B343" s="37" t="n">
        <v>4</v>
      </c>
      <c r="C343" s="38" t="n">
        <f aca="false">'Inputs &amp; Assumptions'!$C$143</f>
        <v>3</v>
      </c>
      <c r="D343" s="38" t="n">
        <f aca="false">'Inputs &amp; Assumptions'!$D$143</f>
        <v>3</v>
      </c>
      <c r="E343" s="39" t="n">
        <f aca="false">'Inputs &amp; Assumptions'!E$51/4*(E299-E310)</f>
        <v>1085499.195</v>
      </c>
      <c r="F343" s="39" t="n">
        <f aca="false">'Inputs &amp; Assumptions'!F$51/4*(F299-F310)</f>
        <v>1034482.63237243</v>
      </c>
      <c r="G343" s="39" t="n">
        <f aca="false">'Inputs &amp; Assumptions'!G$51/4*(G299-G310)</f>
        <v>956287.846146017</v>
      </c>
      <c r="H343" s="39" t="n">
        <f aca="false">'Inputs &amp; Assumptions'!H$51/4*(H299-H310)</f>
        <v>884003.671080831</v>
      </c>
      <c r="I343" s="39" t="n">
        <f aca="false">'Inputs &amp; Assumptions'!I$51/4*(I299-I310)</f>
        <v>817183.334112</v>
      </c>
      <c r="J343" s="39" t="n">
        <f aca="false">'Inputs &amp; Assumptions'!J$51/4*(J299-J310)</f>
        <v>756795.757784568</v>
      </c>
      <c r="K343" s="39" t="n">
        <f aca="false">'Inputs &amp; Assumptions'!K$51/4*(K299-K310)</f>
        <v>700870.655448562</v>
      </c>
      <c r="L343" s="39" t="n">
        <f aca="false">'Inputs &amp; Assumptions'!L$51/4*(L299-L310)</f>
        <v>649078.262683297</v>
      </c>
      <c r="M343" s="39" t="n">
        <f aca="false">'Inputs &amp; Assumptions'!M$51/4*(M299-M310)</f>
        <v>601113.183741914</v>
      </c>
      <c r="N343" s="39" t="n">
        <f aca="false">'Inputs &amp; Assumptions'!N$51/4*(N299-N310)</f>
        <v>558302.100166687</v>
      </c>
      <c r="O343" s="39" t="n">
        <f aca="false">'Inputs &amp; Assumptions'!O$51/4*(O299-O310)</f>
        <v>518540.007906999</v>
      </c>
      <c r="P343" s="39" t="n">
        <f aca="false">'Inputs &amp; Assumptions'!P$51/4*(P299-P310)</f>
        <v>481609.758802469</v>
      </c>
      <c r="Q343" s="39" t="n">
        <f aca="false">'Inputs &amp; Assumptions'!Q$51/4*(Q299-Q310)</f>
        <v>447309.669913403</v>
      </c>
      <c r="R343" s="39" t="n">
        <f aca="false">'Inputs &amp; Assumptions'!R$51/4*(R299-R310)</f>
        <v>416508.283119053</v>
      </c>
      <c r="S343" s="39" t="n">
        <f aca="false">'Inputs &amp; Assumptions'!S$51/4*(S299-S310)</f>
        <v>387827.855231401</v>
      </c>
      <c r="T343" s="39" t="n">
        <f aca="false">'Inputs &amp; Assumptions'!T$51/4*(T299-T310)</f>
        <v>361122.338713241</v>
      </c>
      <c r="U343" s="39" t="n">
        <f aca="false">'Inputs &amp; Assumptions'!U$51/4*(U299-U310)</f>
        <v>336255.742744188</v>
      </c>
      <c r="V343" s="39" t="n">
        <f aca="false">'Inputs &amp; Assumptions'!V$51/4*(V299-V310)</f>
        <v>313634.537300245</v>
      </c>
      <c r="W343" s="39" t="n">
        <f aca="false">'Inputs &amp; Assumptions'!W$51/4*(W299-W310)</f>
        <v>292535.146566621</v>
      </c>
      <c r="X343" s="39" t="n">
        <f aca="false">'Inputs &amp; Assumptions'!X$51/4*(X299-X310)</f>
        <v>272855.192267396</v>
      </c>
      <c r="Y343" s="39" t="n">
        <f aca="false">'Inputs &amp; Assumptions'!Y$51/4*(Y299-Y310)</f>
        <v>254499.183503486</v>
      </c>
      <c r="Z343" s="39" t="n">
        <f aca="false">'Inputs &amp; Assumptions'!Z$51/4*(Z299-Z310)</f>
        <v>237745.669001914</v>
      </c>
      <c r="AA343" s="39" t="n">
        <f aca="false">'Inputs &amp; Assumptions'!AA$51/4*(AA299-AA310)</f>
        <v>222095.027383038</v>
      </c>
      <c r="AB343" s="39" t="n">
        <f aca="false">'Inputs &amp; Assumptions'!AB$51/4*(AB299-AB310)</f>
        <v>207474.657247596</v>
      </c>
      <c r="AC343" s="39" t="n">
        <f aca="false">'Inputs &amp; Assumptions'!AC$51/4*(AC299-AC310)</f>
        <v>193816.736498869</v>
      </c>
      <c r="AD343" s="39" t="n">
        <f aca="false">'Inputs &amp; Assumptions'!AD$51/4*(AD299-AD310)</f>
        <v>0</v>
      </c>
      <c r="AE343" s="39" t="n">
        <f aca="false">'Inputs &amp; Assumptions'!AE$51/4*(AE299-AE310)</f>
        <v>0</v>
      </c>
      <c r="AF343" s="39" t="n">
        <f aca="false">'Inputs &amp; Assumptions'!AF$51/4*(AF299-AF310)</f>
        <v>0</v>
      </c>
      <c r="AG343" s="39" t="n">
        <f aca="false">'Inputs &amp; Assumptions'!AG$51/4*(AG299-AG310)</f>
        <v>0</v>
      </c>
      <c r="AH343" s="39" t="n">
        <f aca="false">'Inputs &amp; Assumptions'!AH$51/4*(AH299-AH310)</f>
        <v>0</v>
      </c>
      <c r="AI343" s="39" t="n">
        <f aca="false">'Inputs &amp; Assumptions'!AI$51/4*(AI299-AI310)</f>
        <v>0</v>
      </c>
      <c r="AJ343" s="39" t="n">
        <f aca="false">'Inputs &amp; Assumptions'!AJ$51/4*(AJ299-AJ310)</f>
        <v>0</v>
      </c>
      <c r="AK343" s="39" t="n">
        <f aca="false">'Inputs &amp; Assumptions'!AK$51/4*(AK299-AK310)</f>
        <v>0</v>
      </c>
      <c r="AL343" s="39" t="n">
        <f aca="false">'Inputs &amp; Assumptions'!AL$51/4*(AL299-AL310)</f>
        <v>0</v>
      </c>
      <c r="AM343" s="39" t="n">
        <f aca="false">'Inputs &amp; Assumptions'!AM$51/4*(AM299-AM310)</f>
        <v>0</v>
      </c>
      <c r="AN343" s="39" t="n">
        <f aca="false">'Inputs &amp; Assumptions'!AN$51/4*(AN299-AN310)</f>
        <v>0</v>
      </c>
    </row>
    <row r="344" customFormat="false" ht="15" hidden="false" customHeight="false" outlineLevel="0" collapsed="false">
      <c r="B344" s="37" t="n">
        <v>5</v>
      </c>
      <c r="C344" s="38" t="n">
        <f aca="false">'Inputs &amp; Assumptions'!$C$144</f>
        <v>4</v>
      </c>
      <c r="D344" s="38" t="n">
        <f aca="false">'Inputs &amp; Assumptions'!$D$144</f>
        <v>3</v>
      </c>
      <c r="E344" s="39" t="n">
        <f aca="false">'Inputs &amp; Assumptions'!E$51/4*(E300-E311)</f>
        <v>1080967.47</v>
      </c>
      <c r="F344" s="39" t="n">
        <f aca="false">'Inputs &amp; Assumptions'!F$51/4*(F300-F311)</f>
        <v>999258.973801753</v>
      </c>
      <c r="G344" s="39" t="n">
        <f aca="false">'Inputs &amp; Assumptions'!G$51/4*(G300-G311)</f>
        <v>923726.68413725</v>
      </c>
      <c r="H344" s="39" t="n">
        <f aca="false">'Inputs &amp; Assumptions'!H$51/4*(H300-H311)</f>
        <v>853903.75203824</v>
      </c>
      <c r="I344" s="39" t="n">
        <f aca="false">'Inputs &amp; Assumptions'!I$51/4*(I300-I311)</f>
        <v>790802.638922022</v>
      </c>
      <c r="J344" s="39" t="n">
        <f aca="false">'Inputs &amp; Assumptions'!J$51/4*(J300-J311)</f>
        <v>732364.522621313</v>
      </c>
      <c r="K344" s="39" t="n">
        <f aca="false">'Inputs &amp; Assumptions'!K$51/4*(K300-K311)</f>
        <v>678244.820636255</v>
      </c>
      <c r="L344" s="39" t="n">
        <f aca="false">'Inputs &amp; Assumptions'!L$51/4*(L300-L311)</f>
        <v>628124.414155665</v>
      </c>
      <c r="M344" s="39" t="n">
        <f aca="false">'Inputs &amp; Assumptions'!M$51/4*(M300-M311)</f>
        <v>583389.599619299</v>
      </c>
      <c r="N344" s="39" t="n">
        <f aca="false">'Inputs &amp; Assumptions'!N$51/4*(N300-N311)</f>
        <v>541840.783885882</v>
      </c>
      <c r="O344" s="39" t="n">
        <f aca="false">'Inputs &amp; Assumptions'!O$51/4*(O300-O311)</f>
        <v>503251.061166767</v>
      </c>
      <c r="P344" s="39" t="n">
        <f aca="false">'Inputs &amp; Assumptions'!P$51/4*(P300-P311)</f>
        <v>467409.685829069</v>
      </c>
      <c r="Q344" s="39" t="n">
        <f aca="false">'Inputs &amp; Assumptions'!Q$51/4*(Q300-Q311)</f>
        <v>435224.227984096</v>
      </c>
      <c r="R344" s="39" t="n">
        <f aca="false">'Inputs &amp; Assumptions'!R$51/4*(R300-R311)</f>
        <v>405255.035073499</v>
      </c>
      <c r="S344" s="39" t="n">
        <f aca="false">'Inputs &amp; Assumptions'!S$51/4*(S300-S311)</f>
        <v>377349.496863084</v>
      </c>
      <c r="T344" s="39" t="n">
        <f aca="false">'Inputs &amp; Assumptions'!T$51/4*(T300-T311)</f>
        <v>351365.511737559</v>
      </c>
      <c r="U344" s="39" t="n">
        <f aca="false">'Inputs &amp; Assumptions'!U$51/4*(U300-U311)</f>
        <v>327727.814542962</v>
      </c>
      <c r="V344" s="39" t="n">
        <f aca="false">'Inputs &amp; Assumptions'!V$51/4*(V300-V311)</f>
        <v>305680.31533308</v>
      </c>
      <c r="W344" s="39" t="n">
        <f aca="false">'Inputs &amp; Assumptions'!W$51/4*(W300-W311)</f>
        <v>285116.035428485</v>
      </c>
      <c r="X344" s="39" t="n">
        <f aca="false">'Inputs &amp; Assumptions'!X$51/4*(X300-X311)</f>
        <v>265935.193013262</v>
      </c>
      <c r="Y344" s="39" t="n">
        <f aca="false">'Inputs &amp; Assumptions'!Y$51/4*(Y300-Y311)</f>
        <v>248428.853498561</v>
      </c>
      <c r="Z344" s="39" t="n">
        <f aca="false">'Inputs &amp; Assumptions'!Z$51/4*(Z300-Z311)</f>
        <v>232074.944843918</v>
      </c>
      <c r="AA344" s="39" t="n">
        <f aca="false">'Inputs &amp; Assumptions'!AA$51/4*(AA300-AA311)</f>
        <v>216797.603280892</v>
      </c>
      <c r="AB344" s="39" t="n">
        <f aca="false">'Inputs &amp; Assumptions'!AB$51/4*(AB300-AB311)</f>
        <v>202525.959103209</v>
      </c>
      <c r="AC344" s="39" t="n">
        <f aca="false">'Inputs &amp; Assumptions'!AC$51/4*(AC300-AC311)</f>
        <v>0</v>
      </c>
      <c r="AD344" s="39" t="n">
        <f aca="false">'Inputs &amp; Assumptions'!AD$51/4*(AD300-AD311)</f>
        <v>0</v>
      </c>
      <c r="AE344" s="39" t="n">
        <f aca="false">'Inputs &amp; Assumptions'!AE$51/4*(AE300-AE311)</f>
        <v>0</v>
      </c>
      <c r="AF344" s="39" t="n">
        <f aca="false">'Inputs &amp; Assumptions'!AF$51/4*(AF300-AF311)</f>
        <v>0</v>
      </c>
      <c r="AG344" s="39" t="n">
        <f aca="false">'Inputs &amp; Assumptions'!AG$51/4*(AG300-AG311)</f>
        <v>0</v>
      </c>
      <c r="AH344" s="39" t="n">
        <f aca="false">'Inputs &amp; Assumptions'!AH$51/4*(AH300-AH311)</f>
        <v>0</v>
      </c>
      <c r="AI344" s="39" t="n">
        <f aca="false">'Inputs &amp; Assumptions'!AI$51/4*(AI300-AI311)</f>
        <v>0</v>
      </c>
      <c r="AJ344" s="39" t="n">
        <f aca="false">'Inputs &amp; Assumptions'!AJ$51/4*(AJ300-AJ311)</f>
        <v>0</v>
      </c>
      <c r="AK344" s="39" t="n">
        <f aca="false">'Inputs &amp; Assumptions'!AK$51/4*(AK300-AK311)</f>
        <v>0</v>
      </c>
      <c r="AL344" s="39" t="n">
        <f aca="false">'Inputs &amp; Assumptions'!AL$51/4*(AL300-AL311)</f>
        <v>0</v>
      </c>
      <c r="AM344" s="39" t="n">
        <f aca="false">'Inputs &amp; Assumptions'!AM$51/4*(AM300-AM311)</f>
        <v>0</v>
      </c>
      <c r="AN344" s="39" t="n">
        <f aca="false">'Inputs &amp; Assumptions'!AN$51/4*(AN300-AN311)</f>
        <v>0</v>
      </c>
    </row>
    <row r="345" customFormat="false" ht="15" hidden="false" customHeight="false" outlineLevel="0" collapsed="false">
      <c r="B345" s="37" t="n">
        <v>6</v>
      </c>
      <c r="C345" s="38" t="n">
        <f aca="false">'Inputs &amp; Assumptions'!$C$145</f>
        <v>5</v>
      </c>
      <c r="D345" s="38" t="n">
        <f aca="false">'Inputs &amp; Assumptions'!$D$145</f>
        <v>3</v>
      </c>
      <c r="E345" s="39" t="n">
        <f aca="false">'Inputs &amp; Assumptions'!E$51/4*(E301-E312)</f>
        <v>1048538.4459</v>
      </c>
      <c r="F345" s="39" t="n">
        <f aca="false">'Inputs &amp; Assumptions'!F$51/4*(F301-F312)</f>
        <v>969281.2045877</v>
      </c>
      <c r="G345" s="39" t="n">
        <f aca="false">'Inputs &amp; Assumptions'!G$51/4*(G301-G312)</f>
        <v>896014.883613132</v>
      </c>
      <c r="H345" s="39" t="n">
        <f aca="false">'Inputs &amp; Assumptions'!H$51/4*(H301-H312)</f>
        <v>829801.874957614</v>
      </c>
      <c r="I345" s="39" t="n">
        <f aca="false">'Inputs &amp; Assumptions'!I$51/4*(I301-I312)</f>
        <v>768481.823545771</v>
      </c>
      <c r="J345" s="39" t="n">
        <f aca="false">'Inputs &amp; Assumptions'!J$51/4*(J301-J312)</f>
        <v>711693.153441476</v>
      </c>
      <c r="K345" s="39" t="n">
        <f aca="false">'Inputs &amp; Assumptions'!K$51/4*(K301-K312)</f>
        <v>659101.00816497</v>
      </c>
      <c r="L345" s="39" t="n">
        <f aca="false">'Inputs &amp; Assumptions'!L$51/4*(L301-L312)</f>
        <v>612160.050774187</v>
      </c>
      <c r="M345" s="39" t="n">
        <f aca="false">'Inputs &amp; Assumptions'!M$51/4*(M301-M312)</f>
        <v>568562.212956074</v>
      </c>
      <c r="N345" s="39" t="n">
        <f aca="false">'Inputs &amp; Assumptions'!N$51/4*(N301-N312)</f>
        <v>528069.398832355</v>
      </c>
      <c r="O345" s="39" t="n">
        <f aca="false">'Inputs &amp; Assumptions'!O$51/4*(O301-O312)</f>
        <v>490460.469635024</v>
      </c>
      <c r="P345" s="39" t="n">
        <f aca="false">'Inputs &amp; Assumptions'!P$51/4*(P301-P312)</f>
        <v>456687.753218025</v>
      </c>
      <c r="Q345" s="39" t="n">
        <f aca="false">'Inputs &amp; Assumptions'!Q$51/4*(Q301-Q312)</f>
        <v>425240.599093603</v>
      </c>
      <c r="R345" s="39" t="n">
        <f aca="false">'Inputs &amp; Assumptions'!R$51/4*(R301-R312)</f>
        <v>395958.870898729</v>
      </c>
      <c r="S345" s="39" t="n">
        <f aca="false">'Inputs &amp; Assumptions'!S$51/4*(S301-S312)</f>
        <v>368693.459132498</v>
      </c>
      <c r="T345" s="39" t="n">
        <f aca="false">'Inputs &amp; Assumptions'!T$51/4*(T301-T312)</f>
        <v>343890.044871647</v>
      </c>
      <c r="U345" s="39" t="n">
        <f aca="false">'Inputs &amp; Assumptions'!U$51/4*(U301-U312)</f>
        <v>320755.250825657</v>
      </c>
      <c r="V345" s="39" t="n">
        <f aca="false">'Inputs &amp; Assumptions'!V$51/4*(V301-V312)</f>
        <v>299176.822552773</v>
      </c>
      <c r="W345" s="39" t="n">
        <f aca="false">'Inputs &amp; Assumptions'!W$51/4*(W301-W312)</f>
        <v>279050.057395394</v>
      </c>
      <c r="X345" s="39" t="n">
        <f aca="false">'Inputs &amp; Assumptions'!X$51/4*(X301-X312)</f>
        <v>260680.374951308</v>
      </c>
      <c r="Y345" s="39" t="n">
        <f aca="false">'Inputs &amp; Assumptions'!Y$51/4*(Y301-Y312)</f>
        <v>243519.956666656</v>
      </c>
      <c r="Z345" s="39" t="n">
        <f aca="false">'Inputs &amp; Assumptions'!Z$51/4*(Z301-Z312)</f>
        <v>227489.197474137</v>
      </c>
      <c r="AA345" s="39" t="n">
        <f aca="false">'Inputs &amp; Assumptions'!AA$51/4*(AA301-AA312)</f>
        <v>212513.732655871</v>
      </c>
      <c r="AB345" s="39" t="n">
        <f aca="false">'Inputs &amp; Assumptions'!AB$51/4*(AB301-AB312)</f>
        <v>0</v>
      </c>
      <c r="AC345" s="39" t="n">
        <f aca="false">'Inputs &amp; Assumptions'!AC$51/4*(AC301-AC312)</f>
        <v>0</v>
      </c>
      <c r="AD345" s="39" t="n">
        <f aca="false">'Inputs &amp; Assumptions'!AD$51/4*(AD301-AD312)</f>
        <v>0</v>
      </c>
      <c r="AE345" s="39" t="n">
        <f aca="false">'Inputs &amp; Assumptions'!AE$51/4*(AE301-AE312)</f>
        <v>0</v>
      </c>
      <c r="AF345" s="39" t="n">
        <f aca="false">'Inputs &amp; Assumptions'!AF$51/4*(AF301-AF312)</f>
        <v>0</v>
      </c>
      <c r="AG345" s="39" t="n">
        <f aca="false">'Inputs &amp; Assumptions'!AG$51/4*(AG301-AG312)</f>
        <v>0</v>
      </c>
      <c r="AH345" s="39" t="n">
        <f aca="false">'Inputs &amp; Assumptions'!AH$51/4*(AH301-AH312)</f>
        <v>0</v>
      </c>
      <c r="AI345" s="39" t="n">
        <f aca="false">'Inputs &amp; Assumptions'!AI$51/4*(AI301-AI312)</f>
        <v>0</v>
      </c>
      <c r="AJ345" s="39" t="n">
        <f aca="false">'Inputs &amp; Assumptions'!AJ$51/4*(AJ301-AJ312)</f>
        <v>0</v>
      </c>
      <c r="AK345" s="39" t="n">
        <f aca="false">'Inputs &amp; Assumptions'!AK$51/4*(AK301-AK312)</f>
        <v>0</v>
      </c>
      <c r="AL345" s="39" t="n">
        <f aca="false">'Inputs &amp; Assumptions'!AL$51/4*(AL301-AL312)</f>
        <v>0</v>
      </c>
      <c r="AM345" s="39" t="n">
        <f aca="false">'Inputs &amp; Assumptions'!AM$51/4*(AM301-AM312)</f>
        <v>0</v>
      </c>
      <c r="AN345" s="39" t="n">
        <f aca="false">'Inputs &amp; Assumptions'!AN$51/4*(AN301-AN312)</f>
        <v>0</v>
      </c>
    </row>
    <row r="346" customFormat="false" ht="15" hidden="false" customHeight="false" outlineLevel="0" collapsed="false">
      <c r="B346" s="37" t="n">
        <v>7</v>
      </c>
      <c r="C346" s="38" t="n">
        <f aca="false">'Inputs &amp; Assumptions'!$C$146</f>
        <v>6</v>
      </c>
      <c r="D346" s="38" t="n">
        <f aca="false">'Inputs &amp; Assumptions'!$D$146</f>
        <v>3</v>
      </c>
      <c r="E346" s="39" t="n">
        <f aca="false">'Inputs &amp; Assumptions'!E$51/4*(E302-E313)</f>
        <v>1017082.292523</v>
      </c>
      <c r="F346" s="39" t="n">
        <f aca="false">'Inputs &amp; Assumptions'!F$51/4*(F302-F313)</f>
        <v>940202.768450069</v>
      </c>
      <c r="G346" s="39" t="n">
        <f aca="false">'Inputs &amp; Assumptions'!G$51/4*(G302-G313)</f>
        <v>870724.397963306</v>
      </c>
      <c r="H346" s="39" t="n">
        <f aca="false">'Inputs &amp; Assumptions'!H$51/4*(H302-H313)</f>
        <v>806380.285880668</v>
      </c>
      <c r="I346" s="39" t="n">
        <f aca="false">'Inputs &amp; Assumptions'!I$51/4*(I302-I313)</f>
        <v>746791.024781174</v>
      </c>
      <c r="J346" s="39" t="n">
        <f aca="false">'Inputs &amp; Assumptions'!J$51/4*(J302-J313)</f>
        <v>691605.244397364</v>
      </c>
      <c r="K346" s="39" t="n">
        <f aca="false">'Inputs &amp; Assumptions'!K$51/4*(K302-K313)</f>
        <v>642349.345974625</v>
      </c>
      <c r="L346" s="39" t="n">
        <f aca="false">'Inputs &amp; Assumptions'!L$51/4*(L302-L313)</f>
        <v>596601.43646476</v>
      </c>
      <c r="M346" s="39" t="n">
        <f aca="false">'Inputs &amp; Assumptions'!M$51/4*(M302-M313)</f>
        <v>554111.678049214</v>
      </c>
      <c r="N346" s="39" t="n">
        <f aca="false">'Inputs &amp; Assumptions'!N$51/4*(N302-N313)</f>
        <v>514648.026276839</v>
      </c>
      <c r="O346" s="39" t="n">
        <f aca="false">'Inputs &amp; Assumptions'!O$51/4*(O302-O313)</f>
        <v>479209.774017794</v>
      </c>
      <c r="P346" s="39" t="n">
        <f aca="false">'Inputs &amp; Assumptions'!P$51/4*(P302-P313)</f>
        <v>446211.771519854</v>
      </c>
      <c r="Q346" s="39" t="n">
        <f aca="false">'Inputs &amp; Assumptions'!Q$51/4*(Q302-Q313)</f>
        <v>415485.98513246</v>
      </c>
      <c r="R346" s="39" t="n">
        <f aca="false">'Inputs &amp; Assumptions'!R$51/4*(R302-R313)</f>
        <v>386875.951868091</v>
      </c>
      <c r="S346" s="39" t="n">
        <f aca="false">'Inputs &amp; Assumptions'!S$51/4*(S302-S313)</f>
        <v>360849.332018844</v>
      </c>
      <c r="T346" s="39" t="n">
        <f aca="false">'Inputs &amp; Assumptions'!T$51/4*(T302-T313)</f>
        <v>336573.622086604</v>
      </c>
      <c r="U346" s="39" t="n">
        <f aca="false">'Inputs &amp; Assumptions'!U$51/4*(U302-U313)</f>
        <v>313931.031687709</v>
      </c>
      <c r="V346" s="39" t="n">
        <f aca="false">'Inputs &amp; Assumptions'!V$51/4*(V302-V313)</f>
        <v>292811.694646559</v>
      </c>
      <c r="W346" s="39" t="n">
        <f aca="false">'Inputs &amp; Assumptions'!W$51/4*(W302-W313)</f>
        <v>273536.092638885</v>
      </c>
      <c r="X346" s="39" t="n">
        <f aca="false">'Inputs &amp; Assumptions'!X$51/4*(X302-X313)</f>
        <v>255529.390881957</v>
      </c>
      <c r="Y346" s="39" t="n">
        <f aca="false">'Inputs &amp; Assumptions'!Y$51/4*(Y302-Y313)</f>
        <v>238708.058503654</v>
      </c>
      <c r="Z346" s="39" t="n">
        <f aca="false">'Inputs &amp; Assumptions'!Z$51/4*(Z302-Z313)</f>
        <v>222994.063414439</v>
      </c>
      <c r="AA346" s="39" t="n">
        <f aca="false">'Inputs &amp; Assumptions'!AA$51/4*(AA302-AA313)</f>
        <v>0</v>
      </c>
      <c r="AB346" s="39" t="n">
        <f aca="false">'Inputs &amp; Assumptions'!AB$51/4*(AB302-AB313)</f>
        <v>0</v>
      </c>
      <c r="AC346" s="39" t="n">
        <f aca="false">'Inputs &amp; Assumptions'!AC$51/4*(AC302-AC313)</f>
        <v>0</v>
      </c>
      <c r="AD346" s="39" t="n">
        <f aca="false">'Inputs &amp; Assumptions'!AD$51/4*(AD302-AD313)</f>
        <v>0</v>
      </c>
      <c r="AE346" s="39" t="n">
        <f aca="false">'Inputs &amp; Assumptions'!AE$51/4*(AE302-AE313)</f>
        <v>0</v>
      </c>
      <c r="AF346" s="39" t="n">
        <f aca="false">'Inputs &amp; Assumptions'!AF$51/4*(AF302-AF313)</f>
        <v>0</v>
      </c>
      <c r="AG346" s="39" t="n">
        <f aca="false">'Inputs &amp; Assumptions'!AG$51/4*(AG302-AG313)</f>
        <v>0</v>
      </c>
      <c r="AH346" s="39" t="n">
        <f aca="false">'Inputs &amp; Assumptions'!AH$51/4*(AH302-AH313)</f>
        <v>0</v>
      </c>
      <c r="AI346" s="39" t="n">
        <f aca="false">'Inputs &amp; Assumptions'!AI$51/4*(AI302-AI313)</f>
        <v>0</v>
      </c>
      <c r="AJ346" s="39" t="n">
        <f aca="false">'Inputs &amp; Assumptions'!AJ$51/4*(AJ302-AJ313)</f>
        <v>0</v>
      </c>
      <c r="AK346" s="39" t="n">
        <f aca="false">'Inputs &amp; Assumptions'!AK$51/4*(AK302-AK313)</f>
        <v>0</v>
      </c>
      <c r="AL346" s="39" t="n">
        <f aca="false">'Inputs &amp; Assumptions'!AL$51/4*(AL302-AL313)</f>
        <v>0</v>
      </c>
      <c r="AM346" s="39" t="n">
        <f aca="false">'Inputs &amp; Assumptions'!AM$51/4*(AM302-AM313)</f>
        <v>0</v>
      </c>
      <c r="AN346" s="39" t="n">
        <f aca="false">'Inputs &amp; Assumptions'!AN$51/4*(AN302-AN313)</f>
        <v>0</v>
      </c>
    </row>
    <row r="347" customFormat="false" ht="15" hidden="false" customHeight="false" outlineLevel="0" collapsed="false">
      <c r="B347" s="37" t="n">
        <v>8</v>
      </c>
      <c r="C347" s="38" t="n">
        <f aca="false">'Inputs &amp; Assumptions'!$C$147</f>
        <v>7</v>
      </c>
      <c r="D347" s="38" t="n">
        <f aca="false">'Inputs &amp; Assumptions'!$D$147</f>
        <v>3</v>
      </c>
      <c r="E347" s="39" t="n">
        <f aca="false">'Inputs &amp; Assumptions'!E$51/4*(E303-E314)</f>
        <v>986569.82374731</v>
      </c>
      <c r="F347" s="39" t="n">
        <f aca="false">'Inputs &amp; Assumptions'!F$51/4*(F303-F314)</f>
        <v>913665.056791164</v>
      </c>
      <c r="G347" s="39" t="n">
        <f aca="false">'Inputs &amp; Assumptions'!G$51/4*(G303-G314)</f>
        <v>846147.749411616</v>
      </c>
      <c r="H347" s="39" t="n">
        <f aca="false">'Inputs &amp; Assumptions'!H$51/4*(H303-H314)</f>
        <v>783619.78332503</v>
      </c>
      <c r="I347" s="39" t="n">
        <f aca="false">'Inputs &amp; Assumptions'!I$51/4*(I303-I314)</f>
        <v>725712.460082018</v>
      </c>
      <c r="J347" s="39" t="n">
        <f aca="false">'Inputs &amp; Assumptions'!J$51/4*(J303-J314)</f>
        <v>674027.456957058</v>
      </c>
      <c r="K347" s="39" t="n">
        <f aca="false">'Inputs &amp; Assumptions'!K$51/4*(K303-K314)</f>
        <v>626023.442784287</v>
      </c>
      <c r="L347" s="39" t="n">
        <f aca="false">'Inputs &amp; Assumptions'!L$51/4*(L303-L314)</f>
        <v>581438.258739153</v>
      </c>
      <c r="M347" s="39" t="n">
        <f aca="false">'Inputs &amp; Assumptions'!M$51/4*(M303-M314)</f>
        <v>540028.416862512</v>
      </c>
      <c r="N347" s="39" t="n">
        <f aca="false">'Inputs &amp; Assumptions'!N$51/4*(N303-N314)</f>
        <v>502842.491168255</v>
      </c>
      <c r="O347" s="39" t="n">
        <f aca="false">'Inputs &amp; Assumptions'!O$51/4*(O303-O314)</f>
        <v>468217.158632729</v>
      </c>
      <c r="P347" s="39" t="n">
        <f aca="false">'Inputs &amp; Assumptions'!P$51/4*(P303-P314)</f>
        <v>435976.098855081</v>
      </c>
      <c r="Q347" s="39" t="n">
        <f aca="false">'Inputs &amp; Assumptions'!Q$51/4*(Q303-Q314)</f>
        <v>405955.132716507</v>
      </c>
      <c r="R347" s="39" t="n">
        <f aca="false">'Inputs &amp; Assumptions'!R$51/4*(R303-R314)</f>
        <v>378644.983651813</v>
      </c>
      <c r="S347" s="39" t="n">
        <f aca="false">'Inputs &amp; Assumptions'!S$51/4*(S303-S314)</f>
        <v>353172.092406585</v>
      </c>
      <c r="T347" s="39" t="n">
        <f aca="false">'Inputs &amp; Assumptions'!T$51/4*(T303-T314)</f>
        <v>329412.85964465</v>
      </c>
      <c r="U347" s="39" t="n">
        <f aca="false">'Inputs &amp; Assumptions'!U$51/4*(U303-U314)</f>
        <v>307252.001028274</v>
      </c>
      <c r="V347" s="39" t="n">
        <f aca="false">'Inputs &amp; Assumptions'!V$51/4*(V303-V314)</f>
        <v>287025.803112815</v>
      </c>
      <c r="W347" s="39" t="n">
        <f aca="false">'Inputs &amp; Assumptions'!W$51/4*(W303-W314)</f>
        <v>268131.082553878</v>
      </c>
      <c r="X347" s="39" t="n">
        <f aca="false">'Inputs &amp; Assumptions'!X$51/4*(X303-X314)</f>
        <v>250480.18906947</v>
      </c>
      <c r="Y347" s="39" t="n">
        <f aca="false">'Inputs &amp; Assumptions'!Y$51/4*(Y303-Y314)</f>
        <v>233991.242338235</v>
      </c>
      <c r="Z347" s="39" t="n">
        <f aca="false">'Inputs &amp; Assumptions'!Z$51/4*(Z303-Z314)</f>
        <v>0</v>
      </c>
      <c r="AA347" s="39" t="n">
        <f aca="false">'Inputs &amp; Assumptions'!AA$51/4*(AA303-AA314)</f>
        <v>0</v>
      </c>
      <c r="AB347" s="39" t="n">
        <f aca="false">'Inputs &amp; Assumptions'!AB$51/4*(AB303-AB314)</f>
        <v>0</v>
      </c>
      <c r="AC347" s="39" t="n">
        <f aca="false">'Inputs &amp; Assumptions'!AC$51/4*(AC303-AC314)</f>
        <v>0</v>
      </c>
      <c r="AD347" s="39" t="n">
        <f aca="false">'Inputs &amp; Assumptions'!AD$51/4*(AD303-AD314)</f>
        <v>0</v>
      </c>
      <c r="AE347" s="39" t="n">
        <f aca="false">'Inputs &amp; Assumptions'!AE$51/4*(AE303-AE314)</f>
        <v>0</v>
      </c>
      <c r="AF347" s="39" t="n">
        <f aca="false">'Inputs &amp; Assumptions'!AF$51/4*(AF303-AF314)</f>
        <v>0</v>
      </c>
      <c r="AG347" s="39" t="n">
        <f aca="false">'Inputs &amp; Assumptions'!AG$51/4*(AG303-AG314)</f>
        <v>0</v>
      </c>
      <c r="AH347" s="39" t="n">
        <f aca="false">'Inputs &amp; Assumptions'!AH$51/4*(AH303-AH314)</f>
        <v>0</v>
      </c>
      <c r="AI347" s="39" t="n">
        <f aca="false">'Inputs &amp; Assumptions'!AI$51/4*(AI303-AI314)</f>
        <v>0</v>
      </c>
      <c r="AJ347" s="39" t="n">
        <f aca="false">'Inputs &amp; Assumptions'!AJ$51/4*(AJ303-AJ314)</f>
        <v>0</v>
      </c>
      <c r="AK347" s="39" t="n">
        <f aca="false">'Inputs &amp; Assumptions'!AK$51/4*(AK303-AK314)</f>
        <v>0</v>
      </c>
      <c r="AL347" s="39" t="n">
        <f aca="false">'Inputs &amp; Assumptions'!AL$51/4*(AL303-AL314)</f>
        <v>0</v>
      </c>
      <c r="AM347" s="39" t="n">
        <f aca="false">'Inputs &amp; Assumptions'!AM$51/4*(AM303-AM314)</f>
        <v>0</v>
      </c>
      <c r="AN347" s="39" t="n">
        <f aca="false">'Inputs &amp; Assumptions'!AN$51/4*(AN303-AN314)</f>
        <v>0</v>
      </c>
    </row>
    <row r="348" customFormat="false" ht="15" hidden="false" customHeight="false" outlineLevel="0" collapsed="false">
      <c r="B348" s="37" t="n">
        <v>9</v>
      </c>
      <c r="C348" s="38" t="n">
        <f aca="false">'Inputs &amp; Assumptions'!$C$148</f>
        <v>8</v>
      </c>
      <c r="D348" s="38" t="n">
        <f aca="false">'Inputs &amp; Assumptions'!$D$148</f>
        <v>3</v>
      </c>
      <c r="E348" s="39" t="n">
        <f aca="false">'Inputs &amp; Assumptions'!E$51/4*(E304-E315)</f>
        <v>958723.377860809</v>
      </c>
      <c r="F348" s="39" t="n">
        <f aca="false">'Inputs &amp; Assumptions'!F$51/4*(F304-F315)</f>
        <v>887876.385832546</v>
      </c>
      <c r="G348" s="39" t="n">
        <f aca="false">'Inputs &amp; Assumptions'!G$51/4*(G304-G315)</f>
        <v>822264.789535063</v>
      </c>
      <c r="H348" s="39" t="n">
        <f aca="false">'Inputs &amp; Assumptions'!H$51/4*(H304-H315)</f>
        <v>761501.70778014</v>
      </c>
      <c r="I348" s="39" t="n">
        <f aca="false">'Inputs &amp; Assumptions'!I$51/4*(I304-I315)</f>
        <v>707267.806185243</v>
      </c>
      <c r="J348" s="39" t="n">
        <f aca="false">'Inputs &amp; Assumptions'!J$51/4*(J304-J315)</f>
        <v>656896.425254652</v>
      </c>
      <c r="K348" s="39" t="n">
        <f aca="false">'Inputs &amp; Assumptions'!K$51/4*(K304-K315)</f>
        <v>610112.477534884</v>
      </c>
      <c r="L348" s="39" t="n">
        <f aca="false">'Inputs &amp; Assumptions'!L$51/4*(L304-L315)</f>
        <v>566660.46721057</v>
      </c>
      <c r="M348" s="39" t="n">
        <f aca="false">'Inputs &amp; Assumptions'!M$51/4*(M304-M315)</f>
        <v>527640.679789031</v>
      </c>
      <c r="N348" s="39" t="n">
        <f aca="false">'Inputs &amp; Assumptions'!N$51/4*(N304-N315)</f>
        <v>491307.76378084</v>
      </c>
      <c r="O348" s="39" t="n">
        <f aca="false">'Inputs &amp; Assumptions'!O$51/4*(O304-O315)</f>
        <v>457476.703365333</v>
      </c>
      <c r="P348" s="39" t="n">
        <f aca="false">'Inputs &amp; Assumptions'!P$51/4*(P304-P315)</f>
        <v>425975.222763567</v>
      </c>
      <c r="Q348" s="39" t="n">
        <f aca="false">'Inputs &amp; Assumptions'!Q$51/4*(Q304-Q315)</f>
        <v>397318.245935383</v>
      </c>
      <c r="R348" s="39" t="n">
        <f aca="false">'Inputs &amp; Assumptions'!R$51/4*(R304-R315)</f>
        <v>370589.133163712</v>
      </c>
      <c r="S348" s="39" t="n">
        <f aca="false">'Inputs &amp; Assumptions'!S$51/4*(S304-S315)</f>
        <v>345658.189685471</v>
      </c>
      <c r="T348" s="39" t="n">
        <f aca="false">'Inputs &amp; Assumptions'!T$51/4*(T304-T315)</f>
        <v>322404.44579862</v>
      </c>
      <c r="U348" s="39" t="n">
        <f aca="false">'Inputs &amp; Assumptions'!U$51/4*(U304-U315)</f>
        <v>301180.772371846</v>
      </c>
      <c r="V348" s="39" t="n">
        <f aca="false">'Inputs &amp; Assumptions'!V$51/4*(V304-V315)</f>
        <v>281354.239460956</v>
      </c>
      <c r="W348" s="39" t="n">
        <f aca="false">'Inputs &amp; Assumptions'!W$51/4*(W304-W315)</f>
        <v>262832.874221199</v>
      </c>
      <c r="X348" s="39" t="n">
        <f aca="false">'Inputs &amp; Assumptions'!X$51/4*(X304-X315)</f>
        <v>245530.758319933</v>
      </c>
      <c r="Y348" s="39" t="n">
        <f aca="false">'Inputs &amp; Assumptions'!Y$51/4*(Y304-Y315)</f>
        <v>0</v>
      </c>
      <c r="Z348" s="39" t="n">
        <f aca="false">'Inputs &amp; Assumptions'!Z$51/4*(Z304-Z315)</f>
        <v>0</v>
      </c>
      <c r="AA348" s="39" t="n">
        <f aca="false">'Inputs &amp; Assumptions'!AA$51/4*(AA304-AA315)</f>
        <v>0</v>
      </c>
      <c r="AB348" s="39" t="n">
        <f aca="false">'Inputs &amp; Assumptions'!AB$51/4*(AB304-AB315)</f>
        <v>0</v>
      </c>
      <c r="AC348" s="39" t="n">
        <f aca="false">'Inputs &amp; Assumptions'!AC$51/4*(AC304-AC315)</f>
        <v>0</v>
      </c>
      <c r="AD348" s="39" t="n">
        <f aca="false">'Inputs &amp; Assumptions'!AD$51/4*(AD304-AD315)</f>
        <v>0</v>
      </c>
      <c r="AE348" s="39" t="n">
        <f aca="false">'Inputs &amp; Assumptions'!AE$51/4*(AE304-AE315)</f>
        <v>0</v>
      </c>
      <c r="AF348" s="39" t="n">
        <f aca="false">'Inputs &amp; Assumptions'!AF$51/4*(AF304-AF315)</f>
        <v>0</v>
      </c>
      <c r="AG348" s="39" t="n">
        <f aca="false">'Inputs &amp; Assumptions'!AG$51/4*(AG304-AG315)</f>
        <v>0</v>
      </c>
      <c r="AH348" s="39" t="n">
        <f aca="false">'Inputs &amp; Assumptions'!AH$51/4*(AH304-AH315)</f>
        <v>0</v>
      </c>
      <c r="AI348" s="39" t="n">
        <f aca="false">'Inputs &amp; Assumptions'!AI$51/4*(AI304-AI315)</f>
        <v>0</v>
      </c>
      <c r="AJ348" s="39" t="n">
        <f aca="false">'Inputs &amp; Assumptions'!AJ$51/4*(AJ304-AJ315)</f>
        <v>0</v>
      </c>
      <c r="AK348" s="39" t="n">
        <f aca="false">'Inputs &amp; Assumptions'!AK$51/4*(AK304-AK315)</f>
        <v>0</v>
      </c>
      <c r="AL348" s="39" t="n">
        <f aca="false">'Inputs &amp; Assumptions'!AL$51/4*(AL304-AL315)</f>
        <v>0</v>
      </c>
      <c r="AM348" s="39" t="n">
        <f aca="false">'Inputs &amp; Assumptions'!AM$51/4*(AM304-AM315)</f>
        <v>0</v>
      </c>
      <c r="AN348" s="39" t="n">
        <f aca="false">'Inputs &amp; Assumptions'!AN$51/4*(AN304-AN315)</f>
        <v>0</v>
      </c>
    </row>
    <row r="349" customFormat="false" ht="15" hidden="false" customHeight="false" outlineLevel="0" collapsed="false">
      <c r="B349" s="37" t="n">
        <v>10</v>
      </c>
      <c r="C349" s="38" t="n">
        <f aca="false">'Inputs &amp; Assumptions'!$C$149</f>
        <v>9</v>
      </c>
      <c r="D349" s="38" t="n">
        <f aca="false">'Inputs &amp; Assumptions'!$D$149</f>
        <v>3</v>
      </c>
      <c r="E349" s="39" t="n">
        <f aca="false">'Inputs &amp; Assumptions'!E$51/4*(E305-E316)</f>
        <v>929961.676524985</v>
      </c>
      <c r="F349" s="39" t="n">
        <f aca="false">'Inputs &amp; Assumptions'!F$51/4*(F305-F316)</f>
        <v>861240.094257569</v>
      </c>
      <c r="G349" s="39" t="n">
        <f aca="false">'Inputs &amp; Assumptions'!G$51/4*(G305-G316)</f>
        <v>797596.845849011</v>
      </c>
      <c r="H349" s="39" t="n">
        <f aca="false">'Inputs &amp; Assumptions'!H$51/4*(H305-H316)</f>
        <v>740792.26037241</v>
      </c>
      <c r="I349" s="39" t="n">
        <f aca="false">'Inputs &amp; Assumptions'!I$51/4*(I305-I316)</f>
        <v>688033.278822105</v>
      </c>
      <c r="J349" s="39" t="n">
        <f aca="false">'Inputs &amp; Assumptions'!J$51/4*(J305-J316)</f>
        <v>639031.774614808</v>
      </c>
      <c r="K349" s="39" t="n">
        <f aca="false">'Inputs &amp; Assumptions'!K$51/4*(K305-K316)</f>
        <v>593520.14144789</v>
      </c>
      <c r="L349" s="39" t="n">
        <f aca="false">'Inputs &amp; Assumptions'!L$51/4*(L305-L316)</f>
        <v>552650.818299761</v>
      </c>
      <c r="M349" s="39" t="n">
        <f aca="false">'Inputs &amp; Assumptions'!M$51/4*(M305-M316)</f>
        <v>514595.724118675</v>
      </c>
      <c r="N349" s="39" t="n">
        <f aca="false">'Inputs &amp; Assumptions'!N$51/4*(N305-N316)</f>
        <v>479161.07334449</v>
      </c>
      <c r="O349" s="39" t="n">
        <f aca="false">'Inputs &amp; Assumptions'!O$51/4*(O305-O316)</f>
        <v>446166.424336037</v>
      </c>
      <c r="P349" s="39" t="n">
        <f aca="false">'Inputs &amp; Assumptions'!P$51/4*(P305-P316)</f>
        <v>416151.108419862</v>
      </c>
      <c r="Q349" s="39" t="n">
        <f aca="false">'Inputs &amp; Assumptions'!Q$51/4*(Q305-Q316)</f>
        <v>388155.037207921</v>
      </c>
      <c r="R349" s="39" t="n">
        <f aca="false">'Inputs &amp; Assumptions'!R$51/4*(R305-R316)</f>
        <v>362042.368412666</v>
      </c>
      <c r="S349" s="39" t="n">
        <f aca="false">'Inputs &amp; Assumptions'!S$51/4*(S305-S316)</f>
        <v>337686.398374988</v>
      </c>
      <c r="T349" s="39" t="n">
        <f aca="false">'Inputs &amp; Assumptions'!T$51/4*(T305-T316)</f>
        <v>315456.724022883</v>
      </c>
      <c r="U349" s="39" t="n">
        <f aca="false">'Inputs &amp; Assumptions'!U$51/4*(U305-U316)</f>
        <v>294690.414568442</v>
      </c>
      <c r="V349" s="39" t="n">
        <f aca="false">'Inputs &amp; Assumptions'!V$51/4*(V305-V316)</f>
        <v>275291.137659252</v>
      </c>
      <c r="W349" s="39" t="n">
        <f aca="false">'Inputs &amp; Assumptions'!W$51/4*(W305-W316)</f>
        <v>257168.902438543</v>
      </c>
      <c r="X349" s="39" t="n">
        <f aca="false">'Inputs &amp; Assumptions'!X$51/4*(X305-X316)</f>
        <v>0</v>
      </c>
      <c r="Y349" s="39" t="n">
        <f aca="false">'Inputs &amp; Assumptions'!Y$51/4*(Y305-Y316)</f>
        <v>0</v>
      </c>
      <c r="Z349" s="39" t="n">
        <f aca="false">'Inputs &amp; Assumptions'!Z$51/4*(Z305-Z316)</f>
        <v>0</v>
      </c>
      <c r="AA349" s="39" t="n">
        <f aca="false">'Inputs &amp; Assumptions'!AA$51/4*(AA305-AA316)</f>
        <v>0</v>
      </c>
      <c r="AB349" s="39" t="n">
        <f aca="false">'Inputs &amp; Assumptions'!AB$51/4*(AB305-AB316)</f>
        <v>0</v>
      </c>
      <c r="AC349" s="39" t="n">
        <f aca="false">'Inputs &amp; Assumptions'!AC$51/4*(AC305-AC316)</f>
        <v>0</v>
      </c>
      <c r="AD349" s="39" t="n">
        <f aca="false">'Inputs &amp; Assumptions'!AD$51/4*(AD305-AD316)</f>
        <v>0</v>
      </c>
      <c r="AE349" s="39" t="n">
        <f aca="false">'Inputs &amp; Assumptions'!AE$51/4*(AE305-AE316)</f>
        <v>0</v>
      </c>
      <c r="AF349" s="39" t="n">
        <f aca="false">'Inputs &amp; Assumptions'!AF$51/4*(AF305-AF316)</f>
        <v>0</v>
      </c>
      <c r="AG349" s="39" t="n">
        <f aca="false">'Inputs &amp; Assumptions'!AG$51/4*(AG305-AG316)</f>
        <v>0</v>
      </c>
      <c r="AH349" s="39" t="n">
        <f aca="false">'Inputs &amp; Assumptions'!AH$51/4*(AH305-AH316)</f>
        <v>0</v>
      </c>
      <c r="AI349" s="39" t="n">
        <f aca="false">'Inputs &amp; Assumptions'!AI$51/4*(AI305-AI316)</f>
        <v>0</v>
      </c>
      <c r="AJ349" s="39" t="n">
        <f aca="false">'Inputs &amp; Assumptions'!AJ$51/4*(AJ305-AJ316)</f>
        <v>0</v>
      </c>
      <c r="AK349" s="39" t="n">
        <f aca="false">'Inputs &amp; Assumptions'!AK$51/4*(AK305-AK316)</f>
        <v>0</v>
      </c>
      <c r="AL349" s="39" t="n">
        <f aca="false">'Inputs &amp; Assumptions'!AL$51/4*(AL305-AL316)</f>
        <v>0</v>
      </c>
      <c r="AM349" s="39" t="n">
        <f aca="false">'Inputs &amp; Assumptions'!AM$51/4*(AM305-AM316)</f>
        <v>0</v>
      </c>
      <c r="AN349" s="39" t="n">
        <f aca="false">'Inputs &amp; Assumptions'!AN$51/4*(AN305-AN316)</f>
        <v>0</v>
      </c>
    </row>
    <row r="350" customFormat="false" ht="15" hidden="false" customHeight="false" outlineLevel="0" collapsed="false">
      <c r="B350" s="37" t="n">
        <v>11</v>
      </c>
      <c r="C350" s="38" t="n">
        <f aca="false">'Inputs &amp; Assumptions'!$C$150</f>
        <v>10</v>
      </c>
      <c r="D350" s="38" t="n">
        <f aca="false">'Inputs &amp; Assumptions'!$D$150</f>
        <v>2</v>
      </c>
      <c r="E350" s="39" t="n">
        <f aca="false">'Inputs &amp; Assumptions'!E$51/4*(E306-E317)</f>
        <v>601375.217486157</v>
      </c>
      <c r="F350" s="39" t="n">
        <f aca="false">'Inputs &amp; Assumptions'!F$51/4*(F306-F317)</f>
        <v>556935.260953228</v>
      </c>
      <c r="G350" s="39" t="n">
        <f aca="false">'Inputs &amp; Assumptions'!G$51/4*(G306-G317)</f>
        <v>517270.514533531</v>
      </c>
      <c r="H350" s="39" t="n">
        <f aca="false">'Inputs &amp; Assumptions'!H$51/4*(H306-H317)</f>
        <v>480430.678330232</v>
      </c>
      <c r="I350" s="39" t="n">
        <f aca="false">'Inputs &amp; Assumptions'!I$51/4*(I306-I317)</f>
        <v>446214.563165256</v>
      </c>
      <c r="J350" s="39" t="n">
        <f aca="false">'Inputs &amp; Assumptions'!J$51/4*(J306-J317)</f>
        <v>414435.308487732</v>
      </c>
      <c r="K350" s="39" t="n">
        <f aca="false">'Inputs &amp; Assumptions'!K$51/4*(K306-K317)</f>
        <v>385897.623978391</v>
      </c>
      <c r="L350" s="39" t="n">
        <f aca="false">'Inputs &amp; Assumptions'!L$51/4*(L306-L317)</f>
        <v>359325.021643458</v>
      </c>
      <c r="M350" s="39" t="n">
        <f aca="false">'Inputs &amp; Assumptions'!M$51/4*(M306-M317)</f>
        <v>334582.187493079</v>
      </c>
      <c r="N350" s="39" t="n">
        <f aca="false">'Inputs &amp; Assumptions'!N$51/4*(N306-N317)</f>
        <v>311543.125150722</v>
      </c>
      <c r="O350" s="39" t="n">
        <f aca="false">'Inputs &amp; Assumptions'!O$51/4*(O306-O317)</f>
        <v>290584.431683756</v>
      </c>
      <c r="P350" s="39" t="n">
        <f aca="false">'Inputs &amp; Assumptions'!P$51/4*(P306-P317)</f>
        <v>271035.709409797</v>
      </c>
      <c r="Q350" s="39" t="n">
        <f aca="false">'Inputs &amp; Assumptions'!Q$51/4*(Q306-Q317)</f>
        <v>252802.104192627</v>
      </c>
      <c r="R350" s="39" t="n">
        <f aca="false">'Inputs &amp; Assumptions'!R$51/4*(R306-R317)</f>
        <v>235795.143095302</v>
      </c>
      <c r="S350" s="39" t="n">
        <f aca="false">'Inputs &amp; Assumptions'!S$51/4*(S306-S317)</f>
        <v>220272.90331887</v>
      </c>
      <c r="T350" s="39" t="n">
        <f aca="false">'Inputs &amp; Assumptions'!T$51/4*(T306-T317)</f>
        <v>205772.482416712</v>
      </c>
      <c r="U350" s="39" t="n">
        <f aca="false">'Inputs &amp; Assumptions'!U$51/4*(U306-U317)</f>
        <v>192226.614721833</v>
      </c>
      <c r="V350" s="39" t="n">
        <f aca="false">'Inputs &amp; Assumptions'!V$51/4*(V306-V317)</f>
        <v>179572.462622023</v>
      </c>
      <c r="W350" s="39" t="n">
        <f aca="false">'Inputs &amp; Assumptions'!W$51/4*(W306-W317)</f>
        <v>0</v>
      </c>
      <c r="X350" s="39" t="n">
        <f aca="false">'Inputs &amp; Assumptions'!X$51/4*(X306-X317)</f>
        <v>0</v>
      </c>
      <c r="Y350" s="39" t="n">
        <f aca="false">'Inputs &amp; Assumptions'!Y$51/4*(Y306-Y317)</f>
        <v>0</v>
      </c>
      <c r="Z350" s="39" t="n">
        <f aca="false">'Inputs &amp; Assumptions'!Z$51/4*(Z306-Z317)</f>
        <v>0</v>
      </c>
      <c r="AA350" s="39" t="n">
        <f aca="false">'Inputs &amp; Assumptions'!AA$51/4*(AA306-AA317)</f>
        <v>0</v>
      </c>
      <c r="AB350" s="39" t="n">
        <f aca="false">'Inputs &amp; Assumptions'!AB$51/4*(AB306-AB317)</f>
        <v>0</v>
      </c>
      <c r="AC350" s="39" t="n">
        <f aca="false">'Inputs &amp; Assumptions'!AC$51/4*(AC306-AC317)</f>
        <v>0</v>
      </c>
      <c r="AD350" s="39" t="n">
        <f aca="false">'Inputs &amp; Assumptions'!AD$51/4*(AD306-AD317)</f>
        <v>0</v>
      </c>
      <c r="AE350" s="39" t="n">
        <f aca="false">'Inputs &amp; Assumptions'!AE$51/4*(AE306-AE317)</f>
        <v>0</v>
      </c>
      <c r="AF350" s="39" t="n">
        <f aca="false">'Inputs &amp; Assumptions'!AF$51/4*(AF306-AF317)</f>
        <v>0</v>
      </c>
      <c r="AG350" s="39" t="n">
        <f aca="false">'Inputs &amp; Assumptions'!AG$51/4*(AG306-AG317)</f>
        <v>0</v>
      </c>
      <c r="AH350" s="39" t="n">
        <f aca="false">'Inputs &amp; Assumptions'!AH$51/4*(AH306-AH317)</f>
        <v>0</v>
      </c>
      <c r="AI350" s="39" t="n">
        <f aca="false">'Inputs &amp; Assumptions'!AI$51/4*(AI306-AI317)</f>
        <v>0</v>
      </c>
      <c r="AJ350" s="39" t="n">
        <f aca="false">'Inputs &amp; Assumptions'!AJ$51/4*(AJ306-AJ317)</f>
        <v>0</v>
      </c>
      <c r="AK350" s="39" t="n">
        <f aca="false">'Inputs &amp; Assumptions'!AK$51/4*(AK306-AK317)</f>
        <v>0</v>
      </c>
      <c r="AL350" s="39" t="n">
        <f aca="false">'Inputs &amp; Assumptions'!AL$51/4*(AL306-AL317)</f>
        <v>0</v>
      </c>
      <c r="AM350" s="39" t="n">
        <f aca="false">'Inputs &amp; Assumptions'!AM$51/4*(AM306-AM317)</f>
        <v>0</v>
      </c>
      <c r="AN350" s="39" t="n">
        <f aca="false">'Inputs &amp; Assumptions'!AN$51/4*(AN306-AN317)</f>
        <v>0</v>
      </c>
    </row>
    <row r="351" customFormat="false" ht="15" hidden="false" customHeight="false" outlineLevel="0" collapsed="false">
      <c r="A351" s="12" t="s">
        <v>131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customFormat="false" ht="15" hidden="false" customHeight="false" outlineLevel="0" collapsed="false">
      <c r="A352" s="5" t="s">
        <v>132</v>
      </c>
      <c r="E352" s="39" t="n">
        <f aca="false">SUM(E296:E306)</f>
        <v>567374870.33916</v>
      </c>
      <c r="F352" s="39" t="n">
        <f aca="false">SUM(F296:F306)</f>
        <v>531238331.311724</v>
      </c>
      <c r="G352" s="39" t="n">
        <f aca="false">SUM(G296:G306)</f>
        <v>495750360.322971</v>
      </c>
      <c r="H352" s="39" t="n">
        <f aca="false">SUM(H296:H306)</f>
        <v>461102345.526762</v>
      </c>
      <c r="I352" s="39" t="n">
        <f aca="false">SUM(I296:I306)</f>
        <v>427412398.27706</v>
      </c>
      <c r="J352" s="39" t="n">
        <f aca="false">SUM(J296:J306)</f>
        <v>395833518.269391</v>
      </c>
      <c r="K352" s="39" t="n">
        <f aca="false">SUM(K296:K306)</f>
        <v>366759597.612334</v>
      </c>
      <c r="L352" s="39" t="n">
        <f aca="false">SUM(L296:L306)</f>
        <v>340035383.989456</v>
      </c>
      <c r="M352" s="39" t="n">
        <f aca="false">SUM(M296:M306)</f>
        <v>315487114.229597</v>
      </c>
      <c r="N352" s="39" t="n">
        <f aca="false">SUM(N296:N306)</f>
        <v>292887966.969779</v>
      </c>
      <c r="O352" s="39" t="n">
        <f aca="false">SUM(O296:O306)</f>
        <v>272056842.096588</v>
      </c>
      <c r="P352" s="39" t="n">
        <f aca="false">SUM(P296:P306)</f>
        <v>252875092.618309</v>
      </c>
      <c r="Q352" s="39" t="n">
        <f aca="false">SUM(Q296:Q306)</f>
        <v>235218083.354517</v>
      </c>
      <c r="R352" s="39" t="n">
        <f aca="false">SUM(R296:R306)</f>
        <v>218910073.420366</v>
      </c>
      <c r="S352" s="39" t="n">
        <f aca="false">SUM(S296:S306)</f>
        <v>203820488.071078</v>
      </c>
      <c r="T352" s="39" t="n">
        <f aca="false">SUM(T296:T306)</f>
        <v>189872329.024023</v>
      </c>
      <c r="U352" s="39" t="n">
        <f aca="false">SUM(U296:U306)</f>
        <v>176983765.870037</v>
      </c>
      <c r="V352" s="39" t="n">
        <f aca="false">SUM(V296:V306)</f>
        <v>165038691.215935</v>
      </c>
      <c r="W352" s="39" t="n">
        <f aca="false">SUM(W296:W306)</f>
        <v>144736280.883356</v>
      </c>
      <c r="X352" s="39" t="n">
        <f aca="false">SUM(X296:X306)</f>
        <v>121852031.696706</v>
      </c>
      <c r="Y352" s="39" t="n">
        <f aca="false">SUM(Y296:Y306)</f>
        <v>101128064.605638</v>
      </c>
      <c r="Z352" s="39" t="n">
        <f aca="false">SUM(Z296:Z306)</f>
        <v>82395181.0969583</v>
      </c>
      <c r="AA352" s="39" t="n">
        <f aca="false">SUM(AA296:AA306)</f>
        <v>65483279.7508643</v>
      </c>
      <c r="AB352" s="39" t="n">
        <f aca="false">SUM(AB296:AB306)</f>
        <v>50243572.0789927</v>
      </c>
      <c r="AC352" s="39" t="n">
        <f aca="false">SUM(AC296:AC306)</f>
        <v>36538506.606962</v>
      </c>
      <c r="AD352" s="39" t="n">
        <f aca="false">SUM(AD296:AD306)</f>
        <v>24188417.1174898</v>
      </c>
      <c r="AE352" s="39" t="n">
        <f aca="false">SUM(AE296:AE306)</f>
        <v>13078981.3941977</v>
      </c>
      <c r="AF352" s="39" t="n">
        <f aca="false">SUM(AF296:AF306)</f>
        <v>3110137.54705998</v>
      </c>
      <c r="AG352" s="39" t="n">
        <f aca="false">SUM(AG296:AG306)</f>
        <v>0</v>
      </c>
      <c r="AH352" s="39" t="n">
        <f aca="false">SUM(AH296:AH306)</f>
        <v>0</v>
      </c>
      <c r="AI352" s="39" t="n">
        <f aca="false">SUM(AI296:AI306)</f>
        <v>0</v>
      </c>
      <c r="AJ352" s="39" t="n">
        <f aca="false">SUM(AJ296:AJ306)</f>
        <v>0</v>
      </c>
      <c r="AK352" s="39" t="n">
        <f aca="false">SUM(AK296:AK306)</f>
        <v>0</v>
      </c>
      <c r="AL352" s="39" t="n">
        <f aca="false">SUM(AL296:AL306)</f>
        <v>0</v>
      </c>
      <c r="AM352" s="39" t="n">
        <f aca="false">SUM(AM296:AM306)</f>
        <v>0</v>
      </c>
      <c r="AN352" s="39" t="n">
        <f aca="false">SUM(AN296:AN306)</f>
        <v>0</v>
      </c>
    </row>
    <row r="353" customFormat="false" ht="15" hidden="false" customHeight="false" outlineLevel="0" collapsed="false">
      <c r="A353" s="5" t="s">
        <v>133</v>
      </c>
      <c r="E353" s="39" t="n">
        <f aca="false">SUM(E318:E328)</f>
        <v>10851804.9765848</v>
      </c>
      <c r="F353" s="39" t="n">
        <f aca="false">SUM(F318:F328)</f>
        <v>11736115.3091968</v>
      </c>
      <c r="G353" s="39" t="n">
        <f aca="false">SUM(G318:G328)</f>
        <v>12485030.8461946</v>
      </c>
      <c r="H353" s="39" t="n">
        <f aca="false">SUM(H318:H328)</f>
        <v>13112543.8159434</v>
      </c>
      <c r="I353" s="39" t="n">
        <f aca="false">SUM(I318:I328)</f>
        <v>12639835.4127363</v>
      </c>
      <c r="J353" s="39" t="n">
        <f aca="false">SUM(J318:J328)</f>
        <v>11711441.13851</v>
      </c>
      <c r="K353" s="39" t="n">
        <f aca="false">SUM(K318:K328)</f>
        <v>10858078.1812627</v>
      </c>
      <c r="L353" s="39" t="n">
        <f aca="false">SUM(L318:L328)</f>
        <v>10074197.9005107</v>
      </c>
      <c r="M353" s="39" t="n">
        <f aca="false">SUM(M318:M328)</f>
        <v>9352557.39093188</v>
      </c>
      <c r="N353" s="39" t="n">
        <f aca="false">SUM(N318:N328)</f>
        <v>8687373.72732888</v>
      </c>
      <c r="O353" s="39" t="n">
        <f aca="false">SUM(O318:O328)</f>
        <v>8074858.25013078</v>
      </c>
      <c r="P353" s="39" t="n">
        <f aca="false">SUM(P318:P328)</f>
        <v>7511031.08372188</v>
      </c>
      <c r="Q353" s="39" t="n">
        <f aca="false">SUM(Q318:Q328)</f>
        <v>6990280.43486792</v>
      </c>
      <c r="R353" s="39" t="n">
        <f aca="false">SUM(R318:R328)</f>
        <v>6508436.76459128</v>
      </c>
      <c r="S353" s="39" t="n">
        <f aca="false">SUM(S318:S328)</f>
        <v>6063041.34826511</v>
      </c>
      <c r="T353" s="39" t="n">
        <f aca="false">SUM(T318:T328)</f>
        <v>5651481.16082751</v>
      </c>
      <c r="U353" s="39" t="n">
        <f aca="false">SUM(U318:U328)</f>
        <v>5270048.63767785</v>
      </c>
      <c r="V353" s="39" t="n">
        <f aca="false">SUM(V318:V328)</f>
        <v>14429091.664312</v>
      </c>
      <c r="W353" s="39" t="n">
        <f aca="false">SUM(W318:W328)</f>
        <v>17936274.0286667</v>
      </c>
      <c r="X353" s="39" t="n">
        <f aca="false">SUM(X318:X328)</f>
        <v>16638895.3209993</v>
      </c>
      <c r="Y353" s="39" t="n">
        <f aca="false">SUM(Y318:Y328)</f>
        <v>15410482.8664111</v>
      </c>
      <c r="Z353" s="39" t="n">
        <f aca="false">SUM(Z318:Z328)</f>
        <v>14269838.0991667</v>
      </c>
      <c r="AA353" s="39" t="n">
        <f aca="false">SUM(AA318:AA328)</f>
        <v>13210817.8004014</v>
      </c>
      <c r="AB353" s="39" t="n">
        <f aca="false">SUM(AB318:AB328)</f>
        <v>12227702.9989254</v>
      </c>
      <c r="AC353" s="39" t="n">
        <f aca="false">SUM(AC318:AC328)</f>
        <v>11357683.5773402</v>
      </c>
      <c r="AD353" s="39" t="n">
        <f aca="false">SUM(AD318:AD328)</f>
        <v>10547735.5021077</v>
      </c>
      <c r="AE353" s="39" t="n">
        <f aca="false">SUM(AE318:AE328)</f>
        <v>9793783.97034937</v>
      </c>
      <c r="AF353" s="39" t="n">
        <f aca="false">SUM(AF318:AF328)</f>
        <v>3092526.39319975</v>
      </c>
      <c r="AG353" s="39" t="n">
        <f aca="false">SUM(AG318:AG328)</f>
        <v>0</v>
      </c>
      <c r="AH353" s="39" t="n">
        <f aca="false">SUM(AH318:AH328)</f>
        <v>0</v>
      </c>
      <c r="AI353" s="39" t="n">
        <f aca="false">SUM(AI318:AI328)</f>
        <v>0</v>
      </c>
      <c r="AJ353" s="39" t="n">
        <f aca="false">SUM(AJ318:AJ328)</f>
        <v>0</v>
      </c>
      <c r="AK353" s="39" t="n">
        <f aca="false">SUM(AK318:AK328)</f>
        <v>0</v>
      </c>
      <c r="AL353" s="39" t="n">
        <f aca="false">SUM(AL318:AL328)</f>
        <v>0</v>
      </c>
      <c r="AM353" s="39" t="n">
        <f aca="false">SUM(AM318:AM328)</f>
        <v>0</v>
      </c>
      <c r="AN353" s="39" t="n">
        <f aca="false">SUM(AN318:AN328)</f>
        <v>0</v>
      </c>
    </row>
    <row r="354" customFormat="false" ht="15" hidden="false" customHeight="false" outlineLevel="0" collapsed="false">
      <c r="A354" s="5" t="s">
        <v>129</v>
      </c>
      <c r="E354" s="39" t="n">
        <f aca="false">SUM(E329:E339)</f>
        <v>17251696.2645184</v>
      </c>
      <c r="F354" s="39" t="n">
        <f aca="false">SUM(F329:F339)</f>
        <v>16099242.3460854</v>
      </c>
      <c r="G354" s="39" t="n">
        <f aca="false">SUM(G329:G339)</f>
        <v>14974065.5804013</v>
      </c>
      <c r="H354" s="39" t="n">
        <f aca="false">SUM(H329:H339)</f>
        <v>13880001.5739799</v>
      </c>
      <c r="I354" s="39" t="n">
        <f aca="false">SUM(I329:I339)</f>
        <v>12854493.4090838</v>
      </c>
      <c r="J354" s="39" t="n">
        <f aca="false">SUM(J329:J339)</f>
        <v>11910332.5328236</v>
      </c>
      <c r="K354" s="39" t="n">
        <f aca="false">SUM(K329:K339)</f>
        <v>11042477.2047045</v>
      </c>
      <c r="L354" s="39" t="n">
        <f aca="false">SUM(L329:L339)</f>
        <v>10245284.5535815</v>
      </c>
      <c r="M354" s="39" t="n">
        <f aca="false">SUM(M329:M339)</f>
        <v>9511388.67035178</v>
      </c>
      <c r="N354" s="39" t="n">
        <f aca="false">SUM(N329:N339)</f>
        <v>8834908.42037961</v>
      </c>
      <c r="O354" s="39" t="n">
        <f aca="false">SUM(O329:O339)</f>
        <v>8211990.80258602</v>
      </c>
      <c r="P354" s="39" t="n">
        <f aca="false">SUM(P329:P339)</f>
        <v>7638588.35249063</v>
      </c>
      <c r="Q354" s="39" t="n">
        <f aca="false">SUM(Q329:Q339)</f>
        <v>7108993.9736964</v>
      </c>
      <c r="R354" s="39" t="n">
        <f aca="false">SUM(R329:R339)</f>
        <v>6618967.31737312</v>
      </c>
      <c r="S354" s="39" t="n">
        <f aca="false">SUM(S329:S339)</f>
        <v>6166007.90321557</v>
      </c>
      <c r="T354" s="39" t="n">
        <f aca="false">SUM(T329:T339)</f>
        <v>5747458.33005205</v>
      </c>
      <c r="U354" s="39" t="n">
        <f aca="false">SUM(U329:U339)</f>
        <v>5359548.06898196</v>
      </c>
      <c r="V354" s="39" t="n">
        <f aca="false">SUM(V329:V339)</f>
        <v>4700237.55644713</v>
      </c>
      <c r="W354" s="39" t="n">
        <f aca="false">SUM(W329:W339)</f>
        <v>3957083.13226464</v>
      </c>
      <c r="X354" s="39" t="n">
        <f aca="false">SUM(X329:X339)</f>
        <v>3284082.77709788</v>
      </c>
      <c r="Y354" s="39" t="n">
        <f aca="false">SUM(Y329:Y339)</f>
        <v>2675741.85476201</v>
      </c>
      <c r="Z354" s="39" t="n">
        <f aca="false">SUM(Z329:Z339)</f>
        <v>2126536.40763642</v>
      </c>
      <c r="AA354" s="39" t="n">
        <f aca="false">SUM(AA329:AA339)</f>
        <v>1631634.60477515</v>
      </c>
      <c r="AB354" s="39" t="n">
        <f aca="false">SUM(AB329:AB339)</f>
        <v>1186569.53158097</v>
      </c>
      <c r="AC354" s="39" t="n">
        <f aca="false">SUM(AC329:AC339)</f>
        <v>785506.618470175</v>
      </c>
      <c r="AD354" s="39" t="n">
        <f aca="false">SUM(AD329:AD339)</f>
        <v>424733.309256605</v>
      </c>
      <c r="AE354" s="39" t="n">
        <f aca="false">SUM(AE329:AE339)</f>
        <v>101000.144643683</v>
      </c>
      <c r="AF354" s="39" t="n">
        <f aca="false">SUM(AF329:AF339)</f>
        <v>0</v>
      </c>
      <c r="AG354" s="39" t="n">
        <f aca="false">SUM(AG329:AG339)</f>
        <v>0</v>
      </c>
      <c r="AH354" s="39" t="n">
        <f aca="false">SUM(AH329:AH339)</f>
        <v>0</v>
      </c>
      <c r="AI354" s="39" t="n">
        <f aca="false">SUM(AI329:AI339)</f>
        <v>0</v>
      </c>
      <c r="AJ354" s="39" t="n">
        <f aca="false">SUM(AJ329:AJ339)</f>
        <v>0</v>
      </c>
      <c r="AK354" s="39" t="n">
        <f aca="false">SUM(AK329:AK339)</f>
        <v>0</v>
      </c>
      <c r="AL354" s="39" t="n">
        <f aca="false">SUM(AL329:AL339)</f>
        <v>0</v>
      </c>
      <c r="AM354" s="39" t="n">
        <f aca="false">SUM(AM329:AM339)</f>
        <v>0</v>
      </c>
      <c r="AN354" s="39" t="n">
        <f aca="false">SUM(AN329:AN339)</f>
        <v>0</v>
      </c>
    </row>
    <row r="355" customFormat="false" ht="15" hidden="false" customHeight="false" outlineLevel="0" collapsed="false">
      <c r="A355" s="5" t="s">
        <v>128</v>
      </c>
      <c r="E355" s="39" t="n">
        <f aca="false">SUM(E307:E317)</f>
        <v>8033037.78633303</v>
      </c>
      <c r="F355" s="39" t="n">
        <f aca="false">SUM(F307:F317)</f>
        <v>7652613.33347035</v>
      </c>
      <c r="G355" s="39" t="n">
        <f aca="false">SUM(G307:G317)</f>
        <v>7188918.36961327</v>
      </c>
      <c r="H355" s="39" t="n">
        <f aca="false">SUM(H307:H317)</f>
        <v>6697401.85977866</v>
      </c>
      <c r="I355" s="39" t="n">
        <f aca="false">SUM(I307:I317)</f>
        <v>6084551.18584931</v>
      </c>
      <c r="J355" s="39" t="n">
        <f aca="false">SUM(J307:J317)</f>
        <v>5452146.9857226</v>
      </c>
      <c r="K355" s="39" t="n">
        <f aca="false">SUM(K307:K317)</f>
        <v>4823658.23691128</v>
      </c>
      <c r="L355" s="39" t="n">
        <f aca="false">SUM(L307:L317)</f>
        <v>4228787.30576669</v>
      </c>
      <c r="M355" s="39" t="n">
        <f aca="false">SUM(M307:M317)</f>
        <v>3735201.1985346</v>
      </c>
      <c r="N355" s="39" t="n">
        <f aca="false">SUM(N307:N317)</f>
        <v>3308842.72548293</v>
      </c>
      <c r="O355" s="39" t="n">
        <f aca="false">SUM(O307:O317)</f>
        <v>2894900.42556136</v>
      </c>
      <c r="P355" s="39" t="n">
        <f aca="false">SUM(P307:P317)</f>
        <v>2507389.82757982</v>
      </c>
      <c r="Q355" s="39" t="n">
        <f aca="false">SUM(Q307:Q317)</f>
        <v>2208735.52558629</v>
      </c>
      <c r="R355" s="39" t="n">
        <f aca="false">SUM(R307:R317)</f>
        <v>1962181.26732372</v>
      </c>
      <c r="S355" s="39" t="n">
        <f aca="false">SUM(S307:S317)</f>
        <v>1719109.7955745</v>
      </c>
      <c r="T355" s="39" t="n">
        <f aca="false">SUM(T307:T317)</f>
        <v>1489623.66310617</v>
      </c>
      <c r="U355" s="39" t="n">
        <f aca="false">SUM(U307:U317)</f>
        <v>1315477.94744225</v>
      </c>
      <c r="V355" s="39" t="n">
        <f aca="false">SUM(V307:V317)</f>
        <v>1173081.11182062</v>
      </c>
      <c r="W355" s="39" t="n">
        <f aca="false">SUM(W307:W317)</f>
        <v>990892.025718208</v>
      </c>
      <c r="X355" s="39" t="n">
        <f aca="false">SUM(X307:X317)</f>
        <v>800988.992971105</v>
      </c>
      <c r="Y355" s="39" t="n">
        <f aca="false">SUM(Y307:Y317)</f>
        <v>646658.78750634</v>
      </c>
      <c r="Z355" s="39" t="n">
        <f aca="false">SUM(Z307:Z317)</f>
        <v>515526.839290833</v>
      </c>
      <c r="AA355" s="39" t="n">
        <f aca="false">SUM(AA307:AA317)</f>
        <v>397255.266695147</v>
      </c>
      <c r="AB355" s="39" t="n">
        <f aca="false">SUM(AB307:AB317)</f>
        <v>290792.941524278</v>
      </c>
      <c r="AC355" s="39" t="n">
        <f aca="false">SUM(AC307:AC317)</f>
        <v>206899.293661922</v>
      </c>
      <c r="AD355" s="39" t="n">
        <f aca="false">SUM(AD307:AD317)</f>
        <v>136966.911927786</v>
      </c>
      <c r="AE355" s="39" t="n">
        <f aca="false">SUM(AE307:AE317)</f>
        <v>74059.7321446443</v>
      </c>
      <c r="AF355" s="39" t="n">
        <f aca="false">SUM(AF307:AF317)</f>
        <v>17611.1538602271</v>
      </c>
      <c r="AG355" s="39" t="n">
        <f aca="false">SUM(AG307:AG317)</f>
        <v>0</v>
      </c>
      <c r="AH355" s="39" t="n">
        <f aca="false">SUM(AH307:AH317)</f>
        <v>0</v>
      </c>
      <c r="AI355" s="39" t="n">
        <f aca="false">SUM(AI307:AI317)</f>
        <v>0</v>
      </c>
      <c r="AJ355" s="39" t="n">
        <f aca="false">SUM(AJ307:AJ317)</f>
        <v>0</v>
      </c>
      <c r="AK355" s="39" t="n">
        <f aca="false">SUM(AK307:AK317)</f>
        <v>0</v>
      </c>
      <c r="AL355" s="39" t="n">
        <f aca="false">SUM(AL307:AL317)</f>
        <v>0</v>
      </c>
      <c r="AM355" s="39" t="n">
        <f aca="false">SUM(AM307:AM317)</f>
        <v>0</v>
      </c>
      <c r="AN355" s="39" t="n">
        <f aca="false">SUM(AN307:AN317)</f>
        <v>0</v>
      </c>
    </row>
    <row r="356" customFormat="false" ht="15" hidden="false" customHeight="false" outlineLevel="0" collapsed="false">
      <c r="A356" s="5" t="s">
        <v>134</v>
      </c>
      <c r="E356" s="39" t="n">
        <v>0</v>
      </c>
      <c r="F356" s="39" t="n">
        <v>0</v>
      </c>
      <c r="G356" s="39" t="n">
        <v>0</v>
      </c>
      <c r="H356" s="39" t="n">
        <v>0</v>
      </c>
      <c r="I356" s="39" t="n">
        <v>0</v>
      </c>
      <c r="J356" s="39" t="n">
        <v>0</v>
      </c>
      <c r="K356" s="39" t="n">
        <v>0</v>
      </c>
      <c r="L356" s="39" t="n">
        <v>0</v>
      </c>
      <c r="M356" s="39" t="n">
        <f aca="false">'Inputs &amp; Assumptions'!$E$60*E355</f>
        <v>3213215.11453321</v>
      </c>
      <c r="N356" s="39" t="n">
        <f aca="false">'Inputs &amp; Assumptions'!$E$60*F355</f>
        <v>3061045.33338814</v>
      </c>
      <c r="O356" s="39" t="n">
        <f aca="false">'Inputs &amp; Assumptions'!$E$60*G355</f>
        <v>2875567.34784531</v>
      </c>
      <c r="P356" s="39" t="n">
        <f aca="false">'Inputs &amp; Assumptions'!$E$60*H355</f>
        <v>2678960.74391146</v>
      </c>
      <c r="Q356" s="39" t="n">
        <f aca="false">'Inputs &amp; Assumptions'!$E$60*I355</f>
        <v>2433820.47433972</v>
      </c>
      <c r="R356" s="39" t="n">
        <f aca="false">'Inputs &amp; Assumptions'!$E$60*J355</f>
        <v>2180858.79428904</v>
      </c>
      <c r="S356" s="39" t="n">
        <f aca="false">'Inputs &amp; Assumptions'!$E$60*K355</f>
        <v>1929463.29476451</v>
      </c>
      <c r="T356" s="39" t="n">
        <f aca="false">'Inputs &amp; Assumptions'!$E$60*L355</f>
        <v>1691514.92230668</v>
      </c>
      <c r="U356" s="39" t="n">
        <f aca="false">'Inputs &amp; Assumptions'!$E$60*M355</f>
        <v>1494080.47941384</v>
      </c>
      <c r="V356" s="39" t="n">
        <f aca="false">'Inputs &amp; Assumptions'!$E$60*N355</f>
        <v>1323537.09019317</v>
      </c>
      <c r="W356" s="39" t="n">
        <f aca="false">'Inputs &amp; Assumptions'!$E$60*O355</f>
        <v>1157960.17022454</v>
      </c>
      <c r="X356" s="39" t="n">
        <f aca="false">'Inputs &amp; Assumptions'!$E$60*P355</f>
        <v>1002955.93103193</v>
      </c>
      <c r="Y356" s="39" t="n">
        <f aca="false">'Inputs &amp; Assumptions'!$E$60*Q355</f>
        <v>883494.210234515</v>
      </c>
      <c r="Z356" s="39" t="n">
        <f aca="false">'Inputs &amp; Assumptions'!$E$60*R355</f>
        <v>784872.506929488</v>
      </c>
      <c r="AA356" s="39" t="n">
        <f aca="false">'Inputs &amp; Assumptions'!$E$60*S355</f>
        <v>687643.918229798</v>
      </c>
      <c r="AB356" s="39" t="n">
        <f aca="false">'Inputs &amp; Assumptions'!$E$60*T355</f>
        <v>595849.465242467</v>
      </c>
      <c r="AC356" s="39" t="n">
        <f aca="false">'Inputs &amp; Assumptions'!$E$60*U355</f>
        <v>526191.1789769</v>
      </c>
      <c r="AD356" s="39" t="n">
        <f aca="false">'Inputs &amp; Assumptions'!$E$60*V355</f>
        <v>469232.444728249</v>
      </c>
      <c r="AE356" s="39" t="n">
        <f aca="false">'Inputs &amp; Assumptions'!$E$60*W355</f>
        <v>396356.810287283</v>
      </c>
      <c r="AF356" s="39" t="n">
        <f aca="false">'Inputs &amp; Assumptions'!$E$60*X355</f>
        <v>320395.597188442</v>
      </c>
      <c r="AG356" s="39" t="n">
        <f aca="false">'Inputs &amp; Assumptions'!$E$60*Y355</f>
        <v>258663.515002536</v>
      </c>
      <c r="AH356" s="39" t="n">
        <f aca="false">'Inputs &amp; Assumptions'!$E$60*Z355</f>
        <v>206210.735716333</v>
      </c>
      <c r="AI356" s="39" t="n">
        <f aca="false">'Inputs &amp; Assumptions'!$E$60*AA355</f>
        <v>158902.106678059</v>
      </c>
      <c r="AJ356" s="39" t="n">
        <f aca="false">'Inputs &amp; Assumptions'!$E$60*AB355</f>
        <v>116317.176609711</v>
      </c>
      <c r="AK356" s="39" t="n">
        <f aca="false">'Inputs &amp; Assumptions'!$E$60*AC355</f>
        <v>82759.717464769</v>
      </c>
      <c r="AL356" s="39" t="n">
        <f aca="false">'Inputs &amp; Assumptions'!$E$60*AD355</f>
        <v>54786.7647711143</v>
      </c>
      <c r="AM356" s="39" t="n">
        <f aca="false">'Inputs &amp; Assumptions'!$E$60*AE355</f>
        <v>29623.8928578577</v>
      </c>
      <c r="AN356" s="39" t="n">
        <f aca="false">'Inputs &amp; Assumptions'!$E$60*AF355</f>
        <v>7044.46154409085</v>
      </c>
    </row>
    <row r="357" customFormat="false" ht="15" hidden="false" customHeight="false" outlineLevel="0" collapsed="false">
      <c r="A357" s="14" t="s">
        <v>135</v>
      </c>
      <c r="E357" s="40" t="n">
        <f aca="false">E353+E354+E356</f>
        <v>28103501.2411032</v>
      </c>
      <c r="F357" s="40" t="n">
        <f aca="false">F353+F354+F356</f>
        <v>27835357.6552822</v>
      </c>
      <c r="G357" s="40" t="n">
        <f aca="false">G353+G354+G356</f>
        <v>27459096.4265959</v>
      </c>
      <c r="H357" s="40" t="n">
        <f aca="false">H353+H354+H356</f>
        <v>26992545.3899233</v>
      </c>
      <c r="I357" s="40" t="n">
        <f aca="false">I353+I354+I356</f>
        <v>25494328.8218201</v>
      </c>
      <c r="J357" s="40" t="n">
        <f aca="false">J353+J354+J356</f>
        <v>23621773.6713337</v>
      </c>
      <c r="K357" s="40" t="n">
        <f aca="false">K353+K354+K356</f>
        <v>21900555.3859672</v>
      </c>
      <c r="L357" s="40" t="n">
        <f aca="false">L353+L354+L356</f>
        <v>20319482.4540922</v>
      </c>
      <c r="M357" s="40" t="n">
        <f aca="false">M353+M354+M356</f>
        <v>22077161.1758169</v>
      </c>
      <c r="N357" s="40" t="n">
        <f aca="false">N353+N354+N356</f>
        <v>20583327.4810966</v>
      </c>
      <c r="O357" s="40" t="n">
        <f aca="false">O353+O354+O356</f>
        <v>19162416.4005621</v>
      </c>
      <c r="P357" s="40" t="n">
        <f aca="false">P353+P354+P356</f>
        <v>17828580.180124</v>
      </c>
      <c r="Q357" s="40" t="n">
        <f aca="false">Q353+Q354+Q356</f>
        <v>16533094.882904</v>
      </c>
      <c r="R357" s="40" t="n">
        <f aca="false">R353+R354+R356</f>
        <v>15308262.8762534</v>
      </c>
      <c r="S357" s="40" t="n">
        <f aca="false">S353+S354+S356</f>
        <v>14158512.5462452</v>
      </c>
      <c r="T357" s="40" t="n">
        <f aca="false">T353+T354+T356</f>
        <v>13090454.4131862</v>
      </c>
      <c r="U357" s="40" t="n">
        <f aca="false">U353+U354+U356</f>
        <v>12123677.1860737</v>
      </c>
      <c r="V357" s="40" t="n">
        <f aca="false">V353+V354+V356</f>
        <v>20452866.3109523</v>
      </c>
      <c r="W357" s="40" t="n">
        <f aca="false">W353+W354+W356</f>
        <v>23051317.3311559</v>
      </c>
      <c r="X357" s="40" t="n">
        <f aca="false">X353+X354+X356</f>
        <v>20925934.0291291</v>
      </c>
      <c r="Y357" s="40" t="n">
        <f aca="false">Y353+Y354+Y356</f>
        <v>18969718.9314076</v>
      </c>
      <c r="Z357" s="40" t="n">
        <f aca="false">Z353+Z354+Z356</f>
        <v>17181247.0137326</v>
      </c>
      <c r="AA357" s="40" t="n">
        <f aca="false">AA353+AA354+AA356</f>
        <v>15530096.3234063</v>
      </c>
      <c r="AB357" s="40" t="n">
        <f aca="false">AB353+AB354+AB356</f>
        <v>14010121.9957488</v>
      </c>
      <c r="AC357" s="40" t="n">
        <f aca="false">AC353+AC354+AC356</f>
        <v>12669381.3747872</v>
      </c>
      <c r="AD357" s="40" t="n">
        <f aca="false">AD353+AD354+AD356</f>
        <v>11441701.2560926</v>
      </c>
      <c r="AE357" s="40" t="n">
        <f aca="false">AE353+AE354+AE356</f>
        <v>10291140.9252803</v>
      </c>
      <c r="AF357" s="40" t="n">
        <f aca="false">AF353+AF354+AF356</f>
        <v>3412921.99038819</v>
      </c>
      <c r="AG357" s="40" t="n">
        <f aca="false">AG353+AG354+AG356</f>
        <v>258663.515002536</v>
      </c>
      <c r="AH357" s="40" t="n">
        <f aca="false">AH353+AH354+AH356</f>
        <v>206210.735716333</v>
      </c>
      <c r="AI357" s="40" t="n">
        <f aca="false">AI353+AI354+AI356</f>
        <v>158902.106678059</v>
      </c>
      <c r="AJ357" s="40" t="n">
        <f aca="false">AJ353+AJ354+AJ356</f>
        <v>116317.176609711</v>
      </c>
      <c r="AK357" s="40" t="n">
        <f aca="false">AK353+AK354+AK356</f>
        <v>82759.717464769</v>
      </c>
      <c r="AL357" s="40" t="n">
        <f aca="false">AL353+AL354+AL356</f>
        <v>54786.7647711143</v>
      </c>
      <c r="AM357" s="40" t="n">
        <f aca="false">AM353+AM354+AM356</f>
        <v>29623.8928578577</v>
      </c>
      <c r="AN357" s="40" t="n">
        <f aca="false">AN353+AN354+AN356</f>
        <v>7044.46154409085</v>
      </c>
    </row>
    <row r="358" customFormat="false" ht="15" hidden="false" customHeight="false" outlineLevel="0" collapsed="false">
      <c r="A358" s="14" t="s">
        <v>136</v>
      </c>
      <c r="E358" s="39" t="n">
        <f aca="false">SUM(E340:E350)</f>
        <v>10241548.9540423</v>
      </c>
      <c r="F358" s="39" t="n">
        <f aca="false">SUM(F340:F350)</f>
        <v>9586854.49618182</v>
      </c>
      <c r="G358" s="39" t="n">
        <f aca="false">SUM(G340:G350)</f>
        <v>8945560.00216598</v>
      </c>
      <c r="H358" s="39" t="n">
        <f aca="false">SUM(H340:H350)</f>
        <v>8320154.51854247</v>
      </c>
      <c r="I358" s="39" t="n">
        <f aca="false">SUM(I340:I350)</f>
        <v>7714512.88024007</v>
      </c>
      <c r="J358" s="39" t="n">
        <f aca="false">SUM(J340:J350)</f>
        <v>7147882.90820396</v>
      </c>
      <c r="K358" s="39" t="n">
        <f aca="false">SUM(K340:K350)</f>
        <v>6627047.049964</v>
      </c>
      <c r="L358" s="39" t="n">
        <f aca="false">SUM(L340:L350)</f>
        <v>6148618.78527835</v>
      </c>
      <c r="M358" s="39" t="n">
        <f aca="false">SUM(M340:M350)</f>
        <v>5708177.52759875</v>
      </c>
      <c r="N358" s="39" t="n">
        <f aca="false">SUM(N340:N350)</f>
        <v>5302193.76491306</v>
      </c>
      <c r="O358" s="39" t="n">
        <f aca="false">SUM(O340:O350)</f>
        <v>4928355.15199649</v>
      </c>
      <c r="P358" s="39" t="n">
        <f aca="false">SUM(P340:P350)</f>
        <v>4584232.63809826</v>
      </c>
      <c r="Q358" s="39" t="n">
        <f aca="false">SUM(Q340:Q350)</f>
        <v>4266401.15874772</v>
      </c>
      <c r="R358" s="39" t="n">
        <f aca="false">SUM(R340:R350)</f>
        <v>3972315.90532221</v>
      </c>
      <c r="S358" s="39" t="n">
        <f aca="false">SUM(S340:S350)</f>
        <v>3700476.23622447</v>
      </c>
      <c r="T358" s="39" t="n">
        <f aca="false">SUM(T340:T350)</f>
        <v>3449287.33515839</v>
      </c>
      <c r="U358" s="39" t="n">
        <f aca="false">SUM(U340:U350)</f>
        <v>3216486.35186272</v>
      </c>
      <c r="V358" s="39" t="n">
        <f aca="false">SUM(V340:V350)</f>
        <v>3000379.32100634</v>
      </c>
      <c r="W358" s="39" t="n">
        <f aca="false">SUM(W340:W350)</f>
        <v>2631978.06998334</v>
      </c>
      <c r="X358" s="39" t="n">
        <f aca="false">SUM(X340:X350)</f>
        <v>2216444.59190539</v>
      </c>
      <c r="Y358" s="39" t="n">
        <f aca="false">SUM(Y340:Y350)</f>
        <v>1839814.54052999</v>
      </c>
      <c r="Z358" s="39" t="n">
        <f aca="false">SUM(Z340:Z350)</f>
        <v>1499216.46945789</v>
      </c>
      <c r="AA358" s="39" t="n">
        <f aca="false">SUM(AA340:AA350)</f>
        <v>1191725.10830514</v>
      </c>
      <c r="AB358" s="39" t="n">
        <f aca="false">SUM(AB340:AB350)</f>
        <v>914635.386007046</v>
      </c>
      <c r="AC358" s="39" t="n">
        <f aca="false">SUM(AC340:AC350)</f>
        <v>665231.729906525</v>
      </c>
      <c r="AD358" s="39" t="n">
        <f aca="false">SUM(AD340:AD350)</f>
        <v>440382.05326384</v>
      </c>
      <c r="AE358" s="39" t="n">
        <f aca="false">SUM(AE340:AE350)</f>
        <v>238120.115632191</v>
      </c>
      <c r="AF358" s="39" t="n">
        <f aca="false">SUM(AF340:AF350)</f>
        <v>56624.1582594874</v>
      </c>
      <c r="AG358" s="39" t="n">
        <f aca="false">SUM(AG340:AG350)</f>
        <v>0</v>
      </c>
      <c r="AH358" s="39" t="n">
        <f aca="false">SUM(AH340:AH350)</f>
        <v>0</v>
      </c>
      <c r="AI358" s="39" t="n">
        <f aca="false">SUM(AI340:AI350)</f>
        <v>0</v>
      </c>
      <c r="AJ358" s="39" t="n">
        <f aca="false">SUM(AJ340:AJ350)</f>
        <v>0</v>
      </c>
      <c r="AK358" s="39" t="n">
        <f aca="false">SUM(AK340:AK350)</f>
        <v>0</v>
      </c>
      <c r="AL358" s="39" t="n">
        <f aca="false">SUM(AL340:AL350)</f>
        <v>0</v>
      </c>
      <c r="AM358" s="39" t="n">
        <f aca="false">SUM(AM340:AM350)</f>
        <v>0</v>
      </c>
      <c r="AN358" s="39" t="n">
        <f aca="false">SUM(AN340:AN350)</f>
        <v>0</v>
      </c>
    </row>
    <row r="359" customFormat="false" ht="15" hidden="false" customHeight="false" outlineLevel="0" collapsed="false">
      <c r="A359" s="14" t="s">
        <v>137</v>
      </c>
      <c r="E359" s="40" t="n">
        <f aca="false">E357+E358</f>
        <v>38345050.1951454</v>
      </c>
      <c r="F359" s="40" t="n">
        <f aca="false">F357+F358</f>
        <v>37422212.151464</v>
      </c>
      <c r="G359" s="40" t="n">
        <f aca="false">G357+G358</f>
        <v>36404656.4287618</v>
      </c>
      <c r="H359" s="40" t="n">
        <f aca="false">H357+H358</f>
        <v>35312699.9084658</v>
      </c>
      <c r="I359" s="40" t="n">
        <f aca="false">I357+I358</f>
        <v>33208841.7020602</v>
      </c>
      <c r="J359" s="40" t="n">
        <f aca="false">J357+J358</f>
        <v>30769656.5795377</v>
      </c>
      <c r="K359" s="40" t="n">
        <f aca="false">K357+K358</f>
        <v>28527602.4359312</v>
      </c>
      <c r="L359" s="40" t="n">
        <f aca="false">L357+L358</f>
        <v>26468101.2393705</v>
      </c>
      <c r="M359" s="40" t="n">
        <f aca="false">M357+M358</f>
        <v>27785338.7034156</v>
      </c>
      <c r="N359" s="40" t="n">
        <f aca="false">N357+N358</f>
        <v>25885521.2460097</v>
      </c>
      <c r="O359" s="40" t="n">
        <f aca="false">O357+O358</f>
        <v>24090771.5525586</v>
      </c>
      <c r="P359" s="40" t="n">
        <f aca="false">P357+P358</f>
        <v>22412812.8182222</v>
      </c>
      <c r="Q359" s="40" t="n">
        <f aca="false">Q357+Q358</f>
        <v>20799496.0416518</v>
      </c>
      <c r="R359" s="40" t="n">
        <f aca="false">R357+R358</f>
        <v>19280578.7815756</v>
      </c>
      <c r="S359" s="40" t="n">
        <f aca="false">S357+S358</f>
        <v>17858988.7824697</v>
      </c>
      <c r="T359" s="40" t="n">
        <f aca="false">T357+T358</f>
        <v>16539741.7483446</v>
      </c>
      <c r="U359" s="40" t="n">
        <f aca="false">U357+U358</f>
        <v>15340163.5379364</v>
      </c>
      <c r="V359" s="40" t="n">
        <f aca="false">V357+V358</f>
        <v>23453245.6319586</v>
      </c>
      <c r="W359" s="40" t="n">
        <f aca="false">W357+W358</f>
        <v>25683295.4011392</v>
      </c>
      <c r="X359" s="40" t="n">
        <f aca="false">X357+X358</f>
        <v>23142378.6210345</v>
      </c>
      <c r="Y359" s="40" t="n">
        <f aca="false">Y357+Y358</f>
        <v>20809533.4719376</v>
      </c>
      <c r="Z359" s="40" t="n">
        <f aca="false">Z357+Z358</f>
        <v>18680463.4831905</v>
      </c>
      <c r="AA359" s="40" t="n">
        <f aca="false">AA357+AA358</f>
        <v>16721821.4317114</v>
      </c>
      <c r="AB359" s="40" t="n">
        <f aca="false">AB357+AB358</f>
        <v>14924757.3817559</v>
      </c>
      <c r="AC359" s="40" t="n">
        <f aca="false">AC357+AC358</f>
        <v>13334613.1046938</v>
      </c>
      <c r="AD359" s="40" t="n">
        <f aca="false">AD357+AD358</f>
        <v>11882083.3093564</v>
      </c>
      <c r="AE359" s="40" t="n">
        <f aca="false">AE357+AE358</f>
        <v>10529261.0409125</v>
      </c>
      <c r="AF359" s="40" t="n">
        <f aca="false">AF357+AF358</f>
        <v>3469546.14864768</v>
      </c>
      <c r="AG359" s="40" t="n">
        <f aca="false">AG357+AG358</f>
        <v>258663.515002536</v>
      </c>
      <c r="AH359" s="40" t="n">
        <f aca="false">AH357+AH358</f>
        <v>206210.735716333</v>
      </c>
      <c r="AI359" s="40" t="n">
        <f aca="false">AI357+AI358</f>
        <v>158902.106678059</v>
      </c>
      <c r="AJ359" s="40" t="n">
        <f aca="false">AJ357+AJ358</f>
        <v>116317.176609711</v>
      </c>
      <c r="AK359" s="40" t="n">
        <f aca="false">AK357+AK358</f>
        <v>82759.717464769</v>
      </c>
      <c r="AL359" s="40" t="n">
        <f aca="false">AL357+AL358</f>
        <v>54786.7647711143</v>
      </c>
      <c r="AM359" s="40" t="n">
        <f aca="false">AM357+AM358</f>
        <v>29623.8928578577</v>
      </c>
      <c r="AN359" s="40" t="n">
        <f aca="false">AN357+AN358</f>
        <v>7044.46154409085</v>
      </c>
    </row>
    <row r="360" customFormat="false" ht="15" hidden="false" customHeight="false" outlineLevel="0" collapsed="false">
      <c r="A360" s="5" t="s">
        <v>138</v>
      </c>
      <c r="E360" s="43" t="n">
        <f aca="false">SUMPRODUCT(('Inputs &amp; Assumptions'!$E$140:$E$150&gt;=1)*'Inputs &amp; Assumptions'!$D$140:$D$150)</f>
        <v>30</v>
      </c>
      <c r="F360" s="43" t="n">
        <f aca="false">SUMPRODUCT(('Inputs &amp; Assumptions'!$E$140:$E$150&gt;=2)*'Inputs &amp; Assumptions'!$D$140:$D$150)</f>
        <v>30</v>
      </c>
      <c r="G360" s="43" t="n">
        <f aca="false">SUMPRODUCT(('Inputs &amp; Assumptions'!$E$140:$E$150&gt;=3)*'Inputs &amp; Assumptions'!$D$140:$D$150)</f>
        <v>30</v>
      </c>
      <c r="H360" s="43" t="n">
        <f aca="false">SUMPRODUCT(('Inputs &amp; Assumptions'!$E$140:$E$150&gt;=4)*'Inputs &amp; Assumptions'!$D$140:$D$150)</f>
        <v>30</v>
      </c>
      <c r="I360" s="43" t="n">
        <f aca="false">SUMPRODUCT(('Inputs &amp; Assumptions'!$E$140:$E$150&gt;=5)*'Inputs &amp; Assumptions'!$D$140:$D$150)</f>
        <v>30</v>
      </c>
      <c r="J360" s="43" t="n">
        <f aca="false">SUMPRODUCT(('Inputs &amp; Assumptions'!$E$140:$E$150&gt;=6)*'Inputs &amp; Assumptions'!$D$140:$D$150)</f>
        <v>30</v>
      </c>
      <c r="K360" s="43" t="n">
        <f aca="false">SUMPRODUCT(('Inputs &amp; Assumptions'!$E$140:$E$150&gt;=7)*'Inputs &amp; Assumptions'!$D$140:$D$150)</f>
        <v>30</v>
      </c>
      <c r="L360" s="43" t="n">
        <f aca="false">SUMPRODUCT(('Inputs &amp; Assumptions'!$E$140:$E$150&gt;=8)*'Inputs &amp; Assumptions'!$D$140:$D$150)</f>
        <v>30</v>
      </c>
      <c r="M360" s="43" t="n">
        <f aca="false">SUMPRODUCT(('Inputs &amp; Assumptions'!$E$140:$E$150&gt;=9)*'Inputs &amp; Assumptions'!$D$140:$D$150)</f>
        <v>30</v>
      </c>
      <c r="N360" s="43" t="n">
        <f aca="false">SUMPRODUCT(('Inputs &amp; Assumptions'!$E$140:$E$150&gt;=10)*'Inputs &amp; Assumptions'!$D$140:$D$150)</f>
        <v>30</v>
      </c>
      <c r="O360" s="43" t="n">
        <f aca="false">SUMPRODUCT(('Inputs &amp; Assumptions'!$E$140:$E$150&gt;=11)*'Inputs &amp; Assumptions'!$D$140:$D$150)</f>
        <v>30</v>
      </c>
      <c r="P360" s="43" t="n">
        <f aca="false">SUMPRODUCT(('Inputs &amp; Assumptions'!$E$140:$E$150&gt;=12)*'Inputs &amp; Assumptions'!$D$140:$D$150)</f>
        <v>30</v>
      </c>
      <c r="Q360" s="43" t="n">
        <f aca="false">SUMPRODUCT(('Inputs &amp; Assumptions'!$E$140:$E$150&gt;=13)*'Inputs &amp; Assumptions'!$D$140:$D$150)</f>
        <v>30</v>
      </c>
      <c r="R360" s="43" t="n">
        <f aca="false">SUMPRODUCT(('Inputs &amp; Assumptions'!$E$140:$E$150&gt;=14)*'Inputs &amp; Assumptions'!$D$140:$D$150)</f>
        <v>30</v>
      </c>
      <c r="S360" s="43" t="n">
        <f aca="false">SUMPRODUCT(('Inputs &amp; Assumptions'!$E$140:$E$150&gt;=15)*'Inputs &amp; Assumptions'!$D$140:$D$150)</f>
        <v>30</v>
      </c>
      <c r="T360" s="43" t="n">
        <f aca="false">SUMPRODUCT(('Inputs &amp; Assumptions'!$E$140:$E$150&gt;=16)*'Inputs &amp; Assumptions'!$D$140:$D$150)</f>
        <v>30</v>
      </c>
      <c r="U360" s="43" t="n">
        <f aca="false">SUMPRODUCT(('Inputs &amp; Assumptions'!$E$140:$E$150&gt;=17)*'Inputs &amp; Assumptions'!$D$140:$D$150)</f>
        <v>30</v>
      </c>
      <c r="V360" s="43" t="n">
        <f aca="false">SUMPRODUCT(('Inputs &amp; Assumptions'!$E$140:$E$150&gt;=18)*'Inputs &amp; Assumptions'!$D$140:$D$150)</f>
        <v>30</v>
      </c>
      <c r="W360" s="43" t="n">
        <f aca="false">SUMPRODUCT(('Inputs &amp; Assumptions'!$E$140:$E$150&gt;=19)*'Inputs &amp; Assumptions'!$D$140:$D$150)</f>
        <v>28</v>
      </c>
      <c r="X360" s="43" t="n">
        <f aca="false">SUMPRODUCT(('Inputs &amp; Assumptions'!$E$140:$E$150&gt;=20)*'Inputs &amp; Assumptions'!$D$140:$D$150)</f>
        <v>25</v>
      </c>
      <c r="Y360" s="43" t="n">
        <f aca="false">SUMPRODUCT(('Inputs &amp; Assumptions'!$E$140:$E$150&gt;=21)*'Inputs &amp; Assumptions'!$D$140:$D$150)</f>
        <v>22</v>
      </c>
      <c r="Z360" s="43" t="n">
        <f aca="false">SUMPRODUCT(('Inputs &amp; Assumptions'!$E$140:$E$150&gt;=22)*'Inputs &amp; Assumptions'!$D$140:$D$150)</f>
        <v>19</v>
      </c>
      <c r="AA360" s="43" t="n">
        <f aca="false">SUMPRODUCT(('Inputs &amp; Assumptions'!$E$140:$E$150&gt;=23)*'Inputs &amp; Assumptions'!$D$140:$D$150)</f>
        <v>16</v>
      </c>
      <c r="AB360" s="43" t="n">
        <f aca="false">SUMPRODUCT(('Inputs &amp; Assumptions'!$E$140:$E$150&gt;=24)*'Inputs &amp; Assumptions'!$D$140:$D$150)</f>
        <v>13</v>
      </c>
      <c r="AC360" s="43" t="n">
        <f aca="false">SUMPRODUCT(('Inputs &amp; Assumptions'!$E$140:$E$150&gt;=25)*'Inputs &amp; Assumptions'!$D$140:$D$150)</f>
        <v>10</v>
      </c>
      <c r="AD360" s="43" t="n">
        <f aca="false">SUMPRODUCT(('Inputs &amp; Assumptions'!$E$140:$E$150&gt;=26)*'Inputs &amp; Assumptions'!$D$140:$D$150)</f>
        <v>7</v>
      </c>
      <c r="AE360" s="43" t="n">
        <f aca="false">SUMPRODUCT(('Inputs &amp; Assumptions'!$E$140:$E$150&gt;=27)*'Inputs &amp; Assumptions'!$D$140:$D$150)</f>
        <v>4</v>
      </c>
      <c r="AF360" s="43" t="n">
        <f aca="false">SUMPRODUCT(('Inputs &amp; Assumptions'!$E$140:$E$150&gt;=28)*'Inputs &amp; Assumptions'!$D$140:$D$150)</f>
        <v>1</v>
      </c>
      <c r="AG360" s="43" t="n">
        <f aca="false">SUMPRODUCT(('Inputs &amp; Assumptions'!$E$140:$E$150&gt;=29)*'Inputs &amp; Assumptions'!$D$140:$D$150)</f>
        <v>0</v>
      </c>
      <c r="AH360" s="43" t="n">
        <f aca="false">SUMPRODUCT(('Inputs &amp; Assumptions'!$E$140:$E$150&gt;=30)*'Inputs &amp; Assumptions'!$D$140:$D$150)</f>
        <v>0</v>
      </c>
      <c r="AI360" s="43" t="n">
        <f aca="false">SUMPRODUCT(('Inputs &amp; Assumptions'!$E$140:$E$150&gt;=31)*'Inputs &amp; Assumptions'!$D$140:$D$150)</f>
        <v>0</v>
      </c>
      <c r="AJ360" s="43" t="n">
        <f aca="false">SUMPRODUCT(('Inputs &amp; Assumptions'!$E$140:$E$150&gt;=32)*'Inputs &amp; Assumptions'!$D$140:$D$150)</f>
        <v>0</v>
      </c>
      <c r="AK360" s="43" t="n">
        <f aca="false">SUMPRODUCT(('Inputs &amp; Assumptions'!$E$140:$E$150&gt;=33)*'Inputs &amp; Assumptions'!$D$140:$D$150)</f>
        <v>0</v>
      </c>
      <c r="AL360" s="43" t="n">
        <f aca="false">SUMPRODUCT(('Inputs &amp; Assumptions'!$E$140:$E$150&gt;=34)*'Inputs &amp; Assumptions'!$D$140:$D$150)</f>
        <v>0</v>
      </c>
      <c r="AM360" s="43" t="n">
        <f aca="false">SUMPRODUCT(('Inputs &amp; Assumptions'!$E$140:$E$150&gt;=35)*'Inputs &amp; Assumptions'!$D$140:$D$150)</f>
        <v>0</v>
      </c>
      <c r="AN360" s="43" t="n">
        <f aca="false">SUMPRODUCT(('Inputs &amp; Assumptions'!$E$140:$E$150&gt;=36)*'Inputs &amp; Assumptions'!$D$140:$D$150)</f>
        <v>0</v>
      </c>
    </row>
    <row r="361" customFormat="false" ht="15" hidden="false" customHeight="false" outlineLevel="0" collapsed="false">
      <c r="A361" s="5" t="s">
        <v>139</v>
      </c>
      <c r="E361" s="39" t="n">
        <f aca="false">E352-E353-E355-E354</f>
        <v>531238331.311724</v>
      </c>
      <c r="F361" s="39" t="n">
        <f aca="false">F352-F353-F355-F354</f>
        <v>495750360.322971</v>
      </c>
      <c r="G361" s="39" t="n">
        <f aca="false">G352-G353-G355-G354</f>
        <v>461102345.526762</v>
      </c>
      <c r="H361" s="39" t="n">
        <f aca="false">H352-H353-H355-H354</f>
        <v>427412398.27706</v>
      </c>
      <c r="I361" s="39" t="n">
        <f aca="false">I352-I353-I355-I354</f>
        <v>395833518.269391</v>
      </c>
      <c r="J361" s="39" t="n">
        <f aca="false">J352-J353-J355-J354</f>
        <v>366759597.612335</v>
      </c>
      <c r="K361" s="39" t="n">
        <f aca="false">K352-K353-K355-K354</f>
        <v>340035383.989456</v>
      </c>
      <c r="L361" s="39" t="n">
        <f aca="false">L352-L353-L355-L354</f>
        <v>315487114.229597</v>
      </c>
      <c r="M361" s="39" t="n">
        <f aca="false">M352-M353-M355-M354</f>
        <v>292887966.969779</v>
      </c>
      <c r="N361" s="39" t="n">
        <f aca="false">N352-N353-N355-N354</f>
        <v>272056842.096588</v>
      </c>
      <c r="O361" s="39" t="n">
        <f aca="false">O352-O353-O355-O354</f>
        <v>252875092.618309</v>
      </c>
      <c r="P361" s="39" t="n">
        <f aca="false">P352-P353-P355-P354</f>
        <v>235218083.354517</v>
      </c>
      <c r="Q361" s="39" t="n">
        <f aca="false">Q352-Q353-Q355-Q354</f>
        <v>218910073.420366</v>
      </c>
      <c r="R361" s="39" t="n">
        <f aca="false">R352-R353-R355-R354</f>
        <v>203820488.071078</v>
      </c>
      <c r="S361" s="39" t="n">
        <f aca="false">S352-S353-S355-S354</f>
        <v>189872329.024023</v>
      </c>
      <c r="T361" s="39" t="n">
        <f aca="false">T352-T353-T355-T354</f>
        <v>176983765.870037</v>
      </c>
      <c r="U361" s="39" t="n">
        <f aca="false">U352-U353-U355-U354</f>
        <v>165038691.215935</v>
      </c>
      <c r="V361" s="39" t="n">
        <f aca="false">V352-V353-V355-V354</f>
        <v>144736280.883356</v>
      </c>
      <c r="W361" s="39" t="n">
        <f aca="false">W352-W353-W355-W354</f>
        <v>121852031.696706</v>
      </c>
      <c r="X361" s="39" t="n">
        <f aca="false">X352-X353-X355-X354</f>
        <v>101128064.605638</v>
      </c>
      <c r="Y361" s="39" t="n">
        <f aca="false">Y352-Y353-Y355-Y354</f>
        <v>82395181.0969583</v>
      </c>
      <c r="Z361" s="39" t="n">
        <f aca="false">Z352-Z353-Z355-Z354</f>
        <v>65483279.7508643</v>
      </c>
      <c r="AA361" s="39" t="n">
        <f aca="false">AA352-AA353-AA355-AA354</f>
        <v>50243572.0789927</v>
      </c>
      <c r="AB361" s="39" t="n">
        <f aca="false">AB352-AB353-AB355-AB354</f>
        <v>36538506.606962</v>
      </c>
      <c r="AC361" s="39" t="n">
        <f aca="false">AC352-AC353-AC355-AC354</f>
        <v>24188417.1174898</v>
      </c>
      <c r="AD361" s="39" t="n">
        <f aca="false">AD352-AD353-AD355-AD354</f>
        <v>13078981.3941977</v>
      </c>
      <c r="AE361" s="39" t="n">
        <f aca="false">AE352-AE353-AE355-AE354</f>
        <v>3110137.54705998</v>
      </c>
      <c r="AF361" s="39" t="n">
        <f aca="false">AF352-AF353-AF355-AF354</f>
        <v>8.73114913702011E-011</v>
      </c>
      <c r="AG361" s="39" t="n">
        <f aca="false">AG352-AG353-AG355-AG354</f>
        <v>0</v>
      </c>
      <c r="AH361" s="39" t="n">
        <f aca="false">AH352-AH353-AH355-AH354</f>
        <v>0</v>
      </c>
      <c r="AI361" s="39" t="n">
        <f aca="false">AI352-AI353-AI355-AI354</f>
        <v>0</v>
      </c>
      <c r="AJ361" s="39" t="n">
        <f aca="false">AJ352-AJ353-AJ355-AJ354</f>
        <v>0</v>
      </c>
      <c r="AK361" s="39" t="n">
        <f aca="false">AK352-AK353-AK355-AK354</f>
        <v>0</v>
      </c>
      <c r="AL361" s="39" t="n">
        <f aca="false">AL352-AL353-AL355-AL354</f>
        <v>0</v>
      </c>
      <c r="AM361" s="39" t="n">
        <f aca="false">AM352-AM353-AM355-AM354</f>
        <v>0</v>
      </c>
      <c r="AN361" s="39" t="n">
        <f aca="false">AN352-AN353-AN355-AN354</f>
        <v>0</v>
      </c>
    </row>
    <row r="362" customFormat="false" ht="15" hidden="false" customHeight="false" outlineLevel="0" collapsed="false">
      <c r="A362" s="5" t="s">
        <v>121</v>
      </c>
      <c r="E362" s="18" t="n">
        <f aca="false">E361/'Inputs &amp; Assumptions'!$C$7</f>
        <v>0.885397218852873</v>
      </c>
      <c r="F362" s="18" t="n">
        <f aca="false">F361/'Inputs &amp; Assumptions'!$C$7</f>
        <v>0.826250600538285</v>
      </c>
      <c r="G362" s="18" t="n">
        <f aca="false">G361/'Inputs &amp; Assumptions'!$C$7</f>
        <v>0.76850390921127</v>
      </c>
      <c r="H362" s="18" t="n">
        <f aca="false">H361/'Inputs &amp; Assumptions'!$C$7</f>
        <v>0.712353997128434</v>
      </c>
      <c r="I362" s="18" t="n">
        <f aca="false">I361/'Inputs &amp; Assumptions'!$C$7</f>
        <v>0.659722530448985</v>
      </c>
      <c r="J362" s="18" t="n">
        <f aca="false">J361/'Inputs &amp; Assumptions'!$C$7</f>
        <v>0.611265996020558</v>
      </c>
      <c r="K362" s="18" t="n">
        <f aca="false">K361/'Inputs &amp; Assumptions'!$C$7</f>
        <v>0.566725639982427</v>
      </c>
      <c r="L362" s="18" t="n">
        <f aca="false">L361/'Inputs &amp; Assumptions'!$C$7</f>
        <v>0.525811857049329</v>
      </c>
      <c r="M362" s="18" t="n">
        <f aca="false">M361/'Inputs &amp; Assumptions'!$C$7</f>
        <v>0.488146611616298</v>
      </c>
      <c r="N362" s="18" t="n">
        <f aca="false">N361/'Inputs &amp; Assumptions'!$C$7</f>
        <v>0.453428070160979</v>
      </c>
      <c r="O362" s="18" t="n">
        <f aca="false">O361/'Inputs &amp; Assumptions'!$C$7</f>
        <v>0.421458487697182</v>
      </c>
      <c r="P362" s="18" t="n">
        <f aca="false">P361/'Inputs &amp; Assumptions'!$C$7</f>
        <v>0.392030138924195</v>
      </c>
      <c r="Q362" s="18" t="n">
        <f aca="false">Q361/'Inputs &amp; Assumptions'!$C$7</f>
        <v>0.364850122367277</v>
      </c>
      <c r="R362" s="18" t="n">
        <f aca="false">R361/'Inputs &amp; Assumptions'!$C$7</f>
        <v>0.339700813451797</v>
      </c>
      <c r="S362" s="18" t="n">
        <f aca="false">S361/'Inputs &amp; Assumptions'!$C$7</f>
        <v>0.316453881706705</v>
      </c>
      <c r="T362" s="18" t="n">
        <f aca="false">T361/'Inputs &amp; Assumptions'!$C$7</f>
        <v>0.294972943116729</v>
      </c>
      <c r="U362" s="18" t="n">
        <f aca="false">U361/'Inputs &amp; Assumptions'!$C$7</f>
        <v>0.275064485359892</v>
      </c>
      <c r="V362" s="18" t="n">
        <f aca="false">V361/'Inputs &amp; Assumptions'!$C$7</f>
        <v>0.241227134805593</v>
      </c>
      <c r="W362" s="18" t="n">
        <f aca="false">W361/'Inputs &amp; Assumptions'!$C$7</f>
        <v>0.20308671949451</v>
      </c>
      <c r="X362" s="18" t="n">
        <f aca="false">X361/'Inputs &amp; Assumptions'!$C$7</f>
        <v>0.16854677434273</v>
      </c>
      <c r="Y362" s="18" t="n">
        <f aca="false">Y361/'Inputs &amp; Assumptions'!$C$7</f>
        <v>0.137325301828264</v>
      </c>
      <c r="Z362" s="18" t="n">
        <f aca="false">Z361/'Inputs &amp; Assumptions'!$C$7</f>
        <v>0.109138799584774</v>
      </c>
      <c r="AA362" s="18" t="n">
        <f aca="false">AA361/'Inputs &amp; Assumptions'!$C$7</f>
        <v>0.0837392867983211</v>
      </c>
      <c r="AB362" s="18" t="n">
        <f aca="false">AB361/'Inputs &amp; Assumptions'!$C$7</f>
        <v>0.0608975110116034</v>
      </c>
      <c r="AC362" s="18" t="n">
        <f aca="false">AC361/'Inputs &amp; Assumptions'!$C$7</f>
        <v>0.0403140285291496</v>
      </c>
      <c r="AD362" s="18" t="n">
        <f aca="false">AD361/'Inputs &amp; Assumptions'!$C$7</f>
        <v>0.0217983023236628</v>
      </c>
      <c r="AE362" s="18" t="n">
        <f aca="false">AE361/'Inputs &amp; Assumptions'!$C$7</f>
        <v>0.0051835625784333</v>
      </c>
      <c r="AF362" s="18" t="n">
        <f aca="false">AF361/'Inputs &amp; Assumptions'!$C$7</f>
        <v>1.45519152283669E-019</v>
      </c>
      <c r="AG362" s="18" t="n">
        <f aca="false">AG361/'Inputs &amp; Assumptions'!$C$7</f>
        <v>0</v>
      </c>
      <c r="AH362" s="18" t="n">
        <f aca="false">AH361/'Inputs &amp; Assumptions'!$C$7</f>
        <v>0</v>
      </c>
      <c r="AI362" s="18" t="n">
        <f aca="false">AI361/'Inputs &amp; Assumptions'!$C$7</f>
        <v>0</v>
      </c>
      <c r="AJ362" s="18" t="n">
        <f aca="false">AJ361/'Inputs &amp; Assumptions'!$C$7</f>
        <v>0</v>
      </c>
      <c r="AK362" s="18" t="n">
        <f aca="false">AK361/'Inputs &amp; Assumptions'!$C$7</f>
        <v>0</v>
      </c>
      <c r="AL362" s="18" t="n">
        <f aca="false">AL361/'Inputs &amp; Assumptions'!$C$7</f>
        <v>0</v>
      </c>
      <c r="AM362" s="18" t="n">
        <f aca="false">AM361/'Inputs &amp; Assumptions'!$C$7</f>
        <v>0</v>
      </c>
      <c r="AN362" s="18" t="n">
        <f aca="false">AN361/'Inputs &amp; Assumptions'!$C$7</f>
        <v>0</v>
      </c>
    </row>
    <row r="363" customFormat="false" ht="15" hidden="false" customHeight="false" outlineLevel="0" collapsed="false">
      <c r="A363" s="5" t="s">
        <v>140</v>
      </c>
      <c r="E363" s="39" t="n">
        <f aca="false">E355</f>
        <v>8033037.78633303</v>
      </c>
      <c r="F363" s="39" t="n">
        <f aca="false">E363+F355</f>
        <v>15685651.1198034</v>
      </c>
      <c r="G363" s="39" t="n">
        <f aca="false">F363+G355</f>
        <v>22874569.4894166</v>
      </c>
      <c r="H363" s="39" t="n">
        <f aca="false">G363+H355</f>
        <v>29571971.3491953</v>
      </c>
      <c r="I363" s="39" t="n">
        <f aca="false">H363+I355</f>
        <v>35656522.5350446</v>
      </c>
      <c r="J363" s="39" t="n">
        <f aca="false">I363+J355</f>
        <v>41108669.5207672</v>
      </c>
      <c r="K363" s="39" t="n">
        <f aca="false">J363+K355</f>
        <v>45932327.7576785</v>
      </c>
      <c r="L363" s="39" t="n">
        <f aca="false">K363+L355</f>
        <v>50161115.0634452</v>
      </c>
      <c r="M363" s="39" t="n">
        <f aca="false">L363+M355</f>
        <v>53896316.2619798</v>
      </c>
      <c r="N363" s="39" t="n">
        <f aca="false">M363+N355</f>
        <v>57205158.9874627</v>
      </c>
      <c r="O363" s="39" t="n">
        <f aca="false">N363+O355</f>
        <v>60100059.4130241</v>
      </c>
      <c r="P363" s="39" t="n">
        <f aca="false">O363+P355</f>
        <v>62607449.2406039</v>
      </c>
      <c r="Q363" s="39" t="n">
        <f aca="false">P363+Q355</f>
        <v>64816184.7661902</v>
      </c>
      <c r="R363" s="39" t="n">
        <f aca="false">Q363+R355</f>
        <v>66778366.0335139</v>
      </c>
      <c r="S363" s="39" t="n">
        <f aca="false">R363+S355</f>
        <v>68497475.8290884</v>
      </c>
      <c r="T363" s="39" t="n">
        <f aca="false">S363+T355</f>
        <v>69987099.4921946</v>
      </c>
      <c r="U363" s="39" t="n">
        <f aca="false">T363+U355</f>
        <v>71302577.4396368</v>
      </c>
      <c r="V363" s="39" t="n">
        <f aca="false">U363+V355</f>
        <v>72475658.5514575</v>
      </c>
      <c r="W363" s="39" t="n">
        <f aca="false">V363+W355</f>
        <v>73466550.5771757</v>
      </c>
      <c r="X363" s="39" t="n">
        <f aca="false">W363+X355</f>
        <v>74267539.5701468</v>
      </c>
      <c r="Y363" s="39" t="n">
        <f aca="false">X363+Y355</f>
        <v>74914198.3576531</v>
      </c>
      <c r="Z363" s="39" t="n">
        <f aca="false">Y363+Z355</f>
        <v>75429725.1969439</v>
      </c>
      <c r="AA363" s="39" t="n">
        <f aca="false">Z363+AA355</f>
        <v>75826980.4636391</v>
      </c>
      <c r="AB363" s="39" t="n">
        <f aca="false">AA363+AB355</f>
        <v>76117773.4051634</v>
      </c>
      <c r="AC363" s="39" t="n">
        <f aca="false">AB363+AC355</f>
        <v>76324672.6988253</v>
      </c>
      <c r="AD363" s="39" t="n">
        <f aca="false">AC363+AD355</f>
        <v>76461639.6107531</v>
      </c>
      <c r="AE363" s="39" t="n">
        <f aca="false">AD363+AE355</f>
        <v>76535699.3428977</v>
      </c>
      <c r="AF363" s="39" t="n">
        <f aca="false">AE363+AF355</f>
        <v>76553310.4967579</v>
      </c>
      <c r="AG363" s="39" t="n">
        <f aca="false">AF363+AG355</f>
        <v>76553310.4967579</v>
      </c>
      <c r="AH363" s="39" t="n">
        <f aca="false">AG363+AH355</f>
        <v>76553310.4967579</v>
      </c>
      <c r="AI363" s="39" t="n">
        <f aca="false">AH363+AI355</f>
        <v>76553310.4967579</v>
      </c>
      <c r="AJ363" s="39" t="n">
        <f aca="false">AI363+AJ355</f>
        <v>76553310.4967579</v>
      </c>
      <c r="AK363" s="39" t="n">
        <f aca="false">AJ363+AK355</f>
        <v>76553310.4967579</v>
      </c>
      <c r="AL363" s="39" t="n">
        <f aca="false">AK363+AL355</f>
        <v>76553310.4967579</v>
      </c>
      <c r="AM363" s="39" t="n">
        <f aca="false">AL363+AM355</f>
        <v>76553310.4967579</v>
      </c>
      <c r="AN363" s="39" t="n">
        <f aca="false">AM363+AN355</f>
        <v>76553310.4967579</v>
      </c>
    </row>
    <row r="364" customFormat="false" ht="15" hidden="false" customHeight="false" outlineLevel="0" collapsed="false">
      <c r="A364" s="5" t="s">
        <v>141</v>
      </c>
      <c r="E364" s="39" t="n">
        <f aca="false">E356</f>
        <v>0</v>
      </c>
      <c r="F364" s="39" t="n">
        <f aca="false">E364+F356</f>
        <v>0</v>
      </c>
      <c r="G364" s="39" t="n">
        <f aca="false">F364+G356</f>
        <v>0</v>
      </c>
      <c r="H364" s="39" t="n">
        <f aca="false">G364+H356</f>
        <v>0</v>
      </c>
      <c r="I364" s="39" t="n">
        <f aca="false">H364+I356</f>
        <v>0</v>
      </c>
      <c r="J364" s="39" t="n">
        <f aca="false">I364+J356</f>
        <v>0</v>
      </c>
      <c r="K364" s="39" t="n">
        <f aca="false">J364+K356</f>
        <v>0</v>
      </c>
      <c r="L364" s="39" t="n">
        <f aca="false">K364+L356</f>
        <v>0</v>
      </c>
      <c r="M364" s="39" t="n">
        <f aca="false">L364+M356</f>
        <v>3213215.11453321</v>
      </c>
      <c r="N364" s="39" t="n">
        <f aca="false">M364+N356</f>
        <v>6274260.44792135</v>
      </c>
      <c r="O364" s="39" t="n">
        <f aca="false">N364+O356</f>
        <v>9149827.79576666</v>
      </c>
      <c r="P364" s="39" t="n">
        <f aca="false">O364+P356</f>
        <v>11828788.5396781</v>
      </c>
      <c r="Q364" s="39" t="n">
        <f aca="false">P364+Q356</f>
        <v>14262609.0140178</v>
      </c>
      <c r="R364" s="39" t="n">
        <f aca="false">Q364+R356</f>
        <v>16443467.8083069</v>
      </c>
      <c r="S364" s="39" t="n">
        <f aca="false">R364+S356</f>
        <v>18372931.1030714</v>
      </c>
      <c r="T364" s="39" t="n">
        <f aca="false">S364+T356</f>
        <v>20064446.0253781</v>
      </c>
      <c r="U364" s="39" t="n">
        <f aca="false">T364+U356</f>
        <v>21558526.5047919</v>
      </c>
      <c r="V364" s="39" t="n">
        <f aca="false">U364+V356</f>
        <v>22882063.5949851</v>
      </c>
      <c r="W364" s="39" t="n">
        <f aca="false">V364+W356</f>
        <v>24040023.7652096</v>
      </c>
      <c r="X364" s="39" t="n">
        <f aca="false">W364+X356</f>
        <v>25042979.6962416</v>
      </c>
      <c r="Y364" s="39" t="n">
        <f aca="false">X364+Y356</f>
        <v>25926473.9064761</v>
      </c>
      <c r="Z364" s="39" t="n">
        <f aca="false">Y364+Z356</f>
        <v>26711346.4134056</v>
      </c>
      <c r="AA364" s="39" t="n">
        <f aca="false">Z364+AA356</f>
        <v>27398990.3316354</v>
      </c>
      <c r="AB364" s="39" t="n">
        <f aca="false">AA364+AB356</f>
        <v>27994839.7968778</v>
      </c>
      <c r="AC364" s="39" t="n">
        <f aca="false">AB364+AC356</f>
        <v>28521030.9758547</v>
      </c>
      <c r="AD364" s="39" t="n">
        <f aca="false">AC364+AD356</f>
        <v>28990263.420583</v>
      </c>
      <c r="AE364" s="39" t="n">
        <f aca="false">AD364+AE356</f>
        <v>29386620.2308703</v>
      </c>
      <c r="AF364" s="39" t="n">
        <f aca="false">AE364+AF356</f>
        <v>29707015.8280587</v>
      </c>
      <c r="AG364" s="39" t="n">
        <f aca="false">AF364+AG356</f>
        <v>29965679.3430612</v>
      </c>
      <c r="AH364" s="39" t="n">
        <f aca="false">AG364+AH356</f>
        <v>30171890.0787776</v>
      </c>
      <c r="AI364" s="39" t="n">
        <f aca="false">AH364+AI356</f>
        <v>30330792.1854556</v>
      </c>
      <c r="AJ364" s="39" t="n">
        <f aca="false">AI364+AJ356</f>
        <v>30447109.3620653</v>
      </c>
      <c r="AK364" s="39" t="n">
        <f aca="false">AJ364+AK356</f>
        <v>30529869.0795301</v>
      </c>
      <c r="AL364" s="39" t="n">
        <f aca="false">AK364+AL356</f>
        <v>30584655.8443012</v>
      </c>
      <c r="AM364" s="39" t="n">
        <f aca="false">AL364+AM356</f>
        <v>30614279.7371591</v>
      </c>
      <c r="AN364" s="39" t="n">
        <f aca="false">AM364+AN356</f>
        <v>30621324.1987032</v>
      </c>
    </row>
    <row r="366" customFormat="false" ht="15" hidden="false" customHeight="false" outlineLevel="0" collapsed="false">
      <c r="A366" s="12" t="s">
        <v>221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customFormat="false" ht="15" hidden="false" customHeight="false" outlineLevel="0" collapsed="false">
      <c r="A367" s="14" t="s">
        <v>146</v>
      </c>
      <c r="E367" s="39" t="n">
        <f aca="false">'Inputs &amp; Assumptions'!$C$134</f>
        <v>340424922.203496</v>
      </c>
      <c r="F367" s="39" t="n">
        <f aca="false">E393</f>
        <v>320752471.334724</v>
      </c>
      <c r="G367" s="39" t="n">
        <f aca="false">F393</f>
        <v>301267720.976026</v>
      </c>
      <c r="H367" s="39" t="n">
        <f aca="false">G393</f>
        <v>282046353.477409</v>
      </c>
      <c r="I367" s="39" t="n">
        <f aca="false">H393</f>
        <v>263151571.704463</v>
      </c>
      <c r="J367" s="39" t="n">
        <f aca="false">I393</f>
        <v>245305541.529189</v>
      </c>
      <c r="K367" s="39" t="n">
        <f aca="false">J393</f>
        <v>228770299.959255</v>
      </c>
      <c r="L367" s="39" t="n">
        <f aca="false">K393</f>
        <v>213439911.189078</v>
      </c>
      <c r="M367" s="39" t="n">
        <f aca="false">L393</f>
        <v>199216273.471214</v>
      </c>
      <c r="N367" s="39" t="n">
        <f aca="false">M393</f>
        <v>183762260.648142</v>
      </c>
      <c r="O367" s="39" t="n">
        <f aca="false">N393</f>
        <v>169353931.411374</v>
      </c>
      <c r="P367" s="39" t="n">
        <f aca="false">O393</f>
        <v>155940239.930981</v>
      </c>
      <c r="Q367" s="39" t="n">
        <f aca="false">P393</f>
        <v>143460233.804894</v>
      </c>
      <c r="R367" s="39" t="n">
        <f aca="false">Q393</f>
        <v>131887067.386861</v>
      </c>
      <c r="S367" s="39" t="n">
        <f aca="false">R393</f>
        <v>121171283.373484</v>
      </c>
      <c r="T367" s="39" t="n">
        <f aca="false">S393</f>
        <v>111260324.591112</v>
      </c>
      <c r="U367" s="39" t="n">
        <f aca="false">T393</f>
        <v>102097006.501882</v>
      </c>
      <c r="V367" s="39" t="n">
        <f aca="false">U393</f>
        <v>93610432.4716301</v>
      </c>
      <c r="W367" s="39" t="n">
        <f aca="false">V393</f>
        <v>79293426.0539635</v>
      </c>
      <c r="X367" s="39" t="n">
        <f aca="false">W393</f>
        <v>63157503.9221544</v>
      </c>
      <c r="Y367" s="39" t="n">
        <f aca="false">X393</f>
        <v>48509350.1017641</v>
      </c>
      <c r="Z367" s="39" t="n">
        <f aca="false">Y393</f>
        <v>35230546.8497787</v>
      </c>
      <c r="AA367" s="39" t="n">
        <f aca="false">Z393</f>
        <v>21485549.2387926</v>
      </c>
      <c r="AB367" s="39" t="n">
        <f aca="false">AA393</f>
        <v>9061472.18006759</v>
      </c>
      <c r="AC367" s="39" t="n">
        <f aca="false">AB393</f>
        <v>0</v>
      </c>
      <c r="AD367" s="39" t="n">
        <f aca="false">AC393</f>
        <v>0</v>
      </c>
      <c r="AE367" s="39" t="n">
        <f aca="false">AD393</f>
        <v>0</v>
      </c>
      <c r="AF367" s="39" t="n">
        <f aca="false">AE393</f>
        <v>0</v>
      </c>
      <c r="AG367" s="39" t="n">
        <f aca="false">AF393</f>
        <v>0</v>
      </c>
      <c r="AH367" s="39" t="n">
        <f aca="false">AG393</f>
        <v>0</v>
      </c>
      <c r="AI367" s="39" t="n">
        <f aca="false">AH393</f>
        <v>0</v>
      </c>
      <c r="AJ367" s="39" t="n">
        <f aca="false">AI393</f>
        <v>0</v>
      </c>
      <c r="AK367" s="39" t="n">
        <f aca="false">AJ393</f>
        <v>0</v>
      </c>
      <c r="AL367" s="39" t="n">
        <f aca="false">AK393</f>
        <v>0</v>
      </c>
      <c r="AM367" s="39" t="n">
        <f aca="false">AL393</f>
        <v>0</v>
      </c>
      <c r="AN367" s="39" t="n">
        <f aca="false">AM393</f>
        <v>0</v>
      </c>
    </row>
    <row r="368" customFormat="false" ht="15" hidden="false" customHeight="false" outlineLevel="0" collapsed="false">
      <c r="A368" s="14" t="s">
        <v>147</v>
      </c>
      <c r="E368" s="10" t="n">
        <f aca="false">'Inputs &amp; Assumptions'!E$52</f>
        <v>0.04324</v>
      </c>
      <c r="F368" s="10" t="n">
        <f aca="false">'Inputs &amp; Assumptions'!F$52</f>
        <v>0.04324</v>
      </c>
      <c r="G368" s="10" t="n">
        <f aca="false">'Inputs &amp; Assumptions'!G$52</f>
        <v>0.04324</v>
      </c>
      <c r="H368" s="10" t="n">
        <f aca="false">'Inputs &amp; Assumptions'!H$52</f>
        <v>0.04324</v>
      </c>
      <c r="I368" s="10" t="n">
        <f aca="false">'Inputs &amp; Assumptions'!I$52</f>
        <v>0.04324</v>
      </c>
      <c r="J368" s="10" t="n">
        <f aca="false">'Inputs &amp; Assumptions'!J$52</f>
        <v>0.04324</v>
      </c>
      <c r="K368" s="10" t="n">
        <f aca="false">'Inputs &amp; Assumptions'!K$52</f>
        <v>0.04324</v>
      </c>
      <c r="L368" s="10" t="n">
        <f aca="false">'Inputs &amp; Assumptions'!L$52</f>
        <v>0.04324</v>
      </c>
      <c r="M368" s="10" t="n">
        <f aca="false">'Inputs &amp; Assumptions'!M$52</f>
        <v>0.04324</v>
      </c>
      <c r="N368" s="10" t="n">
        <f aca="false">'Inputs &amp; Assumptions'!N$52</f>
        <v>0.04324</v>
      </c>
      <c r="O368" s="10" t="n">
        <f aca="false">'Inputs &amp; Assumptions'!O$52</f>
        <v>0.04324</v>
      </c>
      <c r="P368" s="10" t="n">
        <f aca="false">'Inputs &amp; Assumptions'!P$52</f>
        <v>0.04324</v>
      </c>
      <c r="Q368" s="10" t="n">
        <f aca="false">'Inputs &amp; Assumptions'!Q$52</f>
        <v>0.04324</v>
      </c>
      <c r="R368" s="10" t="n">
        <f aca="false">'Inputs &amp; Assumptions'!R$52</f>
        <v>0.04324</v>
      </c>
      <c r="S368" s="10" t="n">
        <f aca="false">'Inputs &amp; Assumptions'!S$52</f>
        <v>0.04324</v>
      </c>
      <c r="T368" s="10" t="n">
        <f aca="false">'Inputs &amp; Assumptions'!T$52</f>
        <v>0.04324</v>
      </c>
      <c r="U368" s="10" t="n">
        <f aca="false">'Inputs &amp; Assumptions'!U$52</f>
        <v>0.04324</v>
      </c>
      <c r="V368" s="10" t="n">
        <f aca="false">'Inputs &amp; Assumptions'!V$52</f>
        <v>0.04324</v>
      </c>
      <c r="W368" s="10" t="n">
        <f aca="false">'Inputs &amp; Assumptions'!W$52</f>
        <v>0.04324</v>
      </c>
      <c r="X368" s="10" t="n">
        <f aca="false">'Inputs &amp; Assumptions'!X$52</f>
        <v>0.04324</v>
      </c>
      <c r="Y368" s="10" t="n">
        <f aca="false">'Inputs &amp; Assumptions'!Y$52</f>
        <v>0.04324</v>
      </c>
      <c r="Z368" s="10" t="n">
        <f aca="false">'Inputs &amp; Assumptions'!Z$52</f>
        <v>0.04324</v>
      </c>
      <c r="AA368" s="10" t="n">
        <f aca="false">'Inputs &amp; Assumptions'!AA$52</f>
        <v>0.04324</v>
      </c>
      <c r="AB368" s="10" t="n">
        <f aca="false">'Inputs &amp; Assumptions'!AB$52</f>
        <v>0.04324</v>
      </c>
      <c r="AC368" s="10" t="n">
        <f aca="false">'Inputs &amp; Assumptions'!AC$52</f>
        <v>0.04324</v>
      </c>
      <c r="AD368" s="10" t="n">
        <f aca="false">'Inputs &amp; Assumptions'!AD$52</f>
        <v>0.04324</v>
      </c>
      <c r="AE368" s="10" t="n">
        <f aca="false">'Inputs &amp; Assumptions'!AE$52</f>
        <v>0.04324</v>
      </c>
      <c r="AF368" s="10" t="n">
        <f aca="false">'Inputs &amp; Assumptions'!AF$52</f>
        <v>0.04324</v>
      </c>
      <c r="AG368" s="10" t="n">
        <f aca="false">'Inputs &amp; Assumptions'!AG$52</f>
        <v>0.04324</v>
      </c>
      <c r="AH368" s="10" t="n">
        <f aca="false">'Inputs &amp; Assumptions'!AH$52</f>
        <v>0.04324</v>
      </c>
      <c r="AI368" s="10" t="n">
        <f aca="false">'Inputs &amp; Assumptions'!AI$52</f>
        <v>0.04324</v>
      </c>
      <c r="AJ368" s="10" t="n">
        <f aca="false">'Inputs &amp; Assumptions'!AJ$52</f>
        <v>0.04324</v>
      </c>
      <c r="AK368" s="10" t="n">
        <f aca="false">'Inputs &amp; Assumptions'!AK$52</f>
        <v>0.04324</v>
      </c>
      <c r="AL368" s="10" t="n">
        <f aca="false">'Inputs &amp; Assumptions'!AL$52</f>
        <v>0.04324</v>
      </c>
      <c r="AM368" s="10" t="n">
        <f aca="false">'Inputs &amp; Assumptions'!AM$52</f>
        <v>0.04324</v>
      </c>
      <c r="AN368" s="10" t="n">
        <f aca="false">'Inputs &amp; Assumptions'!AN$52</f>
        <v>0.04324</v>
      </c>
    </row>
    <row r="369" customFormat="false" ht="15" hidden="false" customHeight="false" outlineLevel="0" collapsed="false">
      <c r="A369" s="14" t="s">
        <v>148</v>
      </c>
      <c r="E369" s="39" t="n">
        <f aca="false">E368/4*E367</f>
        <v>3679993.40901979</v>
      </c>
      <c r="F369" s="39" t="n">
        <f aca="false">F368/4*F367</f>
        <v>3467334.21512836</v>
      </c>
      <c r="G369" s="39" t="n">
        <f aca="false">G368/4*G367</f>
        <v>3256704.06375084</v>
      </c>
      <c r="H369" s="39" t="n">
        <f aca="false">H368/4*H367</f>
        <v>3048921.08109079</v>
      </c>
      <c r="I369" s="39" t="n">
        <f aca="false">I368/4*I367</f>
        <v>2844668.49012524</v>
      </c>
      <c r="J369" s="39" t="n">
        <f aca="false">J368/4*J367</f>
        <v>2651752.90393053</v>
      </c>
      <c r="K369" s="39" t="n">
        <f aca="false">K368/4*K367</f>
        <v>2473006.94255955</v>
      </c>
      <c r="L369" s="39" t="n">
        <f aca="false">L368/4*L367</f>
        <v>2307285.43995393</v>
      </c>
      <c r="M369" s="39" t="n">
        <f aca="false">M368/4*M367</f>
        <v>2153527.91622382</v>
      </c>
      <c r="N369" s="39" t="n">
        <f aca="false">N368/4*N367</f>
        <v>1986470.03760641</v>
      </c>
      <c r="O369" s="39" t="n">
        <f aca="false">O368/4*O367</f>
        <v>1830715.99855695</v>
      </c>
      <c r="P369" s="39" t="n">
        <f aca="false">P368/4*P367</f>
        <v>1685713.9936539</v>
      </c>
      <c r="Q369" s="39" t="n">
        <f aca="false">Q368/4*Q367</f>
        <v>1550805.1274309</v>
      </c>
      <c r="R369" s="39" t="n">
        <f aca="false">R368/4*R367</f>
        <v>1425699.19845197</v>
      </c>
      <c r="S369" s="39" t="n">
        <f aca="false">S368/4*S367</f>
        <v>1309861.57326736</v>
      </c>
      <c r="T369" s="39" t="n">
        <f aca="false">T368/4*T367</f>
        <v>1202724.10882992</v>
      </c>
      <c r="U369" s="39" t="n">
        <f aca="false">U368/4*U367</f>
        <v>1103668.64028534</v>
      </c>
      <c r="V369" s="39" t="n">
        <f aca="false">V368/4*V367</f>
        <v>1011928.77501832</v>
      </c>
      <c r="W369" s="39" t="n">
        <f aca="false">W368/4*W367</f>
        <v>857161.935643346</v>
      </c>
      <c r="X369" s="39" t="n">
        <f aca="false">X368/4*X367</f>
        <v>682732.617398489</v>
      </c>
      <c r="Y369" s="39" t="n">
        <f aca="false">Y368/4*Y367</f>
        <v>524386.074600069</v>
      </c>
      <c r="Z369" s="39" t="n">
        <f aca="false">Z368/4*Z367</f>
        <v>380842.211446108</v>
      </c>
      <c r="AA369" s="39" t="n">
        <f aca="false">AA368/4*AA367</f>
        <v>232258.787271348</v>
      </c>
      <c r="AB369" s="39" t="n">
        <f aca="false">AB368/4*AB367</f>
        <v>97954.5142665306</v>
      </c>
      <c r="AC369" s="39" t="n">
        <f aca="false">AC368/4*AC367</f>
        <v>0</v>
      </c>
      <c r="AD369" s="39" t="n">
        <f aca="false">AD368/4*AD367</f>
        <v>0</v>
      </c>
      <c r="AE369" s="39" t="n">
        <f aca="false">AE368/4*AE367</f>
        <v>0</v>
      </c>
      <c r="AF369" s="39" t="n">
        <f aca="false">AF368/4*AF367</f>
        <v>0</v>
      </c>
      <c r="AG369" s="39" t="n">
        <f aca="false">AG368/4*AG367</f>
        <v>0</v>
      </c>
      <c r="AH369" s="39" t="n">
        <f aca="false">AH368/4*AH367</f>
        <v>0</v>
      </c>
      <c r="AI369" s="39" t="n">
        <f aca="false">AI368/4*AI367</f>
        <v>0</v>
      </c>
      <c r="AJ369" s="39" t="n">
        <f aca="false">AJ368/4*AJ367</f>
        <v>0</v>
      </c>
      <c r="AK369" s="39" t="n">
        <f aca="false">AK368/4*AK367</f>
        <v>0</v>
      </c>
      <c r="AL369" s="39" t="n">
        <f aca="false">AL368/4*AL367</f>
        <v>0</v>
      </c>
      <c r="AM369" s="39" t="n">
        <f aca="false">AM368/4*AM367</f>
        <v>0</v>
      </c>
      <c r="AN369" s="39" t="n">
        <f aca="false">AN368/4*AN367</f>
        <v>0</v>
      </c>
    </row>
    <row r="370" customFormat="false" ht="15" hidden="false" customHeight="false" outlineLevel="0" collapsed="false">
      <c r="A370" s="14" t="s">
        <v>149</v>
      </c>
      <c r="E370" s="39" t="n">
        <f aca="false">'Scenario Analysis'!E358</f>
        <v>10241548.9540423</v>
      </c>
      <c r="F370" s="39" t="n">
        <f aca="false">'Scenario Analysis'!F358</f>
        <v>9586854.49618182</v>
      </c>
      <c r="G370" s="39" t="n">
        <f aca="false">'Scenario Analysis'!G358</f>
        <v>8945560.00216598</v>
      </c>
      <c r="H370" s="39" t="n">
        <f aca="false">'Scenario Analysis'!H358</f>
        <v>8320154.51854247</v>
      </c>
      <c r="I370" s="39" t="n">
        <f aca="false">'Scenario Analysis'!I358</f>
        <v>7714512.88024007</v>
      </c>
      <c r="J370" s="39" t="n">
        <f aca="false">'Scenario Analysis'!J358</f>
        <v>7147882.90820396</v>
      </c>
      <c r="K370" s="39" t="n">
        <f aca="false">'Scenario Analysis'!K358</f>
        <v>6627047.049964</v>
      </c>
      <c r="L370" s="39" t="n">
        <f aca="false">'Scenario Analysis'!L358</f>
        <v>6148618.78527835</v>
      </c>
      <c r="M370" s="39" t="n">
        <f aca="false">'Scenario Analysis'!M358</f>
        <v>5708177.52759875</v>
      </c>
      <c r="N370" s="39" t="n">
        <f aca="false">'Scenario Analysis'!N358</f>
        <v>5302193.76491306</v>
      </c>
      <c r="O370" s="39" t="n">
        <f aca="false">'Scenario Analysis'!O358</f>
        <v>4928355.15199649</v>
      </c>
      <c r="P370" s="39" t="n">
        <f aca="false">'Scenario Analysis'!P358</f>
        <v>4584232.63809826</v>
      </c>
      <c r="Q370" s="39" t="n">
        <f aca="false">'Scenario Analysis'!Q358</f>
        <v>4266401.15874772</v>
      </c>
      <c r="R370" s="39" t="n">
        <f aca="false">'Scenario Analysis'!R358</f>
        <v>3972315.90532221</v>
      </c>
      <c r="S370" s="39" t="n">
        <f aca="false">'Scenario Analysis'!S358</f>
        <v>3700476.23622447</v>
      </c>
      <c r="T370" s="39" t="n">
        <f aca="false">'Scenario Analysis'!T358</f>
        <v>3449287.33515839</v>
      </c>
      <c r="U370" s="39" t="n">
        <f aca="false">'Scenario Analysis'!U358</f>
        <v>3216486.35186272</v>
      </c>
      <c r="V370" s="39" t="n">
        <f aca="false">'Scenario Analysis'!V358</f>
        <v>3000379.32100634</v>
      </c>
      <c r="W370" s="39" t="n">
        <f aca="false">'Scenario Analysis'!W358</f>
        <v>2631978.06998334</v>
      </c>
      <c r="X370" s="39" t="n">
        <f aca="false">'Scenario Analysis'!X358</f>
        <v>2216444.59190539</v>
      </c>
      <c r="Y370" s="39" t="n">
        <f aca="false">'Scenario Analysis'!Y358</f>
        <v>1839814.54052999</v>
      </c>
      <c r="Z370" s="39" t="n">
        <f aca="false">'Scenario Analysis'!Z358</f>
        <v>1499216.46945789</v>
      </c>
      <c r="AA370" s="39" t="n">
        <f aca="false">'Scenario Analysis'!AA358</f>
        <v>1191725.10830514</v>
      </c>
      <c r="AB370" s="39" t="n">
        <f aca="false">'Scenario Analysis'!AB358</f>
        <v>914635.386007046</v>
      </c>
      <c r="AC370" s="39" t="n">
        <f aca="false">'Scenario Analysis'!AC358</f>
        <v>665231.729906525</v>
      </c>
      <c r="AD370" s="39" t="n">
        <f aca="false">'Scenario Analysis'!AD358</f>
        <v>440382.05326384</v>
      </c>
      <c r="AE370" s="39" t="n">
        <f aca="false">'Scenario Analysis'!AE358</f>
        <v>238120.115632191</v>
      </c>
      <c r="AF370" s="39" t="n">
        <f aca="false">'Scenario Analysis'!AF358</f>
        <v>56624.1582594874</v>
      </c>
      <c r="AG370" s="39" t="n">
        <f aca="false">'Scenario Analysis'!AG358</f>
        <v>0</v>
      </c>
      <c r="AH370" s="39" t="n">
        <f aca="false">'Scenario Analysis'!AH358</f>
        <v>0</v>
      </c>
      <c r="AI370" s="39" t="n">
        <f aca="false">'Scenario Analysis'!AI358</f>
        <v>0</v>
      </c>
      <c r="AJ370" s="39" t="n">
        <f aca="false">'Scenario Analysis'!AJ358</f>
        <v>0</v>
      </c>
      <c r="AK370" s="39" t="n">
        <f aca="false">'Scenario Analysis'!AK358</f>
        <v>0</v>
      </c>
      <c r="AL370" s="39" t="n">
        <f aca="false">'Scenario Analysis'!AL358</f>
        <v>0</v>
      </c>
      <c r="AM370" s="39" t="n">
        <f aca="false">'Scenario Analysis'!AM358</f>
        <v>0</v>
      </c>
      <c r="AN370" s="39" t="n">
        <f aca="false">'Scenario Analysis'!AN358</f>
        <v>0</v>
      </c>
    </row>
    <row r="371" customFormat="false" ht="15" hidden="false" customHeight="false" outlineLevel="0" collapsed="false">
      <c r="A371" s="5" t="s">
        <v>150</v>
      </c>
      <c r="E371" s="39" t="n">
        <f aca="false">MIN(E370,'Inputs &amp; Assumptions'!$C$36)</f>
        <v>37500</v>
      </c>
      <c r="F371" s="39" t="n">
        <f aca="false">MIN(F370,'Inputs &amp; Assumptions'!$C$36)</f>
        <v>37500</v>
      </c>
      <c r="G371" s="39" t="n">
        <f aca="false">MIN(G370,'Inputs &amp; Assumptions'!$C$36)</f>
        <v>37500</v>
      </c>
      <c r="H371" s="39" t="n">
        <f aca="false">MIN(H370,'Inputs &amp; Assumptions'!$C$36)</f>
        <v>37500</v>
      </c>
      <c r="I371" s="39" t="n">
        <f aca="false">MIN(I370,'Inputs &amp; Assumptions'!$C$36)</f>
        <v>37500</v>
      </c>
      <c r="J371" s="39" t="n">
        <f aca="false">MIN(J370,'Inputs &amp; Assumptions'!$C$36)</f>
        <v>37500</v>
      </c>
      <c r="K371" s="39" t="n">
        <f aca="false">MIN(K370,'Inputs &amp; Assumptions'!$C$36)</f>
        <v>37500</v>
      </c>
      <c r="L371" s="39" t="n">
        <f aca="false">MIN(L370,'Inputs &amp; Assumptions'!$C$36)</f>
        <v>37500</v>
      </c>
      <c r="M371" s="39" t="n">
        <f aca="false">MIN(M370,'Inputs &amp; Assumptions'!$C$36)</f>
        <v>37500</v>
      </c>
      <c r="N371" s="39" t="n">
        <f aca="false">MIN(N370,'Inputs &amp; Assumptions'!$C$36)</f>
        <v>37500</v>
      </c>
      <c r="O371" s="39" t="n">
        <f aca="false">MIN(O370,'Inputs &amp; Assumptions'!$C$36)</f>
        <v>37500</v>
      </c>
      <c r="P371" s="39" t="n">
        <f aca="false">MIN(P370,'Inputs &amp; Assumptions'!$C$36)</f>
        <v>37500</v>
      </c>
      <c r="Q371" s="39" t="n">
        <f aca="false">MIN(Q370,'Inputs &amp; Assumptions'!$C$36)</f>
        <v>37500</v>
      </c>
      <c r="R371" s="39" t="n">
        <f aca="false">MIN(R370,'Inputs &amp; Assumptions'!$C$36)</f>
        <v>37500</v>
      </c>
      <c r="S371" s="39" t="n">
        <f aca="false">MIN(S370,'Inputs &amp; Assumptions'!$C$36)</f>
        <v>37500</v>
      </c>
      <c r="T371" s="39" t="n">
        <f aca="false">MIN(T370,'Inputs &amp; Assumptions'!$C$36)</f>
        <v>37500</v>
      </c>
      <c r="U371" s="39" t="n">
        <f aca="false">MIN(U370,'Inputs &amp; Assumptions'!$C$36)</f>
        <v>37500</v>
      </c>
      <c r="V371" s="39" t="n">
        <f aca="false">MIN(V370,'Inputs &amp; Assumptions'!$C$36)</f>
        <v>37500</v>
      </c>
      <c r="W371" s="39" t="n">
        <f aca="false">MIN(W370,'Inputs &amp; Assumptions'!$C$36)</f>
        <v>37500</v>
      </c>
      <c r="X371" s="39" t="n">
        <f aca="false">MIN(X370,'Inputs &amp; Assumptions'!$C$36)</f>
        <v>37500</v>
      </c>
      <c r="Y371" s="39" t="n">
        <f aca="false">MIN(Y370,'Inputs &amp; Assumptions'!$C$36)</f>
        <v>37500</v>
      </c>
      <c r="Z371" s="39" t="n">
        <f aca="false">MIN(Z370,'Inputs &amp; Assumptions'!$C$36)</f>
        <v>37500</v>
      </c>
      <c r="AA371" s="39" t="n">
        <f aca="false">MIN(AA370,'Inputs &amp; Assumptions'!$C$36)</f>
        <v>37500</v>
      </c>
      <c r="AB371" s="39" t="n">
        <f aca="false">MIN(AB370,'Inputs &amp; Assumptions'!$C$36)</f>
        <v>37500</v>
      </c>
      <c r="AC371" s="39" t="n">
        <f aca="false">MIN(AC370,'Inputs &amp; Assumptions'!$C$36)</f>
        <v>37500</v>
      </c>
      <c r="AD371" s="39" t="n">
        <f aca="false">MIN(AD370,'Inputs &amp; Assumptions'!$C$36)</f>
        <v>37500</v>
      </c>
      <c r="AE371" s="39" t="n">
        <f aca="false">MIN(AE370,'Inputs &amp; Assumptions'!$C$36)</f>
        <v>37500</v>
      </c>
      <c r="AF371" s="39" t="n">
        <f aca="false">MIN(AF370,'Inputs &amp; Assumptions'!$C$36)</f>
        <v>37500</v>
      </c>
      <c r="AG371" s="39" t="n">
        <f aca="false">MIN(AG370,'Inputs &amp; Assumptions'!$C$36)</f>
        <v>0</v>
      </c>
      <c r="AH371" s="39" t="n">
        <f aca="false">MIN(AH370,'Inputs &amp; Assumptions'!$C$36)</f>
        <v>0</v>
      </c>
      <c r="AI371" s="39" t="n">
        <f aca="false">MIN(AI370,'Inputs &amp; Assumptions'!$C$36)</f>
        <v>0</v>
      </c>
      <c r="AJ371" s="39" t="n">
        <f aca="false">MIN(AJ370,'Inputs &amp; Assumptions'!$C$36)</f>
        <v>0</v>
      </c>
      <c r="AK371" s="39" t="n">
        <f aca="false">MIN(AK370,'Inputs &amp; Assumptions'!$C$36)</f>
        <v>0</v>
      </c>
      <c r="AL371" s="39" t="n">
        <f aca="false">MIN(AL370,'Inputs &amp; Assumptions'!$C$36)</f>
        <v>0</v>
      </c>
      <c r="AM371" s="39" t="n">
        <f aca="false">MIN(AM370,'Inputs &amp; Assumptions'!$C$36)</f>
        <v>0</v>
      </c>
      <c r="AN371" s="39" t="n">
        <f aca="false">MIN(AN370,'Inputs &amp; Assumptions'!$C$36)</f>
        <v>0</v>
      </c>
    </row>
    <row r="372" customFormat="false" ht="15" hidden="false" customHeight="false" outlineLevel="0" collapsed="false">
      <c r="A372" s="5" t="s">
        <v>151</v>
      </c>
      <c r="E372" s="39" t="n">
        <f aca="false">E370-E371</f>
        <v>10204048.9540423</v>
      </c>
      <c r="F372" s="39" t="n">
        <f aca="false">F370-F371</f>
        <v>9549354.49618182</v>
      </c>
      <c r="G372" s="39" t="n">
        <f aca="false">G370-G371</f>
        <v>8908060.00216598</v>
      </c>
      <c r="H372" s="39" t="n">
        <f aca="false">H370-H371</f>
        <v>8282654.51854247</v>
      </c>
      <c r="I372" s="39" t="n">
        <f aca="false">I370-I371</f>
        <v>7677012.88024007</v>
      </c>
      <c r="J372" s="39" t="n">
        <f aca="false">J370-J371</f>
        <v>7110382.90820396</v>
      </c>
      <c r="K372" s="39" t="n">
        <f aca="false">K370-K371</f>
        <v>6589547.049964</v>
      </c>
      <c r="L372" s="39" t="n">
        <f aca="false">L370-L371</f>
        <v>6111118.78527835</v>
      </c>
      <c r="M372" s="39" t="n">
        <f aca="false">M370-M371</f>
        <v>5670677.52759875</v>
      </c>
      <c r="N372" s="39" t="n">
        <f aca="false">N370-N371</f>
        <v>5264693.76491306</v>
      </c>
      <c r="O372" s="39" t="n">
        <f aca="false">O370-O371</f>
        <v>4890855.15199649</v>
      </c>
      <c r="P372" s="39" t="n">
        <f aca="false">P370-P371</f>
        <v>4546732.63809826</v>
      </c>
      <c r="Q372" s="39" t="n">
        <f aca="false">Q370-Q371</f>
        <v>4228901.15874772</v>
      </c>
      <c r="R372" s="39" t="n">
        <f aca="false">R370-R371</f>
        <v>3934815.90532221</v>
      </c>
      <c r="S372" s="39" t="n">
        <f aca="false">S370-S371</f>
        <v>3662976.23622447</v>
      </c>
      <c r="T372" s="39" t="n">
        <f aca="false">T370-T371</f>
        <v>3411787.33515839</v>
      </c>
      <c r="U372" s="39" t="n">
        <f aca="false">U370-U371</f>
        <v>3178986.35186272</v>
      </c>
      <c r="V372" s="39" t="n">
        <f aca="false">V370-V371</f>
        <v>2962879.32100634</v>
      </c>
      <c r="W372" s="39" t="n">
        <f aca="false">W370-W371</f>
        <v>2594478.06998334</v>
      </c>
      <c r="X372" s="39" t="n">
        <f aca="false">X370-X371</f>
        <v>2178944.59190539</v>
      </c>
      <c r="Y372" s="39" t="n">
        <f aca="false">Y370-Y371</f>
        <v>1802314.54052999</v>
      </c>
      <c r="Z372" s="39" t="n">
        <f aca="false">Z370-Z371</f>
        <v>1461716.46945789</v>
      </c>
      <c r="AA372" s="39" t="n">
        <f aca="false">AA370-AA371</f>
        <v>1154225.10830514</v>
      </c>
      <c r="AB372" s="39" t="n">
        <f aca="false">AB370-AB371</f>
        <v>877135.386007046</v>
      </c>
      <c r="AC372" s="39" t="n">
        <f aca="false">AC370-AC371</f>
        <v>627731.729906525</v>
      </c>
      <c r="AD372" s="39" t="n">
        <f aca="false">AD370-AD371</f>
        <v>402882.05326384</v>
      </c>
      <c r="AE372" s="39" t="n">
        <f aca="false">AE370-AE371</f>
        <v>200620.115632191</v>
      </c>
      <c r="AF372" s="39" t="n">
        <f aca="false">AF370-AF371</f>
        <v>19124.1582594874</v>
      </c>
      <c r="AG372" s="39" t="n">
        <f aca="false">AG370-AG371</f>
        <v>0</v>
      </c>
      <c r="AH372" s="39" t="n">
        <f aca="false">AH370-AH371</f>
        <v>0</v>
      </c>
      <c r="AI372" s="39" t="n">
        <f aca="false">AI370-AI371</f>
        <v>0</v>
      </c>
      <c r="AJ372" s="39" t="n">
        <f aca="false">AJ370-AJ371</f>
        <v>0</v>
      </c>
      <c r="AK372" s="39" t="n">
        <f aca="false">AK370-AK371</f>
        <v>0</v>
      </c>
      <c r="AL372" s="39" t="n">
        <f aca="false">AL370-AL371</f>
        <v>0</v>
      </c>
      <c r="AM372" s="39" t="n">
        <f aca="false">AM370-AM371</f>
        <v>0</v>
      </c>
      <c r="AN372" s="39" t="n">
        <f aca="false">AN370-AN371</f>
        <v>0</v>
      </c>
    </row>
    <row r="373" customFormat="false" ht="15" hidden="false" customHeight="false" outlineLevel="0" collapsed="false">
      <c r="A373" s="5" t="s">
        <v>152</v>
      </c>
      <c r="E373" s="39" t="n">
        <f aca="false">MIN(E372,E369)</f>
        <v>3679993.40901979</v>
      </c>
      <c r="F373" s="39" t="n">
        <f aca="false">MIN(F372,F369)</f>
        <v>3467334.21512836</v>
      </c>
      <c r="G373" s="39" t="n">
        <f aca="false">MIN(G372,G369)</f>
        <v>3256704.06375084</v>
      </c>
      <c r="H373" s="39" t="n">
        <f aca="false">MIN(H372,H369)</f>
        <v>3048921.08109079</v>
      </c>
      <c r="I373" s="39" t="n">
        <f aca="false">MIN(I372,I369)</f>
        <v>2844668.49012524</v>
      </c>
      <c r="J373" s="39" t="n">
        <f aca="false">MIN(J372,J369)</f>
        <v>2651752.90393053</v>
      </c>
      <c r="K373" s="39" t="n">
        <f aca="false">MIN(K372,K369)</f>
        <v>2473006.94255955</v>
      </c>
      <c r="L373" s="39" t="n">
        <f aca="false">MIN(L372,L369)</f>
        <v>2307285.43995393</v>
      </c>
      <c r="M373" s="39" t="n">
        <f aca="false">MIN(M372,M369)</f>
        <v>2153527.91622382</v>
      </c>
      <c r="N373" s="39" t="n">
        <f aca="false">MIN(N372,N369)</f>
        <v>1986470.03760641</v>
      </c>
      <c r="O373" s="39" t="n">
        <f aca="false">MIN(O372,O369)</f>
        <v>1830715.99855695</v>
      </c>
      <c r="P373" s="39" t="n">
        <f aca="false">MIN(P372,P369)</f>
        <v>1685713.9936539</v>
      </c>
      <c r="Q373" s="39" t="n">
        <f aca="false">MIN(Q372,Q369)</f>
        <v>1550805.1274309</v>
      </c>
      <c r="R373" s="39" t="n">
        <f aca="false">MIN(R372,R369)</f>
        <v>1425699.19845197</v>
      </c>
      <c r="S373" s="39" t="n">
        <f aca="false">MIN(S372,S369)</f>
        <v>1309861.57326736</v>
      </c>
      <c r="T373" s="39" t="n">
        <f aca="false">MIN(T372,T369)</f>
        <v>1202724.10882992</v>
      </c>
      <c r="U373" s="39" t="n">
        <f aca="false">MIN(U372,U369)</f>
        <v>1103668.64028534</v>
      </c>
      <c r="V373" s="39" t="n">
        <f aca="false">MIN(V372,V369)</f>
        <v>1011928.77501832</v>
      </c>
      <c r="W373" s="39" t="n">
        <f aca="false">MIN(W372,W369)</f>
        <v>857161.935643346</v>
      </c>
      <c r="X373" s="39" t="n">
        <f aca="false">MIN(X372,X369)</f>
        <v>682732.617398489</v>
      </c>
      <c r="Y373" s="39" t="n">
        <f aca="false">MIN(Y372,Y369)</f>
        <v>524386.074600069</v>
      </c>
      <c r="Z373" s="39" t="n">
        <f aca="false">MIN(Z372,Z369)</f>
        <v>380842.211446108</v>
      </c>
      <c r="AA373" s="39" t="n">
        <f aca="false">MIN(AA372,AA369)</f>
        <v>232258.787271348</v>
      </c>
      <c r="AB373" s="39" t="n">
        <f aca="false">MIN(AB372,AB369)</f>
        <v>97954.5142665306</v>
      </c>
      <c r="AC373" s="39" t="n">
        <f aca="false">MIN(AC372,AC369)</f>
        <v>0</v>
      </c>
      <c r="AD373" s="39" t="n">
        <f aca="false">MIN(AD372,AD369)</f>
        <v>0</v>
      </c>
      <c r="AE373" s="39" t="n">
        <f aca="false">MIN(AE372,AE369)</f>
        <v>0</v>
      </c>
      <c r="AF373" s="39" t="n">
        <f aca="false">MIN(AF372,AF369)</f>
        <v>0</v>
      </c>
      <c r="AG373" s="39" t="n">
        <f aca="false">MIN(AG372,AG369)</f>
        <v>0</v>
      </c>
      <c r="AH373" s="39" t="n">
        <f aca="false">MIN(AH372,AH369)</f>
        <v>0</v>
      </c>
      <c r="AI373" s="39" t="n">
        <f aca="false">MIN(AI372,AI369)</f>
        <v>0</v>
      </c>
      <c r="AJ373" s="39" t="n">
        <f aca="false">MIN(AJ372,AJ369)</f>
        <v>0</v>
      </c>
      <c r="AK373" s="39" t="n">
        <f aca="false">MIN(AK372,AK369)</f>
        <v>0</v>
      </c>
      <c r="AL373" s="39" t="n">
        <f aca="false">MIN(AL372,AL369)</f>
        <v>0</v>
      </c>
      <c r="AM373" s="39" t="n">
        <f aca="false">MIN(AM372,AM369)</f>
        <v>0</v>
      </c>
      <c r="AN373" s="39" t="n">
        <f aca="false">MIN(AN372,AN369)</f>
        <v>0</v>
      </c>
    </row>
    <row r="374" customFormat="false" ht="15" hidden="false" customHeight="false" outlineLevel="0" collapsed="false">
      <c r="A374" s="5" t="s">
        <v>153</v>
      </c>
      <c r="E374" s="39" t="n">
        <f aca="false">E372-E373</f>
        <v>6524055.54502247</v>
      </c>
      <c r="F374" s="39" t="n">
        <f aca="false">F372-F373</f>
        <v>6082020.28105346</v>
      </c>
      <c r="G374" s="39" t="n">
        <f aca="false">G372-G373</f>
        <v>5651355.93841514</v>
      </c>
      <c r="H374" s="39" t="n">
        <f aca="false">H372-H373</f>
        <v>5233733.43745167</v>
      </c>
      <c r="I374" s="39" t="n">
        <f aca="false">I372-I373</f>
        <v>4832344.39011483</v>
      </c>
      <c r="J374" s="39" t="n">
        <f aca="false">J372-J373</f>
        <v>4458630.00427343</v>
      </c>
      <c r="K374" s="39" t="n">
        <f aca="false">K372-K373</f>
        <v>4116540.10740445</v>
      </c>
      <c r="L374" s="39" t="n">
        <f aca="false">L372-L373</f>
        <v>3803833.34532442</v>
      </c>
      <c r="M374" s="39" t="n">
        <f aca="false">M372-M373</f>
        <v>3517149.61137494</v>
      </c>
      <c r="N374" s="39" t="n">
        <f aca="false">N372-N373</f>
        <v>3278223.72730665</v>
      </c>
      <c r="O374" s="39" t="n">
        <f aca="false">O372-O373</f>
        <v>3060139.15343953</v>
      </c>
      <c r="P374" s="39" t="n">
        <f aca="false">P372-P373</f>
        <v>2861018.64444436</v>
      </c>
      <c r="Q374" s="39" t="n">
        <f aca="false">Q372-Q373</f>
        <v>2678096.03131682</v>
      </c>
      <c r="R374" s="39" t="n">
        <f aca="false">R372-R373</f>
        <v>2509116.70687024</v>
      </c>
      <c r="S374" s="39" t="n">
        <f aca="false">S372-S373</f>
        <v>2353114.66295712</v>
      </c>
      <c r="T374" s="39" t="n">
        <f aca="false">T372-T373</f>
        <v>2209063.22632847</v>
      </c>
      <c r="U374" s="39" t="n">
        <f aca="false">U372-U373</f>
        <v>2075317.71157738</v>
      </c>
      <c r="V374" s="39" t="n">
        <f aca="false">V372-V373</f>
        <v>1950950.54598802</v>
      </c>
      <c r="W374" s="39" t="n">
        <f aca="false">W372-W373</f>
        <v>1737316.13433999</v>
      </c>
      <c r="X374" s="39" t="n">
        <f aca="false">X372-X373</f>
        <v>1496211.9745069</v>
      </c>
      <c r="Y374" s="39" t="n">
        <f aca="false">Y372-Y373</f>
        <v>1277928.46592992</v>
      </c>
      <c r="Z374" s="39" t="n">
        <f aca="false">Z372-Z373</f>
        <v>1080874.25801178</v>
      </c>
      <c r="AA374" s="39" t="n">
        <f aca="false">AA372-AA373</f>
        <v>921966.321033789</v>
      </c>
      <c r="AB374" s="39" t="n">
        <f aca="false">AB372-AB373</f>
        <v>779180.871740515</v>
      </c>
      <c r="AC374" s="39" t="n">
        <f aca="false">AC372-AC373</f>
        <v>627731.729906525</v>
      </c>
      <c r="AD374" s="39" t="n">
        <f aca="false">AD372-AD373</f>
        <v>402882.05326384</v>
      </c>
      <c r="AE374" s="39" t="n">
        <f aca="false">AE372-AE373</f>
        <v>200620.115632191</v>
      </c>
      <c r="AF374" s="39" t="n">
        <f aca="false">AF372-AF373</f>
        <v>19124.1582594874</v>
      </c>
      <c r="AG374" s="39" t="n">
        <f aca="false">AG372-AG373</f>
        <v>0</v>
      </c>
      <c r="AH374" s="39" t="n">
        <f aca="false">AH372-AH373</f>
        <v>0</v>
      </c>
      <c r="AI374" s="39" t="n">
        <f aca="false">AI372-AI373</f>
        <v>0</v>
      </c>
      <c r="AJ374" s="39" t="n">
        <f aca="false">AJ372-AJ373</f>
        <v>0</v>
      </c>
      <c r="AK374" s="39" t="n">
        <f aca="false">AK372-AK373</f>
        <v>0</v>
      </c>
      <c r="AL374" s="39" t="n">
        <f aca="false">AL372-AL373</f>
        <v>0</v>
      </c>
      <c r="AM374" s="39" t="n">
        <f aca="false">AM372-AM373</f>
        <v>0</v>
      </c>
      <c r="AN374" s="39" t="n">
        <f aca="false">AN372-AN373</f>
        <v>0</v>
      </c>
    </row>
    <row r="375" customFormat="false" ht="15" hidden="false" customHeight="false" outlineLevel="0" collapsed="false">
      <c r="A375" s="5" t="s">
        <v>154</v>
      </c>
      <c r="E375" s="39" t="n">
        <f aca="false">E369-E373</f>
        <v>0</v>
      </c>
      <c r="F375" s="39" t="n">
        <f aca="false">F369-F373</f>
        <v>0</v>
      </c>
      <c r="G375" s="39" t="n">
        <f aca="false">G369-G373</f>
        <v>0</v>
      </c>
      <c r="H375" s="39" t="n">
        <f aca="false">H369-H373</f>
        <v>0</v>
      </c>
      <c r="I375" s="39" t="n">
        <f aca="false">I369-I373</f>
        <v>0</v>
      </c>
      <c r="J375" s="39" t="n">
        <f aca="false">J369-J373</f>
        <v>0</v>
      </c>
      <c r="K375" s="39" t="n">
        <f aca="false">K369-K373</f>
        <v>0</v>
      </c>
      <c r="L375" s="39" t="n">
        <f aca="false">L369-L373</f>
        <v>0</v>
      </c>
      <c r="M375" s="39" t="n">
        <f aca="false">M369-M373</f>
        <v>0</v>
      </c>
      <c r="N375" s="39" t="n">
        <f aca="false">N369-N373</f>
        <v>0</v>
      </c>
      <c r="O375" s="39" t="n">
        <f aca="false">O369-O373</f>
        <v>0</v>
      </c>
      <c r="P375" s="39" t="n">
        <f aca="false">P369-P373</f>
        <v>0</v>
      </c>
      <c r="Q375" s="39" t="n">
        <f aca="false">Q369-Q373</f>
        <v>0</v>
      </c>
      <c r="R375" s="39" t="n">
        <f aca="false">R369-R373</f>
        <v>0</v>
      </c>
      <c r="S375" s="39" t="n">
        <f aca="false">S369-S373</f>
        <v>0</v>
      </c>
      <c r="T375" s="39" t="n">
        <f aca="false">T369-T373</f>
        <v>0</v>
      </c>
      <c r="U375" s="39" t="n">
        <f aca="false">U369-U373</f>
        <v>0</v>
      </c>
      <c r="V375" s="39" t="n">
        <f aca="false">V369-V373</f>
        <v>0</v>
      </c>
      <c r="W375" s="39" t="n">
        <f aca="false">W369-W373</f>
        <v>0</v>
      </c>
      <c r="X375" s="39" t="n">
        <f aca="false">X369-X373</f>
        <v>0</v>
      </c>
      <c r="Y375" s="39" t="n">
        <f aca="false">Y369-Y373</f>
        <v>0</v>
      </c>
      <c r="Z375" s="39" t="n">
        <f aca="false">Z369-Z373</f>
        <v>0</v>
      </c>
      <c r="AA375" s="39" t="n">
        <f aca="false">AA369-AA373</f>
        <v>0</v>
      </c>
      <c r="AB375" s="39" t="n">
        <f aca="false">AB369-AB373</f>
        <v>0</v>
      </c>
      <c r="AC375" s="39" t="n">
        <f aca="false">AC369-AC373</f>
        <v>0</v>
      </c>
      <c r="AD375" s="39" t="n">
        <f aca="false">AD369-AD373</f>
        <v>0</v>
      </c>
      <c r="AE375" s="39" t="n">
        <f aca="false">AE369-AE373</f>
        <v>0</v>
      </c>
      <c r="AF375" s="39" t="n">
        <f aca="false">AF369-AF373</f>
        <v>0</v>
      </c>
      <c r="AG375" s="39" t="n">
        <f aca="false">AG369-AG373</f>
        <v>0</v>
      </c>
      <c r="AH375" s="39" t="n">
        <f aca="false">AH369-AH373</f>
        <v>0</v>
      </c>
      <c r="AI375" s="39" t="n">
        <f aca="false">AI369-AI373</f>
        <v>0</v>
      </c>
      <c r="AJ375" s="39" t="n">
        <f aca="false">AJ369-AJ373</f>
        <v>0</v>
      </c>
      <c r="AK375" s="39" t="n">
        <f aca="false">AK369-AK373</f>
        <v>0</v>
      </c>
      <c r="AL375" s="39" t="n">
        <f aca="false">AL369-AL373</f>
        <v>0</v>
      </c>
      <c r="AM375" s="39" t="n">
        <f aca="false">AM369-AM373</f>
        <v>0</v>
      </c>
      <c r="AN375" s="39" t="n">
        <f aca="false">AN369-AN373</f>
        <v>0</v>
      </c>
    </row>
    <row r="376" customFormat="false" ht="15" hidden="false" customHeight="false" outlineLevel="0" collapsed="false">
      <c r="A376" s="14" t="s">
        <v>155</v>
      </c>
      <c r="E376" s="18" t="n">
        <f aca="false">IF('Scenario Analysis'!E352&gt;0,E367/'Scenario Analysis'!E352,0)</f>
        <v>0.6</v>
      </c>
      <c r="F376" s="18" t="n">
        <f aca="false">IF('Scenario Analysis'!F352&gt;0,F367/'Scenario Analysis'!F352,0)</f>
        <v>0.603782619644045</v>
      </c>
      <c r="G376" s="18" t="n">
        <f aca="false">IF('Scenario Analysis'!G352&gt;0,G367/'Scenario Analysis'!G352,0)</f>
        <v>0.607700457907396</v>
      </c>
      <c r="H376" s="18" t="n">
        <f aca="false">IF('Scenario Analysis'!H352&gt;0,H367/'Scenario Analysis'!H352,0)</f>
        <v>0.611678418497742</v>
      </c>
      <c r="I376" s="18" t="n">
        <f aca="false">IF('Scenario Analysis'!I352&gt;0,I367/'Scenario Analysis'!I352,0)</f>
        <v>0.615685396037297</v>
      </c>
      <c r="J376" s="18" t="n">
        <f aca="false">IF('Scenario Analysis'!J352&gt;0,J367/'Scenario Analysis'!J352,0)</f>
        <v>0.619718973273613</v>
      </c>
      <c r="K376" s="18" t="n">
        <f aca="false">IF('Scenario Analysis'!K352&gt;0,K367/'Scenario Analysis'!K352,0)</f>
        <v>0.623760908913053</v>
      </c>
      <c r="L376" s="18" t="n">
        <f aca="false">IF('Scenario Analysis'!L352&gt;0,L367/'Scenario Analysis'!L352,0)</f>
        <v>0.627699119676606</v>
      </c>
      <c r="M376" s="18" t="n">
        <f aca="false">IF('Scenario Analysis'!M352&gt;0,M367/'Scenario Analysis'!M352,0)</f>
        <v>0.631456133977736</v>
      </c>
      <c r="N376" s="18" t="n">
        <f aca="false">IF('Scenario Analysis'!N352&gt;0,N367/'Scenario Analysis'!N352,0)</f>
        <v>0.627414852680182</v>
      </c>
      <c r="O376" s="18" t="n">
        <f aca="false">IF('Scenario Analysis'!O352&gt;0,O367/'Scenario Analysis'!O352,0)</f>
        <v>0.622494659962454</v>
      </c>
      <c r="P376" s="18" t="n">
        <f aca="false">IF('Scenario Analysis'!P352&gt;0,P367/'Scenario Analysis'!P352,0)</f>
        <v>0.616669037335194</v>
      </c>
      <c r="Q376" s="18" t="n">
        <f aca="false">IF('Scenario Analysis'!Q352&gt;0,Q367/'Scenario Analysis'!Q352,0)</f>
        <v>0.609903081255334</v>
      </c>
      <c r="R376" s="18" t="n">
        <f aca="false">IF('Scenario Analysis'!R352&gt;0,R367/'Scenario Analysis'!R352,0)</f>
        <v>0.602471441017711</v>
      </c>
      <c r="S376" s="18" t="n">
        <f aca="false">IF('Scenario Analysis'!S352&gt;0,S367/'Scenario Analysis'!S352,0)</f>
        <v>0.594500015774801</v>
      </c>
      <c r="T376" s="18" t="n">
        <f aca="false">IF('Scenario Analysis'!T352&gt;0,T367/'Scenario Analysis'!T352,0)</f>
        <v>0.585974402710545</v>
      </c>
      <c r="U376" s="18" t="n">
        <f aca="false">IF('Scenario Analysis'!U352&gt;0,U367/'Scenario Analysis'!U352,0)</f>
        <v>0.576872155476981</v>
      </c>
      <c r="V376" s="18" t="n">
        <f aca="false">IF('Scenario Analysis'!V352&gt;0,V367/'Scenario Analysis'!V352,0)</f>
        <v>0.567202949695905</v>
      </c>
      <c r="W376" s="18" t="n">
        <f aca="false">IF('Scenario Analysis'!W352&gt;0,W367/'Scenario Analysis'!W352,0)</f>
        <v>0.54784761339741</v>
      </c>
      <c r="X376" s="18" t="n">
        <f aca="false">IF('Scenario Analysis'!X352&gt;0,X367/'Scenario Analysis'!X352,0)</f>
        <v>0.518313096981064</v>
      </c>
      <c r="Y376" s="18" t="n">
        <f aca="false">IF('Scenario Analysis'!Y352&gt;0,Y367/'Scenario Analysis'!Y352,0)</f>
        <v>0.479682373937766</v>
      </c>
      <c r="Z376" s="18" t="n">
        <f aca="false">IF('Scenario Analysis'!Z352&gt;0,Z367/'Scenario Analysis'!Z352,0)</f>
        <v>0.4275801858888</v>
      </c>
      <c r="AA376" s="18" t="n">
        <f aca="false">IF('Scenario Analysis'!AA352&gt;0,AA367/'Scenario Analysis'!AA352,0)</f>
        <v>0.328107408800169</v>
      </c>
      <c r="AB376" s="18" t="n">
        <f aca="false">IF('Scenario Analysis'!AB352&gt;0,AB367/'Scenario Analysis'!AB352,0)</f>
        <v>0.180350874850641</v>
      </c>
      <c r="AC376" s="18" t="n">
        <f aca="false">IF('Scenario Analysis'!AC352&gt;0,AC367/'Scenario Analysis'!AC352,0)</f>
        <v>0</v>
      </c>
      <c r="AD376" s="18" t="n">
        <f aca="false">IF('Scenario Analysis'!AD352&gt;0,AD367/'Scenario Analysis'!AD352,0)</f>
        <v>0</v>
      </c>
      <c r="AE376" s="18" t="n">
        <f aca="false">IF('Scenario Analysis'!AE352&gt;0,AE367/'Scenario Analysis'!AE352,0)</f>
        <v>0</v>
      </c>
      <c r="AF376" s="18" t="n">
        <f aca="false">IF('Scenario Analysis'!AF352&gt;0,AF367/'Scenario Analysis'!AF352,0)</f>
        <v>0</v>
      </c>
      <c r="AG376" s="18" t="n">
        <f aca="false">IF('Scenario Analysis'!AG352&gt;0,AG367/'Scenario Analysis'!AG352,0)</f>
        <v>0</v>
      </c>
      <c r="AH376" s="18" t="n">
        <f aca="false">IF('Scenario Analysis'!AH352&gt;0,AH367/'Scenario Analysis'!AH352,0)</f>
        <v>0</v>
      </c>
      <c r="AI376" s="18" t="n">
        <f aca="false">IF('Scenario Analysis'!AI352&gt;0,AI367/'Scenario Analysis'!AI352,0)</f>
        <v>0</v>
      </c>
      <c r="AJ376" s="18" t="n">
        <f aca="false">IF('Scenario Analysis'!AJ352&gt;0,AJ367/'Scenario Analysis'!AJ352,0)</f>
        <v>0</v>
      </c>
      <c r="AK376" s="18" t="n">
        <f aca="false">IF('Scenario Analysis'!AK352&gt;0,AK367/'Scenario Analysis'!AK352,0)</f>
        <v>0</v>
      </c>
      <c r="AL376" s="18" t="n">
        <f aca="false">IF('Scenario Analysis'!AL352&gt;0,AL367/'Scenario Analysis'!AL352,0)</f>
        <v>0</v>
      </c>
      <c r="AM376" s="18" t="n">
        <f aca="false">IF('Scenario Analysis'!AM352&gt;0,AM367/'Scenario Analysis'!AM352,0)</f>
        <v>0</v>
      </c>
      <c r="AN376" s="18" t="n">
        <f aca="false">IF('Scenario Analysis'!AN352&gt;0,AN367/'Scenario Analysis'!AN352,0)</f>
        <v>0</v>
      </c>
    </row>
    <row r="377" customFormat="false" ht="15" hidden="false" customHeight="false" outlineLevel="0" collapsed="false">
      <c r="A377" s="5" t="s">
        <v>156</v>
      </c>
      <c r="E377" s="39" t="n">
        <f aca="false">MAX(0,E367-'Inputs &amp; Assumptions'!$C$31*'Scenario Analysis'!E352)</f>
        <v>0</v>
      </c>
      <c r="F377" s="39" t="n">
        <f aca="false">MAX(0,F367-'Inputs &amp; Assumptions'!$C$31*'Scenario Analysis'!F352)</f>
        <v>0</v>
      </c>
      <c r="G377" s="39" t="n">
        <f aca="false">MAX(0,G367-'Inputs &amp; Assumptions'!$C$31*'Scenario Analysis'!G352)</f>
        <v>0</v>
      </c>
      <c r="H377" s="39" t="n">
        <f aca="false">MAX(0,H367-'Inputs &amp; Assumptions'!$C$31*'Scenario Analysis'!H352)</f>
        <v>0</v>
      </c>
      <c r="I377" s="39" t="n">
        <f aca="false">MAX(0,I367-'Inputs &amp; Assumptions'!$C$31*'Scenario Analysis'!I352)</f>
        <v>0</v>
      </c>
      <c r="J377" s="39" t="n">
        <f aca="false">MAX(0,J367-'Inputs &amp; Assumptions'!$C$31*'Scenario Analysis'!J352)</f>
        <v>0</v>
      </c>
      <c r="K377" s="39" t="n">
        <f aca="false">MAX(0,K367-'Inputs &amp; Assumptions'!$C$31*'Scenario Analysis'!K352)</f>
        <v>0</v>
      </c>
      <c r="L377" s="39" t="n">
        <f aca="false">MAX(0,L367-'Inputs &amp; Assumptions'!$C$31*'Scenario Analysis'!L352)</f>
        <v>0</v>
      </c>
      <c r="M377" s="39" t="n">
        <f aca="false">MAX(0,M367-'Inputs &amp; Assumptions'!$C$31*'Scenario Analysis'!M352)</f>
        <v>0</v>
      </c>
      <c r="N377" s="39" t="n">
        <f aca="false">MAX(0,N367-'Inputs &amp; Assumptions'!$C$31*'Scenario Analysis'!N352)</f>
        <v>0</v>
      </c>
      <c r="O377" s="39" t="n">
        <f aca="false">MAX(0,O367-'Inputs &amp; Assumptions'!$C$31*'Scenario Analysis'!O352)</f>
        <v>0</v>
      </c>
      <c r="P377" s="39" t="n">
        <f aca="false">MAX(0,P367-'Inputs &amp; Assumptions'!$C$31*'Scenario Analysis'!P352)</f>
        <v>0</v>
      </c>
      <c r="Q377" s="39" t="n">
        <f aca="false">MAX(0,Q367-'Inputs &amp; Assumptions'!$C$31*'Scenario Analysis'!Q352)</f>
        <v>0</v>
      </c>
      <c r="R377" s="39" t="n">
        <f aca="false">MAX(0,R367-'Inputs &amp; Assumptions'!$C$31*'Scenario Analysis'!R352)</f>
        <v>0</v>
      </c>
      <c r="S377" s="39" t="n">
        <f aca="false">MAX(0,S367-'Inputs &amp; Assumptions'!$C$31*'Scenario Analysis'!S352)</f>
        <v>0</v>
      </c>
      <c r="T377" s="39" t="n">
        <f aca="false">MAX(0,T367-'Inputs &amp; Assumptions'!$C$31*'Scenario Analysis'!T352)</f>
        <v>0</v>
      </c>
      <c r="U377" s="39" t="n">
        <f aca="false">MAX(0,U367-'Inputs &amp; Assumptions'!$C$31*'Scenario Analysis'!U352)</f>
        <v>0</v>
      </c>
      <c r="V377" s="39" t="n">
        <f aca="false">MAX(0,V367-'Inputs &amp; Assumptions'!$C$31*'Scenario Analysis'!V352)</f>
        <v>0</v>
      </c>
      <c r="W377" s="39" t="n">
        <f aca="false">MAX(0,W367-'Inputs &amp; Assumptions'!$C$31*'Scenario Analysis'!W352)</f>
        <v>0</v>
      </c>
      <c r="X377" s="39" t="n">
        <f aca="false">MAX(0,X367-'Inputs &amp; Assumptions'!$C$31*'Scenario Analysis'!X352)</f>
        <v>0</v>
      </c>
      <c r="Y377" s="39" t="n">
        <f aca="false">MAX(0,Y367-'Inputs &amp; Assumptions'!$C$31*'Scenario Analysis'!Y352)</f>
        <v>0</v>
      </c>
      <c r="Z377" s="39" t="n">
        <f aca="false">MAX(0,Z367-'Inputs &amp; Assumptions'!$C$31*'Scenario Analysis'!Z352)</f>
        <v>0</v>
      </c>
      <c r="AA377" s="39" t="n">
        <f aca="false">MAX(0,AA367-'Inputs &amp; Assumptions'!$C$31*'Scenario Analysis'!AA352)</f>
        <v>0</v>
      </c>
      <c r="AB377" s="39" t="n">
        <f aca="false">MAX(0,AB367-'Inputs &amp; Assumptions'!$C$31*'Scenario Analysis'!AB352)</f>
        <v>0</v>
      </c>
      <c r="AC377" s="39" t="n">
        <f aca="false">MAX(0,AC367-'Inputs &amp; Assumptions'!$C$31*'Scenario Analysis'!AC352)</f>
        <v>0</v>
      </c>
      <c r="AD377" s="39" t="n">
        <f aca="false">MAX(0,AD367-'Inputs &amp; Assumptions'!$C$31*'Scenario Analysis'!AD352)</f>
        <v>0</v>
      </c>
      <c r="AE377" s="39" t="n">
        <f aca="false">MAX(0,AE367-'Inputs &amp; Assumptions'!$C$31*'Scenario Analysis'!AE352)</f>
        <v>0</v>
      </c>
      <c r="AF377" s="39" t="n">
        <f aca="false">MAX(0,AF367-'Inputs &amp; Assumptions'!$C$31*'Scenario Analysis'!AF352)</f>
        <v>0</v>
      </c>
      <c r="AG377" s="39" t="n">
        <f aca="false">MAX(0,AG367-'Inputs &amp; Assumptions'!$C$31*'Scenario Analysis'!AG352)</f>
        <v>0</v>
      </c>
      <c r="AH377" s="39" t="n">
        <f aca="false">MAX(0,AH367-'Inputs &amp; Assumptions'!$C$31*'Scenario Analysis'!AH352)</f>
        <v>0</v>
      </c>
      <c r="AI377" s="39" t="n">
        <f aca="false">MAX(0,AI367-'Inputs &amp; Assumptions'!$C$31*'Scenario Analysis'!AI352)</f>
        <v>0</v>
      </c>
      <c r="AJ377" s="39" t="n">
        <f aca="false">MAX(0,AJ367-'Inputs &amp; Assumptions'!$C$31*'Scenario Analysis'!AJ352)</f>
        <v>0</v>
      </c>
      <c r="AK377" s="39" t="n">
        <f aca="false">MAX(0,AK367-'Inputs &amp; Assumptions'!$C$31*'Scenario Analysis'!AK352)</f>
        <v>0</v>
      </c>
      <c r="AL377" s="39" t="n">
        <f aca="false">MAX(0,AL367-'Inputs &amp; Assumptions'!$C$31*'Scenario Analysis'!AL352)</f>
        <v>0</v>
      </c>
      <c r="AM377" s="39" t="n">
        <f aca="false">MAX(0,AM367-'Inputs &amp; Assumptions'!$C$31*'Scenario Analysis'!AM352)</f>
        <v>0</v>
      </c>
      <c r="AN377" s="39" t="n">
        <f aca="false">MAX(0,AN367-'Inputs &amp; Assumptions'!$C$31*'Scenario Analysis'!AN352)</f>
        <v>0</v>
      </c>
    </row>
    <row r="378" customFormat="false" ht="15" hidden="false" customHeight="false" outlineLevel="0" collapsed="false">
      <c r="A378" s="5" t="s">
        <v>157</v>
      </c>
      <c r="E378" s="39" t="n">
        <f aca="false">MIN(E374,E377)</f>
        <v>0</v>
      </c>
      <c r="F378" s="39" t="n">
        <f aca="false">MIN(F374,F377)</f>
        <v>0</v>
      </c>
      <c r="G378" s="39" t="n">
        <f aca="false">MIN(G374,G377)</f>
        <v>0</v>
      </c>
      <c r="H378" s="39" t="n">
        <f aca="false">MIN(H374,H377)</f>
        <v>0</v>
      </c>
      <c r="I378" s="39" t="n">
        <f aca="false">MIN(I374,I377)</f>
        <v>0</v>
      </c>
      <c r="J378" s="39" t="n">
        <f aca="false">MIN(J374,J377)</f>
        <v>0</v>
      </c>
      <c r="K378" s="39" t="n">
        <f aca="false">MIN(K374,K377)</f>
        <v>0</v>
      </c>
      <c r="L378" s="39" t="n">
        <f aca="false">MIN(L374,L377)</f>
        <v>0</v>
      </c>
      <c r="M378" s="39" t="n">
        <f aca="false">MIN(M374,M377)</f>
        <v>0</v>
      </c>
      <c r="N378" s="39" t="n">
        <f aca="false">MIN(N374,N377)</f>
        <v>0</v>
      </c>
      <c r="O378" s="39" t="n">
        <f aca="false">MIN(O374,O377)</f>
        <v>0</v>
      </c>
      <c r="P378" s="39" t="n">
        <f aca="false">MIN(P374,P377)</f>
        <v>0</v>
      </c>
      <c r="Q378" s="39" t="n">
        <f aca="false">MIN(Q374,Q377)</f>
        <v>0</v>
      </c>
      <c r="R378" s="39" t="n">
        <f aca="false">MIN(R374,R377)</f>
        <v>0</v>
      </c>
      <c r="S378" s="39" t="n">
        <f aca="false">MIN(S374,S377)</f>
        <v>0</v>
      </c>
      <c r="T378" s="39" t="n">
        <f aca="false">MIN(T374,T377)</f>
        <v>0</v>
      </c>
      <c r="U378" s="39" t="n">
        <f aca="false">MIN(U374,U377)</f>
        <v>0</v>
      </c>
      <c r="V378" s="39" t="n">
        <f aca="false">MIN(V374,V377)</f>
        <v>0</v>
      </c>
      <c r="W378" s="39" t="n">
        <f aca="false">MIN(W374,W377)</f>
        <v>0</v>
      </c>
      <c r="X378" s="39" t="n">
        <f aca="false">MIN(X374,X377)</f>
        <v>0</v>
      </c>
      <c r="Y378" s="39" t="n">
        <f aca="false">MIN(Y374,Y377)</f>
        <v>0</v>
      </c>
      <c r="Z378" s="39" t="n">
        <f aca="false">MIN(Z374,Z377)</f>
        <v>0</v>
      </c>
      <c r="AA378" s="39" t="n">
        <f aca="false">MIN(AA374,AA377)</f>
        <v>0</v>
      </c>
      <c r="AB378" s="39" t="n">
        <f aca="false">MIN(AB374,AB377)</f>
        <v>0</v>
      </c>
      <c r="AC378" s="39" t="n">
        <f aca="false">MIN(AC374,AC377)</f>
        <v>0</v>
      </c>
      <c r="AD378" s="39" t="n">
        <f aca="false">MIN(AD374,AD377)</f>
        <v>0</v>
      </c>
      <c r="AE378" s="39" t="n">
        <f aca="false">MIN(AE374,AE377)</f>
        <v>0</v>
      </c>
      <c r="AF378" s="39" t="n">
        <f aca="false">MIN(AF374,AF377)</f>
        <v>0</v>
      </c>
      <c r="AG378" s="39" t="n">
        <f aca="false">MIN(AG374,AG377)</f>
        <v>0</v>
      </c>
      <c r="AH378" s="39" t="n">
        <f aca="false">MIN(AH374,AH377)</f>
        <v>0</v>
      </c>
      <c r="AI378" s="39" t="n">
        <f aca="false">MIN(AI374,AI377)</f>
        <v>0</v>
      </c>
      <c r="AJ378" s="39" t="n">
        <f aca="false">MIN(AJ374,AJ377)</f>
        <v>0</v>
      </c>
      <c r="AK378" s="39" t="n">
        <f aca="false">MIN(AK374,AK377)</f>
        <v>0</v>
      </c>
      <c r="AL378" s="39" t="n">
        <f aca="false">MIN(AL374,AL377)</f>
        <v>0</v>
      </c>
      <c r="AM378" s="39" t="n">
        <f aca="false">MIN(AM374,AM377)</f>
        <v>0</v>
      </c>
      <c r="AN378" s="39" t="n">
        <f aca="false">MIN(AN374,AN377)</f>
        <v>0</v>
      </c>
    </row>
    <row r="379" customFormat="false" ht="15" hidden="false" customHeight="false" outlineLevel="0" collapsed="false">
      <c r="A379" s="5" t="s">
        <v>158</v>
      </c>
      <c r="E379" s="39" t="n">
        <f aca="false">E374-E378</f>
        <v>6524055.54502247</v>
      </c>
      <c r="F379" s="39" t="n">
        <f aca="false">F374-F378</f>
        <v>6082020.28105346</v>
      </c>
      <c r="G379" s="39" t="n">
        <f aca="false">G374-G378</f>
        <v>5651355.93841514</v>
      </c>
      <c r="H379" s="39" t="n">
        <f aca="false">H374-H378</f>
        <v>5233733.43745167</v>
      </c>
      <c r="I379" s="39" t="n">
        <f aca="false">I374-I378</f>
        <v>4832344.39011483</v>
      </c>
      <c r="J379" s="39" t="n">
        <f aca="false">J374-J378</f>
        <v>4458630.00427343</v>
      </c>
      <c r="K379" s="39" t="n">
        <f aca="false">K374-K378</f>
        <v>4116540.10740445</v>
      </c>
      <c r="L379" s="39" t="n">
        <f aca="false">L374-L378</f>
        <v>3803833.34532442</v>
      </c>
      <c r="M379" s="39" t="n">
        <f aca="false">M374-M378</f>
        <v>3517149.61137494</v>
      </c>
      <c r="N379" s="39" t="n">
        <f aca="false">N374-N378</f>
        <v>3278223.72730665</v>
      </c>
      <c r="O379" s="39" t="n">
        <f aca="false">O374-O378</f>
        <v>3060139.15343953</v>
      </c>
      <c r="P379" s="39" t="n">
        <f aca="false">P374-P378</f>
        <v>2861018.64444436</v>
      </c>
      <c r="Q379" s="39" t="n">
        <f aca="false">Q374-Q378</f>
        <v>2678096.03131682</v>
      </c>
      <c r="R379" s="39" t="n">
        <f aca="false">R374-R378</f>
        <v>2509116.70687024</v>
      </c>
      <c r="S379" s="39" t="n">
        <f aca="false">S374-S378</f>
        <v>2353114.66295712</v>
      </c>
      <c r="T379" s="39" t="n">
        <f aca="false">T374-T378</f>
        <v>2209063.22632847</v>
      </c>
      <c r="U379" s="39" t="n">
        <f aca="false">U374-U378</f>
        <v>2075317.71157738</v>
      </c>
      <c r="V379" s="39" t="n">
        <f aca="false">V374-V378</f>
        <v>1950950.54598802</v>
      </c>
      <c r="W379" s="39" t="n">
        <f aca="false">W374-W378</f>
        <v>1737316.13433999</v>
      </c>
      <c r="X379" s="39" t="n">
        <f aca="false">X374-X378</f>
        <v>1496211.9745069</v>
      </c>
      <c r="Y379" s="39" t="n">
        <f aca="false">Y374-Y378</f>
        <v>1277928.46592992</v>
      </c>
      <c r="Z379" s="39" t="n">
        <f aca="false">Z374-Z378</f>
        <v>1080874.25801178</v>
      </c>
      <c r="AA379" s="39" t="n">
        <f aca="false">AA374-AA378</f>
        <v>921966.321033789</v>
      </c>
      <c r="AB379" s="39" t="n">
        <f aca="false">AB374-AB378</f>
        <v>779180.871740515</v>
      </c>
      <c r="AC379" s="39" t="n">
        <f aca="false">AC374-AC378</f>
        <v>627731.729906525</v>
      </c>
      <c r="AD379" s="39" t="n">
        <f aca="false">AD374-AD378</f>
        <v>402882.05326384</v>
      </c>
      <c r="AE379" s="39" t="n">
        <f aca="false">AE374-AE378</f>
        <v>200620.115632191</v>
      </c>
      <c r="AF379" s="39" t="n">
        <f aca="false">AF374-AF378</f>
        <v>19124.1582594874</v>
      </c>
      <c r="AG379" s="39" t="n">
        <f aca="false">AG374-AG378</f>
        <v>0</v>
      </c>
      <c r="AH379" s="39" t="n">
        <f aca="false">AH374-AH378</f>
        <v>0</v>
      </c>
      <c r="AI379" s="39" t="n">
        <f aca="false">AI374-AI378</f>
        <v>0</v>
      </c>
      <c r="AJ379" s="39" t="n">
        <f aca="false">AJ374-AJ378</f>
        <v>0</v>
      </c>
      <c r="AK379" s="39" t="n">
        <f aca="false">AK374-AK378</f>
        <v>0</v>
      </c>
      <c r="AL379" s="39" t="n">
        <f aca="false">AL374-AL378</f>
        <v>0</v>
      </c>
      <c r="AM379" s="39" t="n">
        <f aca="false">AM374-AM378</f>
        <v>0</v>
      </c>
      <c r="AN379" s="39" t="n">
        <f aca="false">AN374-AN378</f>
        <v>0</v>
      </c>
    </row>
    <row r="380" customFormat="false" ht="15" hidden="false" customHeight="false" outlineLevel="0" collapsed="false">
      <c r="A380" s="5" t="s">
        <v>159</v>
      </c>
      <c r="E380" s="39" t="n">
        <f aca="false">E379</f>
        <v>6524055.54502247</v>
      </c>
      <c r="F380" s="39" t="n">
        <f aca="false">F379</f>
        <v>6082020.28105346</v>
      </c>
      <c r="G380" s="39" t="n">
        <f aca="false">G379</f>
        <v>5651355.93841514</v>
      </c>
      <c r="H380" s="39" t="n">
        <f aca="false">H379</f>
        <v>5233733.43745167</v>
      </c>
      <c r="I380" s="39" t="n">
        <f aca="false">I379</f>
        <v>4832344.39011483</v>
      </c>
      <c r="J380" s="39" t="n">
        <f aca="false">J379</f>
        <v>4458630.00427343</v>
      </c>
      <c r="K380" s="39" t="n">
        <f aca="false">K379</f>
        <v>4116540.10740445</v>
      </c>
      <c r="L380" s="39" t="n">
        <f aca="false">L379</f>
        <v>3803833.34532442</v>
      </c>
      <c r="M380" s="39" t="n">
        <f aca="false">M379</f>
        <v>3517149.61137494</v>
      </c>
      <c r="N380" s="39" t="n">
        <f aca="false">N379</f>
        <v>3278223.72730665</v>
      </c>
      <c r="O380" s="39" t="n">
        <f aca="false">O379</f>
        <v>3060139.15343953</v>
      </c>
      <c r="P380" s="39" t="n">
        <f aca="false">P379</f>
        <v>2861018.64444436</v>
      </c>
      <c r="Q380" s="39" t="n">
        <f aca="false">Q379</f>
        <v>2678096.03131682</v>
      </c>
      <c r="R380" s="39" t="n">
        <f aca="false">R379</f>
        <v>2509116.70687024</v>
      </c>
      <c r="S380" s="39" t="n">
        <f aca="false">S379</f>
        <v>2353114.66295712</v>
      </c>
      <c r="T380" s="39" t="n">
        <f aca="false">T379</f>
        <v>2209063.22632847</v>
      </c>
      <c r="U380" s="39" t="n">
        <f aca="false">U379</f>
        <v>2075317.71157738</v>
      </c>
      <c r="V380" s="39" t="n">
        <f aca="false">V379</f>
        <v>1950950.54598802</v>
      </c>
      <c r="W380" s="39" t="n">
        <f aca="false">W379</f>
        <v>1737316.13433999</v>
      </c>
      <c r="X380" s="39" t="n">
        <f aca="false">X379</f>
        <v>1496211.9745069</v>
      </c>
      <c r="Y380" s="39" t="n">
        <f aca="false">Y379</f>
        <v>1277928.46592992</v>
      </c>
      <c r="Z380" s="39" t="n">
        <f aca="false">Z379</f>
        <v>1080874.25801178</v>
      </c>
      <c r="AA380" s="39" t="n">
        <f aca="false">AA379</f>
        <v>921966.321033789</v>
      </c>
      <c r="AB380" s="39" t="n">
        <f aca="false">AB379</f>
        <v>779180.871740515</v>
      </c>
      <c r="AC380" s="39" t="n">
        <f aca="false">AC379</f>
        <v>627731.729906525</v>
      </c>
      <c r="AD380" s="39" t="n">
        <f aca="false">AD379</f>
        <v>402882.05326384</v>
      </c>
      <c r="AE380" s="39" t="n">
        <f aca="false">AE379</f>
        <v>200620.115632191</v>
      </c>
      <c r="AF380" s="39" t="n">
        <f aca="false">AF379</f>
        <v>19124.1582594874</v>
      </c>
      <c r="AG380" s="39" t="n">
        <f aca="false">AG379</f>
        <v>0</v>
      </c>
      <c r="AH380" s="39" t="n">
        <f aca="false">AH379</f>
        <v>0</v>
      </c>
      <c r="AI380" s="39" t="n">
        <f aca="false">AI379</f>
        <v>0</v>
      </c>
      <c r="AJ380" s="39" t="n">
        <f aca="false">AJ379</f>
        <v>0</v>
      </c>
      <c r="AK380" s="39" t="n">
        <f aca="false">AK379</f>
        <v>0</v>
      </c>
      <c r="AL380" s="39" t="n">
        <f aca="false">AL379</f>
        <v>0</v>
      </c>
      <c r="AM380" s="39" t="n">
        <f aca="false">AM379</f>
        <v>0</v>
      </c>
      <c r="AN380" s="39" t="n">
        <f aca="false">AN379</f>
        <v>0</v>
      </c>
    </row>
    <row r="381" customFormat="false" ht="15" hidden="false" customHeight="false" outlineLevel="0" collapsed="false">
      <c r="A381" s="14" t="s">
        <v>160</v>
      </c>
      <c r="E381" s="39" t="n">
        <f aca="false">'Scenario Analysis'!E357</f>
        <v>28103501.2411032</v>
      </c>
      <c r="F381" s="39" t="n">
        <f aca="false">'Scenario Analysis'!F357</f>
        <v>27835357.6552822</v>
      </c>
      <c r="G381" s="39" t="n">
        <f aca="false">'Scenario Analysis'!G357</f>
        <v>27459096.4265959</v>
      </c>
      <c r="H381" s="39" t="n">
        <f aca="false">'Scenario Analysis'!H357</f>
        <v>26992545.3899233</v>
      </c>
      <c r="I381" s="39" t="n">
        <f aca="false">'Scenario Analysis'!I357</f>
        <v>25494328.8218201</v>
      </c>
      <c r="J381" s="39" t="n">
        <f aca="false">'Scenario Analysis'!J357</f>
        <v>23621773.6713337</v>
      </c>
      <c r="K381" s="39" t="n">
        <f aca="false">'Scenario Analysis'!K357</f>
        <v>21900555.3859672</v>
      </c>
      <c r="L381" s="39" t="n">
        <f aca="false">'Scenario Analysis'!L357</f>
        <v>20319482.4540922</v>
      </c>
      <c r="M381" s="39" t="n">
        <f aca="false">'Scenario Analysis'!M357</f>
        <v>22077161.1758169</v>
      </c>
      <c r="N381" s="39" t="n">
        <f aca="false">'Scenario Analysis'!N357</f>
        <v>20583327.4810966</v>
      </c>
      <c r="O381" s="39" t="n">
        <f aca="false">'Scenario Analysis'!O357</f>
        <v>19162416.4005621</v>
      </c>
      <c r="P381" s="39" t="n">
        <f aca="false">'Scenario Analysis'!P357</f>
        <v>17828580.180124</v>
      </c>
      <c r="Q381" s="39" t="n">
        <f aca="false">'Scenario Analysis'!Q357</f>
        <v>16533094.882904</v>
      </c>
      <c r="R381" s="39" t="n">
        <f aca="false">'Scenario Analysis'!R357</f>
        <v>15308262.8762534</v>
      </c>
      <c r="S381" s="39" t="n">
        <f aca="false">'Scenario Analysis'!S357</f>
        <v>14158512.5462452</v>
      </c>
      <c r="T381" s="39" t="n">
        <f aca="false">'Scenario Analysis'!T357</f>
        <v>13090454.4131862</v>
      </c>
      <c r="U381" s="39" t="n">
        <f aca="false">'Scenario Analysis'!U357</f>
        <v>12123677.1860737</v>
      </c>
      <c r="V381" s="39" t="n">
        <f aca="false">'Scenario Analysis'!V357</f>
        <v>20452866.3109523</v>
      </c>
      <c r="W381" s="39" t="n">
        <f aca="false">'Scenario Analysis'!W357</f>
        <v>23051317.3311559</v>
      </c>
      <c r="X381" s="39" t="n">
        <f aca="false">'Scenario Analysis'!X357</f>
        <v>20925934.0291291</v>
      </c>
      <c r="Y381" s="39" t="n">
        <f aca="false">'Scenario Analysis'!Y357</f>
        <v>18969718.9314076</v>
      </c>
      <c r="Z381" s="39" t="n">
        <f aca="false">'Scenario Analysis'!Z357</f>
        <v>17181247.0137326</v>
      </c>
      <c r="AA381" s="39" t="n">
        <f aca="false">'Scenario Analysis'!AA357</f>
        <v>15530096.3234063</v>
      </c>
      <c r="AB381" s="39" t="n">
        <f aca="false">'Scenario Analysis'!AB357</f>
        <v>14010121.9957488</v>
      </c>
      <c r="AC381" s="39" t="n">
        <f aca="false">'Scenario Analysis'!AC357</f>
        <v>12669381.3747872</v>
      </c>
      <c r="AD381" s="39" t="n">
        <f aca="false">'Scenario Analysis'!AD357</f>
        <v>11441701.2560926</v>
      </c>
      <c r="AE381" s="39" t="n">
        <f aca="false">'Scenario Analysis'!AE357</f>
        <v>10291140.9252803</v>
      </c>
      <c r="AF381" s="39" t="n">
        <f aca="false">'Scenario Analysis'!AF357</f>
        <v>3412921.99038819</v>
      </c>
      <c r="AG381" s="39" t="n">
        <f aca="false">'Scenario Analysis'!AG357</f>
        <v>258663.515002536</v>
      </c>
      <c r="AH381" s="39" t="n">
        <f aca="false">'Scenario Analysis'!AH357</f>
        <v>206210.735716333</v>
      </c>
      <c r="AI381" s="39" t="n">
        <f aca="false">'Scenario Analysis'!AI357</f>
        <v>158902.106678059</v>
      </c>
      <c r="AJ381" s="39" t="n">
        <f aca="false">'Scenario Analysis'!AJ357</f>
        <v>116317.176609711</v>
      </c>
      <c r="AK381" s="39" t="n">
        <f aca="false">'Scenario Analysis'!AK357</f>
        <v>82759.717464769</v>
      </c>
      <c r="AL381" s="39" t="n">
        <f aca="false">'Scenario Analysis'!AL357</f>
        <v>54786.7647711143</v>
      </c>
      <c r="AM381" s="39" t="n">
        <f aca="false">'Scenario Analysis'!AM357</f>
        <v>29623.8928578577</v>
      </c>
      <c r="AN381" s="39" t="n">
        <f aca="false">'Scenario Analysis'!AN357</f>
        <v>7044.46154409085</v>
      </c>
    </row>
    <row r="382" customFormat="false" ht="15" hidden="false" customHeight="false" outlineLevel="0" collapsed="false">
      <c r="A382" s="5" t="s">
        <v>161</v>
      </c>
      <c r="E382" s="39" t="n">
        <f aca="false">MIN(E381,'Inputs &amp; Assumptions'!$C$36-E371)</f>
        <v>0</v>
      </c>
      <c r="F382" s="39" t="n">
        <f aca="false">MIN(F381,'Inputs &amp; Assumptions'!$C$36-F371)</f>
        <v>0</v>
      </c>
      <c r="G382" s="39" t="n">
        <f aca="false">MIN(G381,'Inputs &amp; Assumptions'!$C$36-G371)</f>
        <v>0</v>
      </c>
      <c r="H382" s="39" t="n">
        <f aca="false">MIN(H381,'Inputs &amp; Assumptions'!$C$36-H371)</f>
        <v>0</v>
      </c>
      <c r="I382" s="39" t="n">
        <f aca="false">MIN(I381,'Inputs &amp; Assumptions'!$C$36-I371)</f>
        <v>0</v>
      </c>
      <c r="J382" s="39" t="n">
        <f aca="false">MIN(J381,'Inputs &amp; Assumptions'!$C$36-J371)</f>
        <v>0</v>
      </c>
      <c r="K382" s="39" t="n">
        <f aca="false">MIN(K381,'Inputs &amp; Assumptions'!$C$36-K371)</f>
        <v>0</v>
      </c>
      <c r="L382" s="39" t="n">
        <f aca="false">MIN(L381,'Inputs &amp; Assumptions'!$C$36-L371)</f>
        <v>0</v>
      </c>
      <c r="M382" s="39" t="n">
        <f aca="false">MIN(M381,'Inputs &amp; Assumptions'!$C$36-M371)</f>
        <v>0</v>
      </c>
      <c r="N382" s="39" t="n">
        <f aca="false">MIN(N381,'Inputs &amp; Assumptions'!$C$36-N371)</f>
        <v>0</v>
      </c>
      <c r="O382" s="39" t="n">
        <f aca="false">MIN(O381,'Inputs &amp; Assumptions'!$C$36-O371)</f>
        <v>0</v>
      </c>
      <c r="P382" s="39" t="n">
        <f aca="false">MIN(P381,'Inputs &amp; Assumptions'!$C$36-P371)</f>
        <v>0</v>
      </c>
      <c r="Q382" s="39" t="n">
        <f aca="false">MIN(Q381,'Inputs &amp; Assumptions'!$C$36-Q371)</f>
        <v>0</v>
      </c>
      <c r="R382" s="39" t="n">
        <f aca="false">MIN(R381,'Inputs &amp; Assumptions'!$C$36-R371)</f>
        <v>0</v>
      </c>
      <c r="S382" s="39" t="n">
        <f aca="false">MIN(S381,'Inputs &amp; Assumptions'!$C$36-S371)</f>
        <v>0</v>
      </c>
      <c r="T382" s="39" t="n">
        <f aca="false">MIN(T381,'Inputs &amp; Assumptions'!$C$36-T371)</f>
        <v>0</v>
      </c>
      <c r="U382" s="39" t="n">
        <f aca="false">MIN(U381,'Inputs &amp; Assumptions'!$C$36-U371)</f>
        <v>0</v>
      </c>
      <c r="V382" s="39" t="n">
        <f aca="false">MIN(V381,'Inputs &amp; Assumptions'!$C$36-V371)</f>
        <v>0</v>
      </c>
      <c r="W382" s="39" t="n">
        <f aca="false">MIN(W381,'Inputs &amp; Assumptions'!$C$36-W371)</f>
        <v>0</v>
      </c>
      <c r="X382" s="39" t="n">
        <f aca="false">MIN(X381,'Inputs &amp; Assumptions'!$C$36-X371)</f>
        <v>0</v>
      </c>
      <c r="Y382" s="39" t="n">
        <f aca="false">MIN(Y381,'Inputs &amp; Assumptions'!$C$36-Y371)</f>
        <v>0</v>
      </c>
      <c r="Z382" s="39" t="n">
        <f aca="false">MIN(Z381,'Inputs &amp; Assumptions'!$C$36-Z371)</f>
        <v>0</v>
      </c>
      <c r="AA382" s="39" t="n">
        <f aca="false">MIN(AA381,'Inputs &amp; Assumptions'!$C$36-AA371)</f>
        <v>0</v>
      </c>
      <c r="AB382" s="39" t="n">
        <f aca="false">MIN(AB381,'Inputs &amp; Assumptions'!$C$36-AB371)</f>
        <v>0</v>
      </c>
      <c r="AC382" s="39" t="n">
        <f aca="false">MIN(AC381,'Inputs &amp; Assumptions'!$C$36-AC371)</f>
        <v>0</v>
      </c>
      <c r="AD382" s="39" t="n">
        <f aca="false">MIN(AD381,'Inputs &amp; Assumptions'!$C$36-AD371)</f>
        <v>0</v>
      </c>
      <c r="AE382" s="39" t="n">
        <f aca="false">MIN(AE381,'Inputs &amp; Assumptions'!$C$36-AE371)</f>
        <v>0</v>
      </c>
      <c r="AF382" s="39" t="n">
        <f aca="false">MIN(AF381,'Inputs &amp; Assumptions'!$C$36-AF371)</f>
        <v>0</v>
      </c>
      <c r="AG382" s="39" t="n">
        <f aca="false">MIN(AG381,'Inputs &amp; Assumptions'!$C$36-AG371)</f>
        <v>37500</v>
      </c>
      <c r="AH382" s="39" t="n">
        <f aca="false">MIN(AH381,'Inputs &amp; Assumptions'!$C$36-AH371)</f>
        <v>37500</v>
      </c>
      <c r="AI382" s="39" t="n">
        <f aca="false">MIN(AI381,'Inputs &amp; Assumptions'!$C$36-AI371)</f>
        <v>37500</v>
      </c>
      <c r="AJ382" s="39" t="n">
        <f aca="false">MIN(AJ381,'Inputs &amp; Assumptions'!$C$36-AJ371)</f>
        <v>37500</v>
      </c>
      <c r="AK382" s="39" t="n">
        <f aca="false">MIN(AK381,'Inputs &amp; Assumptions'!$C$36-AK371)</f>
        <v>37500</v>
      </c>
      <c r="AL382" s="39" t="n">
        <f aca="false">MIN(AL381,'Inputs &amp; Assumptions'!$C$36-AL371)</f>
        <v>37500</v>
      </c>
      <c r="AM382" s="39" t="n">
        <f aca="false">MIN(AM381,'Inputs &amp; Assumptions'!$C$36-AM371)</f>
        <v>29623.8928578577</v>
      </c>
      <c r="AN382" s="39" t="n">
        <f aca="false">MIN(AN381,'Inputs &amp; Assumptions'!$C$36-AN371)</f>
        <v>7044.46154409085</v>
      </c>
    </row>
    <row r="383" customFormat="false" ht="15" hidden="false" customHeight="false" outlineLevel="0" collapsed="false">
      <c r="A383" s="5" t="s">
        <v>162</v>
      </c>
      <c r="E383" s="39" t="n">
        <f aca="false">E381-E382</f>
        <v>28103501.2411032</v>
      </c>
      <c r="F383" s="39" t="n">
        <f aca="false">F381-F382</f>
        <v>27835357.6552822</v>
      </c>
      <c r="G383" s="39" t="n">
        <f aca="false">G381-G382</f>
        <v>27459096.4265959</v>
      </c>
      <c r="H383" s="39" t="n">
        <f aca="false">H381-H382</f>
        <v>26992545.3899233</v>
      </c>
      <c r="I383" s="39" t="n">
        <f aca="false">I381-I382</f>
        <v>25494328.8218201</v>
      </c>
      <c r="J383" s="39" t="n">
        <f aca="false">J381-J382</f>
        <v>23621773.6713337</v>
      </c>
      <c r="K383" s="39" t="n">
        <f aca="false">K381-K382</f>
        <v>21900555.3859672</v>
      </c>
      <c r="L383" s="39" t="n">
        <f aca="false">L381-L382</f>
        <v>20319482.4540922</v>
      </c>
      <c r="M383" s="39" t="n">
        <f aca="false">M381-M382</f>
        <v>22077161.1758169</v>
      </c>
      <c r="N383" s="39" t="n">
        <f aca="false">N381-N382</f>
        <v>20583327.4810966</v>
      </c>
      <c r="O383" s="39" t="n">
        <f aca="false">O381-O382</f>
        <v>19162416.4005621</v>
      </c>
      <c r="P383" s="39" t="n">
        <f aca="false">P381-P382</f>
        <v>17828580.180124</v>
      </c>
      <c r="Q383" s="39" t="n">
        <f aca="false">Q381-Q382</f>
        <v>16533094.882904</v>
      </c>
      <c r="R383" s="39" t="n">
        <f aca="false">R381-R382</f>
        <v>15308262.8762534</v>
      </c>
      <c r="S383" s="39" t="n">
        <f aca="false">S381-S382</f>
        <v>14158512.5462452</v>
      </c>
      <c r="T383" s="39" t="n">
        <f aca="false">T381-T382</f>
        <v>13090454.4131862</v>
      </c>
      <c r="U383" s="39" t="n">
        <f aca="false">U381-U382</f>
        <v>12123677.1860737</v>
      </c>
      <c r="V383" s="39" t="n">
        <f aca="false">V381-V382</f>
        <v>20452866.3109523</v>
      </c>
      <c r="W383" s="39" t="n">
        <f aca="false">W381-W382</f>
        <v>23051317.3311559</v>
      </c>
      <c r="X383" s="39" t="n">
        <f aca="false">X381-X382</f>
        <v>20925934.0291291</v>
      </c>
      <c r="Y383" s="39" t="n">
        <f aca="false">Y381-Y382</f>
        <v>18969718.9314076</v>
      </c>
      <c r="Z383" s="39" t="n">
        <f aca="false">Z381-Z382</f>
        <v>17181247.0137326</v>
      </c>
      <c r="AA383" s="39" t="n">
        <f aca="false">AA381-AA382</f>
        <v>15530096.3234063</v>
      </c>
      <c r="AB383" s="39" t="n">
        <f aca="false">AB381-AB382</f>
        <v>14010121.9957488</v>
      </c>
      <c r="AC383" s="39" t="n">
        <f aca="false">AC381-AC382</f>
        <v>12669381.3747872</v>
      </c>
      <c r="AD383" s="39" t="n">
        <f aca="false">AD381-AD382</f>
        <v>11441701.2560926</v>
      </c>
      <c r="AE383" s="39" t="n">
        <f aca="false">AE381-AE382</f>
        <v>10291140.9252803</v>
      </c>
      <c r="AF383" s="39" t="n">
        <f aca="false">AF381-AF382</f>
        <v>3412921.99038819</v>
      </c>
      <c r="AG383" s="39" t="n">
        <f aca="false">AG381-AG382</f>
        <v>221163.515002536</v>
      </c>
      <c r="AH383" s="39" t="n">
        <f aca="false">AH381-AH382</f>
        <v>168710.735716333</v>
      </c>
      <c r="AI383" s="39" t="n">
        <f aca="false">AI381-AI382</f>
        <v>121402.106678059</v>
      </c>
      <c r="AJ383" s="39" t="n">
        <f aca="false">AJ381-AJ382</f>
        <v>78817.176609711</v>
      </c>
      <c r="AK383" s="39" t="n">
        <f aca="false">AK381-AK382</f>
        <v>45259.717464769</v>
      </c>
      <c r="AL383" s="39" t="n">
        <f aca="false">AL381-AL382</f>
        <v>17286.7647711143</v>
      </c>
      <c r="AM383" s="39" t="n">
        <f aca="false">AM381-AM382</f>
        <v>0</v>
      </c>
      <c r="AN383" s="39" t="n">
        <f aca="false">AN381-AN382</f>
        <v>0</v>
      </c>
    </row>
    <row r="384" customFormat="false" ht="15" hidden="false" customHeight="false" outlineLevel="0" collapsed="false">
      <c r="A384" s="5" t="s">
        <v>163</v>
      </c>
      <c r="E384" s="39" t="n">
        <f aca="false">MIN(E383,E375)</f>
        <v>0</v>
      </c>
      <c r="F384" s="39" t="n">
        <f aca="false">MIN(F383,F375)</f>
        <v>0</v>
      </c>
      <c r="G384" s="39" t="n">
        <f aca="false">MIN(G383,G375)</f>
        <v>0</v>
      </c>
      <c r="H384" s="39" t="n">
        <f aca="false">MIN(H383,H375)</f>
        <v>0</v>
      </c>
      <c r="I384" s="39" t="n">
        <f aca="false">MIN(I383,I375)</f>
        <v>0</v>
      </c>
      <c r="J384" s="39" t="n">
        <f aca="false">MIN(J383,J375)</f>
        <v>0</v>
      </c>
      <c r="K384" s="39" t="n">
        <f aca="false">MIN(K383,K375)</f>
        <v>0</v>
      </c>
      <c r="L384" s="39" t="n">
        <f aca="false">MIN(L383,L375)</f>
        <v>0</v>
      </c>
      <c r="M384" s="39" t="n">
        <f aca="false">MIN(M383,M375)</f>
        <v>0</v>
      </c>
      <c r="N384" s="39" t="n">
        <f aca="false">MIN(N383,N375)</f>
        <v>0</v>
      </c>
      <c r="O384" s="39" t="n">
        <f aca="false">MIN(O383,O375)</f>
        <v>0</v>
      </c>
      <c r="P384" s="39" t="n">
        <f aca="false">MIN(P383,P375)</f>
        <v>0</v>
      </c>
      <c r="Q384" s="39" t="n">
        <f aca="false">MIN(Q383,Q375)</f>
        <v>0</v>
      </c>
      <c r="R384" s="39" t="n">
        <f aca="false">MIN(R383,R375)</f>
        <v>0</v>
      </c>
      <c r="S384" s="39" t="n">
        <f aca="false">MIN(S383,S375)</f>
        <v>0</v>
      </c>
      <c r="T384" s="39" t="n">
        <f aca="false">MIN(T383,T375)</f>
        <v>0</v>
      </c>
      <c r="U384" s="39" t="n">
        <f aca="false">MIN(U383,U375)</f>
        <v>0</v>
      </c>
      <c r="V384" s="39" t="n">
        <f aca="false">MIN(V383,V375)</f>
        <v>0</v>
      </c>
      <c r="W384" s="39" t="n">
        <f aca="false">MIN(W383,W375)</f>
        <v>0</v>
      </c>
      <c r="X384" s="39" t="n">
        <f aca="false">MIN(X383,X375)</f>
        <v>0</v>
      </c>
      <c r="Y384" s="39" t="n">
        <f aca="false">MIN(Y383,Y375)</f>
        <v>0</v>
      </c>
      <c r="Z384" s="39" t="n">
        <f aca="false">MIN(Z383,Z375)</f>
        <v>0</v>
      </c>
      <c r="AA384" s="39" t="n">
        <f aca="false">MIN(AA383,AA375)</f>
        <v>0</v>
      </c>
      <c r="AB384" s="39" t="n">
        <f aca="false">MIN(AB383,AB375)</f>
        <v>0</v>
      </c>
      <c r="AC384" s="39" t="n">
        <f aca="false">MIN(AC383,AC375)</f>
        <v>0</v>
      </c>
      <c r="AD384" s="39" t="n">
        <f aca="false">MIN(AD383,AD375)</f>
        <v>0</v>
      </c>
      <c r="AE384" s="39" t="n">
        <f aca="false">MIN(AE383,AE375)</f>
        <v>0</v>
      </c>
      <c r="AF384" s="39" t="n">
        <f aca="false">MIN(AF383,AF375)</f>
        <v>0</v>
      </c>
      <c r="AG384" s="39" t="n">
        <f aca="false">MIN(AG383,AG375)</f>
        <v>0</v>
      </c>
      <c r="AH384" s="39" t="n">
        <f aca="false">MIN(AH383,AH375)</f>
        <v>0</v>
      </c>
      <c r="AI384" s="39" t="n">
        <f aca="false">MIN(AI383,AI375)</f>
        <v>0</v>
      </c>
      <c r="AJ384" s="39" t="n">
        <f aca="false">MIN(AJ383,AJ375)</f>
        <v>0</v>
      </c>
      <c r="AK384" s="39" t="n">
        <f aca="false">MIN(AK383,AK375)</f>
        <v>0</v>
      </c>
      <c r="AL384" s="39" t="n">
        <f aca="false">MIN(AL383,AL375)</f>
        <v>0</v>
      </c>
      <c r="AM384" s="39" t="n">
        <f aca="false">MIN(AM383,AM375)</f>
        <v>0</v>
      </c>
      <c r="AN384" s="39" t="n">
        <f aca="false">MIN(AN383,AN375)</f>
        <v>0</v>
      </c>
    </row>
    <row r="385" customFormat="false" ht="15" hidden="false" customHeight="false" outlineLevel="0" collapsed="false">
      <c r="A385" s="5" t="s">
        <v>164</v>
      </c>
      <c r="E385" s="39" t="n">
        <f aca="false">E383-E384</f>
        <v>28103501.2411032</v>
      </c>
      <c r="F385" s="39" t="n">
        <f aca="false">F383-F384</f>
        <v>27835357.6552822</v>
      </c>
      <c r="G385" s="39" t="n">
        <f aca="false">G383-G384</f>
        <v>27459096.4265959</v>
      </c>
      <c r="H385" s="39" t="n">
        <f aca="false">H383-H384</f>
        <v>26992545.3899233</v>
      </c>
      <c r="I385" s="39" t="n">
        <f aca="false">I383-I384</f>
        <v>25494328.8218201</v>
      </c>
      <c r="J385" s="39" t="n">
        <f aca="false">J383-J384</f>
        <v>23621773.6713337</v>
      </c>
      <c r="K385" s="39" t="n">
        <f aca="false">K383-K384</f>
        <v>21900555.3859672</v>
      </c>
      <c r="L385" s="39" t="n">
        <f aca="false">L383-L384</f>
        <v>20319482.4540922</v>
      </c>
      <c r="M385" s="39" t="n">
        <f aca="false">M383-M384</f>
        <v>22077161.1758169</v>
      </c>
      <c r="N385" s="39" t="n">
        <f aca="false">N383-N384</f>
        <v>20583327.4810966</v>
      </c>
      <c r="O385" s="39" t="n">
        <f aca="false">O383-O384</f>
        <v>19162416.4005621</v>
      </c>
      <c r="P385" s="39" t="n">
        <f aca="false">P383-P384</f>
        <v>17828580.180124</v>
      </c>
      <c r="Q385" s="39" t="n">
        <f aca="false">Q383-Q384</f>
        <v>16533094.882904</v>
      </c>
      <c r="R385" s="39" t="n">
        <f aca="false">R383-R384</f>
        <v>15308262.8762534</v>
      </c>
      <c r="S385" s="39" t="n">
        <f aca="false">S383-S384</f>
        <v>14158512.5462452</v>
      </c>
      <c r="T385" s="39" t="n">
        <f aca="false">T383-T384</f>
        <v>13090454.4131862</v>
      </c>
      <c r="U385" s="39" t="n">
        <f aca="false">U383-U384</f>
        <v>12123677.1860737</v>
      </c>
      <c r="V385" s="39" t="n">
        <f aca="false">V383-V384</f>
        <v>20452866.3109523</v>
      </c>
      <c r="W385" s="39" t="n">
        <f aca="false">W383-W384</f>
        <v>23051317.3311559</v>
      </c>
      <c r="X385" s="39" t="n">
        <f aca="false">X383-X384</f>
        <v>20925934.0291291</v>
      </c>
      <c r="Y385" s="39" t="n">
        <f aca="false">Y383-Y384</f>
        <v>18969718.9314076</v>
      </c>
      <c r="Z385" s="39" t="n">
        <f aca="false">Z383-Z384</f>
        <v>17181247.0137326</v>
      </c>
      <c r="AA385" s="39" t="n">
        <f aca="false">AA383-AA384</f>
        <v>15530096.3234063</v>
      </c>
      <c r="AB385" s="39" t="n">
        <f aca="false">AB383-AB384</f>
        <v>14010121.9957488</v>
      </c>
      <c r="AC385" s="39" t="n">
        <f aca="false">AC383-AC384</f>
        <v>12669381.3747872</v>
      </c>
      <c r="AD385" s="39" t="n">
        <f aca="false">AD383-AD384</f>
        <v>11441701.2560926</v>
      </c>
      <c r="AE385" s="39" t="n">
        <f aca="false">AE383-AE384</f>
        <v>10291140.9252803</v>
      </c>
      <c r="AF385" s="39" t="n">
        <f aca="false">AF383-AF384</f>
        <v>3412921.99038819</v>
      </c>
      <c r="AG385" s="39" t="n">
        <f aca="false">AG383-AG384</f>
        <v>221163.515002536</v>
      </c>
      <c r="AH385" s="39" t="n">
        <f aca="false">AH383-AH384</f>
        <v>168710.735716333</v>
      </c>
      <c r="AI385" s="39" t="n">
        <f aca="false">AI383-AI384</f>
        <v>121402.106678059</v>
      </c>
      <c r="AJ385" s="39" t="n">
        <f aca="false">AJ383-AJ384</f>
        <v>78817.176609711</v>
      </c>
      <c r="AK385" s="39" t="n">
        <f aca="false">AK383-AK384</f>
        <v>45259.717464769</v>
      </c>
      <c r="AL385" s="39" t="n">
        <f aca="false">AL383-AL384</f>
        <v>17286.7647711143</v>
      </c>
      <c r="AM385" s="39" t="n">
        <f aca="false">AM383-AM384</f>
        <v>0</v>
      </c>
      <c r="AN385" s="39" t="n">
        <f aca="false">AN383-AN384</f>
        <v>0</v>
      </c>
    </row>
    <row r="386" customFormat="false" ht="15" hidden="false" customHeight="false" outlineLevel="0" collapsed="false">
      <c r="A386" s="5" t="s">
        <v>165</v>
      </c>
      <c r="E386" s="39" t="n">
        <f aca="false">MIN(E385,E377-E378)</f>
        <v>0</v>
      </c>
      <c r="F386" s="39" t="n">
        <f aca="false">MIN(F385,F377-F378)</f>
        <v>0</v>
      </c>
      <c r="G386" s="39" t="n">
        <f aca="false">MIN(G385,G377-G378)</f>
        <v>0</v>
      </c>
      <c r="H386" s="39" t="n">
        <f aca="false">MIN(H385,H377-H378)</f>
        <v>0</v>
      </c>
      <c r="I386" s="39" t="n">
        <f aca="false">MIN(I385,I377-I378)</f>
        <v>0</v>
      </c>
      <c r="J386" s="39" t="n">
        <f aca="false">MIN(J385,J377-J378)</f>
        <v>0</v>
      </c>
      <c r="K386" s="39" t="n">
        <f aca="false">MIN(K385,K377-K378)</f>
        <v>0</v>
      </c>
      <c r="L386" s="39" t="n">
        <f aca="false">MIN(L385,L377-L378)</f>
        <v>0</v>
      </c>
      <c r="M386" s="39" t="n">
        <f aca="false">MIN(M385,M377-M378)</f>
        <v>0</v>
      </c>
      <c r="N386" s="39" t="n">
        <f aca="false">MIN(N385,N377-N378)</f>
        <v>0</v>
      </c>
      <c r="O386" s="39" t="n">
        <f aca="false">MIN(O385,O377-O378)</f>
        <v>0</v>
      </c>
      <c r="P386" s="39" t="n">
        <f aca="false">MIN(P385,P377-P378)</f>
        <v>0</v>
      </c>
      <c r="Q386" s="39" t="n">
        <f aca="false">MIN(Q385,Q377-Q378)</f>
        <v>0</v>
      </c>
      <c r="R386" s="39" t="n">
        <f aca="false">MIN(R385,R377-R378)</f>
        <v>0</v>
      </c>
      <c r="S386" s="39" t="n">
        <f aca="false">MIN(S385,S377-S378)</f>
        <v>0</v>
      </c>
      <c r="T386" s="39" t="n">
        <f aca="false">MIN(T385,T377-T378)</f>
        <v>0</v>
      </c>
      <c r="U386" s="39" t="n">
        <f aca="false">MIN(U385,U377-U378)</f>
        <v>0</v>
      </c>
      <c r="V386" s="39" t="n">
        <f aca="false">MIN(V385,V377-V378)</f>
        <v>0</v>
      </c>
      <c r="W386" s="39" t="n">
        <f aca="false">MIN(W385,W377-W378)</f>
        <v>0</v>
      </c>
      <c r="X386" s="39" t="n">
        <f aca="false">MIN(X385,X377-X378)</f>
        <v>0</v>
      </c>
      <c r="Y386" s="39" t="n">
        <f aca="false">MIN(Y385,Y377-Y378)</f>
        <v>0</v>
      </c>
      <c r="Z386" s="39" t="n">
        <f aca="false">MIN(Z385,Z377-Z378)</f>
        <v>0</v>
      </c>
      <c r="AA386" s="39" t="n">
        <f aca="false">MIN(AA385,AA377-AA378)</f>
        <v>0</v>
      </c>
      <c r="AB386" s="39" t="n">
        <f aca="false">MIN(AB385,AB377-AB378)</f>
        <v>0</v>
      </c>
      <c r="AC386" s="39" t="n">
        <f aca="false">MIN(AC385,AC377-AC378)</f>
        <v>0</v>
      </c>
      <c r="AD386" s="39" t="n">
        <f aca="false">MIN(AD385,AD377-AD378)</f>
        <v>0</v>
      </c>
      <c r="AE386" s="39" t="n">
        <f aca="false">MIN(AE385,AE377-AE378)</f>
        <v>0</v>
      </c>
      <c r="AF386" s="39" t="n">
        <f aca="false">MIN(AF385,AF377-AF378)</f>
        <v>0</v>
      </c>
      <c r="AG386" s="39" t="n">
        <f aca="false">MIN(AG385,AG377-AG378)</f>
        <v>0</v>
      </c>
      <c r="AH386" s="39" t="n">
        <f aca="false">MIN(AH385,AH377-AH378)</f>
        <v>0</v>
      </c>
      <c r="AI386" s="39" t="n">
        <f aca="false">MIN(AI385,AI377-AI378)</f>
        <v>0</v>
      </c>
      <c r="AJ386" s="39" t="n">
        <f aca="false">MIN(AJ385,AJ377-AJ378)</f>
        <v>0</v>
      </c>
      <c r="AK386" s="39" t="n">
        <f aca="false">MIN(AK385,AK377-AK378)</f>
        <v>0</v>
      </c>
      <c r="AL386" s="39" t="n">
        <f aca="false">MIN(AL385,AL377-AL378)</f>
        <v>0</v>
      </c>
      <c r="AM386" s="39" t="n">
        <f aca="false">MIN(AM385,AM377-AM378)</f>
        <v>0</v>
      </c>
      <c r="AN386" s="39" t="n">
        <f aca="false">MIN(AN385,AN377-AN378)</f>
        <v>0</v>
      </c>
    </row>
    <row r="387" customFormat="false" ht="15" hidden="false" customHeight="false" outlineLevel="0" collapsed="false">
      <c r="A387" s="5" t="s">
        <v>166</v>
      </c>
      <c r="E387" s="39" t="n">
        <f aca="false">E385-E386</f>
        <v>28103501.2411032</v>
      </c>
      <c r="F387" s="39" t="n">
        <f aca="false">F385-F386</f>
        <v>27835357.6552822</v>
      </c>
      <c r="G387" s="39" t="n">
        <f aca="false">G385-G386</f>
        <v>27459096.4265959</v>
      </c>
      <c r="H387" s="39" t="n">
        <f aca="false">H385-H386</f>
        <v>26992545.3899233</v>
      </c>
      <c r="I387" s="39" t="n">
        <f aca="false">I385-I386</f>
        <v>25494328.8218201</v>
      </c>
      <c r="J387" s="39" t="n">
        <f aca="false">J385-J386</f>
        <v>23621773.6713337</v>
      </c>
      <c r="K387" s="39" t="n">
        <f aca="false">K385-K386</f>
        <v>21900555.3859672</v>
      </c>
      <c r="L387" s="39" t="n">
        <f aca="false">L385-L386</f>
        <v>20319482.4540922</v>
      </c>
      <c r="M387" s="39" t="n">
        <f aca="false">M385-M386</f>
        <v>22077161.1758169</v>
      </c>
      <c r="N387" s="39" t="n">
        <f aca="false">N385-N386</f>
        <v>20583327.4810966</v>
      </c>
      <c r="O387" s="39" t="n">
        <f aca="false">O385-O386</f>
        <v>19162416.4005621</v>
      </c>
      <c r="P387" s="39" t="n">
        <f aca="false">P385-P386</f>
        <v>17828580.180124</v>
      </c>
      <c r="Q387" s="39" t="n">
        <f aca="false">Q385-Q386</f>
        <v>16533094.882904</v>
      </c>
      <c r="R387" s="39" t="n">
        <f aca="false">R385-R386</f>
        <v>15308262.8762534</v>
      </c>
      <c r="S387" s="39" t="n">
        <f aca="false">S385-S386</f>
        <v>14158512.5462452</v>
      </c>
      <c r="T387" s="39" t="n">
        <f aca="false">T385-T386</f>
        <v>13090454.4131862</v>
      </c>
      <c r="U387" s="39" t="n">
        <f aca="false">U385-U386</f>
        <v>12123677.1860737</v>
      </c>
      <c r="V387" s="39" t="n">
        <f aca="false">V385-V386</f>
        <v>20452866.3109523</v>
      </c>
      <c r="W387" s="39" t="n">
        <f aca="false">W385-W386</f>
        <v>23051317.3311559</v>
      </c>
      <c r="X387" s="39" t="n">
        <f aca="false">X385-X386</f>
        <v>20925934.0291291</v>
      </c>
      <c r="Y387" s="39" t="n">
        <f aca="false">Y385-Y386</f>
        <v>18969718.9314076</v>
      </c>
      <c r="Z387" s="39" t="n">
        <f aca="false">Z385-Z386</f>
        <v>17181247.0137326</v>
      </c>
      <c r="AA387" s="39" t="n">
        <f aca="false">AA385-AA386</f>
        <v>15530096.3234063</v>
      </c>
      <c r="AB387" s="39" t="n">
        <f aca="false">AB385-AB386</f>
        <v>14010121.9957488</v>
      </c>
      <c r="AC387" s="39" t="n">
        <f aca="false">AC385-AC386</f>
        <v>12669381.3747872</v>
      </c>
      <c r="AD387" s="39" t="n">
        <f aca="false">AD385-AD386</f>
        <v>11441701.2560926</v>
      </c>
      <c r="AE387" s="39" t="n">
        <f aca="false">AE385-AE386</f>
        <v>10291140.9252803</v>
      </c>
      <c r="AF387" s="39" t="n">
        <f aca="false">AF385-AF386</f>
        <v>3412921.99038819</v>
      </c>
      <c r="AG387" s="39" t="n">
        <f aca="false">AG385-AG386</f>
        <v>221163.515002536</v>
      </c>
      <c r="AH387" s="39" t="n">
        <f aca="false">AH385-AH386</f>
        <v>168710.735716333</v>
      </c>
      <c r="AI387" s="39" t="n">
        <f aca="false">AI385-AI386</f>
        <v>121402.106678059</v>
      </c>
      <c r="AJ387" s="39" t="n">
        <f aca="false">AJ385-AJ386</f>
        <v>78817.176609711</v>
      </c>
      <c r="AK387" s="39" t="n">
        <f aca="false">AK385-AK386</f>
        <v>45259.717464769</v>
      </c>
      <c r="AL387" s="39" t="n">
        <f aca="false">AL385-AL386</f>
        <v>17286.7647711143</v>
      </c>
      <c r="AM387" s="39" t="n">
        <f aca="false">AM385-AM386</f>
        <v>0</v>
      </c>
      <c r="AN387" s="39" t="n">
        <f aca="false">AN385-AN386</f>
        <v>0</v>
      </c>
    </row>
    <row r="388" customFormat="false" ht="15" hidden="false" customHeight="false" outlineLevel="0" collapsed="false">
      <c r="A388" s="5" t="s">
        <v>167</v>
      </c>
      <c r="E388" s="18" t="n">
        <f aca="false">IF('Scenario Analysis'!E360&gt;=20,'Inputs &amp; Assumptions'!$C$37,IF('Scenario Analysis'!E360&gt;=10,'Inputs &amp; Assumptions'!$C$38,'Inputs &amp; Assumptions'!$C$39))</f>
        <v>0.7</v>
      </c>
      <c r="F388" s="18" t="n">
        <f aca="false">IF('Scenario Analysis'!F360&gt;=20,'Inputs &amp; Assumptions'!$C$37,IF('Scenario Analysis'!F360&gt;=10,'Inputs &amp; Assumptions'!$C$38,'Inputs &amp; Assumptions'!$C$39))</f>
        <v>0.7</v>
      </c>
      <c r="G388" s="18" t="n">
        <f aca="false">IF('Scenario Analysis'!G360&gt;=20,'Inputs &amp; Assumptions'!$C$37,IF('Scenario Analysis'!G360&gt;=10,'Inputs &amp; Assumptions'!$C$38,'Inputs &amp; Assumptions'!$C$39))</f>
        <v>0.7</v>
      </c>
      <c r="H388" s="18" t="n">
        <f aca="false">IF('Scenario Analysis'!H360&gt;=20,'Inputs &amp; Assumptions'!$C$37,IF('Scenario Analysis'!H360&gt;=10,'Inputs &amp; Assumptions'!$C$38,'Inputs &amp; Assumptions'!$C$39))</f>
        <v>0.7</v>
      </c>
      <c r="I388" s="18" t="n">
        <f aca="false">IF('Scenario Analysis'!I360&gt;=20,'Inputs &amp; Assumptions'!$C$37,IF('Scenario Analysis'!I360&gt;=10,'Inputs &amp; Assumptions'!$C$38,'Inputs &amp; Assumptions'!$C$39))</f>
        <v>0.7</v>
      </c>
      <c r="J388" s="18" t="n">
        <f aca="false">IF('Scenario Analysis'!J360&gt;=20,'Inputs &amp; Assumptions'!$C$37,IF('Scenario Analysis'!J360&gt;=10,'Inputs &amp; Assumptions'!$C$38,'Inputs &amp; Assumptions'!$C$39))</f>
        <v>0.7</v>
      </c>
      <c r="K388" s="18" t="n">
        <f aca="false">IF('Scenario Analysis'!K360&gt;=20,'Inputs &amp; Assumptions'!$C$37,IF('Scenario Analysis'!K360&gt;=10,'Inputs &amp; Assumptions'!$C$38,'Inputs &amp; Assumptions'!$C$39))</f>
        <v>0.7</v>
      </c>
      <c r="L388" s="18" t="n">
        <f aca="false">IF('Scenario Analysis'!L360&gt;=20,'Inputs &amp; Assumptions'!$C$37,IF('Scenario Analysis'!L360&gt;=10,'Inputs &amp; Assumptions'!$C$38,'Inputs &amp; Assumptions'!$C$39))</f>
        <v>0.7</v>
      </c>
      <c r="M388" s="18" t="n">
        <f aca="false">IF('Scenario Analysis'!M360&gt;=20,'Inputs &amp; Assumptions'!$C$37,IF('Scenario Analysis'!M360&gt;=10,'Inputs &amp; Assumptions'!$C$38,'Inputs &amp; Assumptions'!$C$39))</f>
        <v>0.7</v>
      </c>
      <c r="N388" s="18" t="n">
        <f aca="false">IF('Scenario Analysis'!N360&gt;=20,'Inputs &amp; Assumptions'!$C$37,IF('Scenario Analysis'!N360&gt;=10,'Inputs &amp; Assumptions'!$C$38,'Inputs &amp; Assumptions'!$C$39))</f>
        <v>0.7</v>
      </c>
      <c r="O388" s="18" t="n">
        <f aca="false">IF('Scenario Analysis'!O360&gt;=20,'Inputs &amp; Assumptions'!$C$37,IF('Scenario Analysis'!O360&gt;=10,'Inputs &amp; Assumptions'!$C$38,'Inputs &amp; Assumptions'!$C$39))</f>
        <v>0.7</v>
      </c>
      <c r="P388" s="18" t="n">
        <f aca="false">IF('Scenario Analysis'!P360&gt;=20,'Inputs &amp; Assumptions'!$C$37,IF('Scenario Analysis'!P360&gt;=10,'Inputs &amp; Assumptions'!$C$38,'Inputs &amp; Assumptions'!$C$39))</f>
        <v>0.7</v>
      </c>
      <c r="Q388" s="18" t="n">
        <f aca="false">IF('Scenario Analysis'!Q360&gt;=20,'Inputs &amp; Assumptions'!$C$37,IF('Scenario Analysis'!Q360&gt;=10,'Inputs &amp; Assumptions'!$C$38,'Inputs &amp; Assumptions'!$C$39))</f>
        <v>0.7</v>
      </c>
      <c r="R388" s="18" t="n">
        <f aca="false">IF('Scenario Analysis'!R360&gt;=20,'Inputs &amp; Assumptions'!$C$37,IF('Scenario Analysis'!R360&gt;=10,'Inputs &amp; Assumptions'!$C$38,'Inputs &amp; Assumptions'!$C$39))</f>
        <v>0.7</v>
      </c>
      <c r="S388" s="18" t="n">
        <f aca="false">IF('Scenario Analysis'!S360&gt;=20,'Inputs &amp; Assumptions'!$C$37,IF('Scenario Analysis'!S360&gt;=10,'Inputs &amp; Assumptions'!$C$38,'Inputs &amp; Assumptions'!$C$39))</f>
        <v>0.7</v>
      </c>
      <c r="T388" s="18" t="n">
        <f aca="false">IF('Scenario Analysis'!T360&gt;=20,'Inputs &amp; Assumptions'!$C$37,IF('Scenario Analysis'!T360&gt;=10,'Inputs &amp; Assumptions'!$C$38,'Inputs &amp; Assumptions'!$C$39))</f>
        <v>0.7</v>
      </c>
      <c r="U388" s="18" t="n">
        <f aca="false">IF('Scenario Analysis'!U360&gt;=20,'Inputs &amp; Assumptions'!$C$37,IF('Scenario Analysis'!U360&gt;=10,'Inputs &amp; Assumptions'!$C$38,'Inputs &amp; Assumptions'!$C$39))</f>
        <v>0.7</v>
      </c>
      <c r="V388" s="18" t="n">
        <f aca="false">IF('Scenario Analysis'!V360&gt;=20,'Inputs &amp; Assumptions'!$C$37,IF('Scenario Analysis'!V360&gt;=10,'Inputs &amp; Assumptions'!$C$38,'Inputs &amp; Assumptions'!$C$39))</f>
        <v>0.7</v>
      </c>
      <c r="W388" s="18" t="n">
        <f aca="false">IF('Scenario Analysis'!W360&gt;=20,'Inputs &amp; Assumptions'!$C$37,IF('Scenario Analysis'!W360&gt;=10,'Inputs &amp; Assumptions'!$C$38,'Inputs &amp; Assumptions'!$C$39))</f>
        <v>0.7</v>
      </c>
      <c r="X388" s="18" t="n">
        <f aca="false">IF('Scenario Analysis'!X360&gt;=20,'Inputs &amp; Assumptions'!$C$37,IF('Scenario Analysis'!X360&gt;=10,'Inputs &amp; Assumptions'!$C$38,'Inputs &amp; Assumptions'!$C$39))</f>
        <v>0.7</v>
      </c>
      <c r="Y388" s="18" t="n">
        <f aca="false">IF('Scenario Analysis'!Y360&gt;=20,'Inputs &amp; Assumptions'!$C$37,IF('Scenario Analysis'!Y360&gt;=10,'Inputs &amp; Assumptions'!$C$38,'Inputs &amp; Assumptions'!$C$39))</f>
        <v>0.7</v>
      </c>
      <c r="Z388" s="18" t="n">
        <f aca="false">IF('Scenario Analysis'!Z360&gt;=20,'Inputs &amp; Assumptions'!$C$37,IF('Scenario Analysis'!Z360&gt;=10,'Inputs &amp; Assumptions'!$C$38,'Inputs &amp; Assumptions'!$C$39))</f>
        <v>0.8</v>
      </c>
      <c r="AA388" s="18" t="n">
        <f aca="false">IF('Scenario Analysis'!AA360&gt;=20,'Inputs &amp; Assumptions'!$C$37,IF('Scenario Analysis'!AA360&gt;=10,'Inputs &amp; Assumptions'!$C$38,'Inputs &amp; Assumptions'!$C$39))</f>
        <v>0.8</v>
      </c>
      <c r="AB388" s="18" t="n">
        <f aca="false">IF('Scenario Analysis'!AB360&gt;=20,'Inputs &amp; Assumptions'!$C$37,IF('Scenario Analysis'!AB360&gt;=10,'Inputs &amp; Assumptions'!$C$38,'Inputs &amp; Assumptions'!$C$39))</f>
        <v>0.8</v>
      </c>
      <c r="AC388" s="18" t="n">
        <f aca="false">IF('Scenario Analysis'!AC360&gt;=20,'Inputs &amp; Assumptions'!$C$37,IF('Scenario Analysis'!AC360&gt;=10,'Inputs &amp; Assumptions'!$C$38,'Inputs &amp; Assumptions'!$C$39))</f>
        <v>0.8</v>
      </c>
      <c r="AD388" s="18" t="n">
        <f aca="false">IF('Scenario Analysis'!AD360&gt;=20,'Inputs &amp; Assumptions'!$C$37,IF('Scenario Analysis'!AD360&gt;=10,'Inputs &amp; Assumptions'!$C$38,'Inputs &amp; Assumptions'!$C$39))</f>
        <v>1</v>
      </c>
      <c r="AE388" s="18" t="n">
        <f aca="false">IF('Scenario Analysis'!AE360&gt;=20,'Inputs &amp; Assumptions'!$C$37,IF('Scenario Analysis'!AE360&gt;=10,'Inputs &amp; Assumptions'!$C$38,'Inputs &amp; Assumptions'!$C$39))</f>
        <v>1</v>
      </c>
      <c r="AF388" s="18" t="n">
        <f aca="false">IF('Scenario Analysis'!AF360&gt;=20,'Inputs &amp; Assumptions'!$C$37,IF('Scenario Analysis'!AF360&gt;=10,'Inputs &amp; Assumptions'!$C$38,'Inputs &amp; Assumptions'!$C$39))</f>
        <v>1</v>
      </c>
      <c r="AG388" s="18" t="n">
        <f aca="false">IF('Scenario Analysis'!AG360&gt;=20,'Inputs &amp; Assumptions'!$C$37,IF('Scenario Analysis'!AG360&gt;=10,'Inputs &amp; Assumptions'!$C$38,'Inputs &amp; Assumptions'!$C$39))</f>
        <v>1</v>
      </c>
      <c r="AH388" s="18" t="n">
        <f aca="false">IF('Scenario Analysis'!AH360&gt;=20,'Inputs &amp; Assumptions'!$C$37,IF('Scenario Analysis'!AH360&gt;=10,'Inputs &amp; Assumptions'!$C$38,'Inputs &amp; Assumptions'!$C$39))</f>
        <v>1</v>
      </c>
      <c r="AI388" s="18" t="n">
        <f aca="false">IF('Scenario Analysis'!AI360&gt;=20,'Inputs &amp; Assumptions'!$C$37,IF('Scenario Analysis'!AI360&gt;=10,'Inputs &amp; Assumptions'!$C$38,'Inputs &amp; Assumptions'!$C$39))</f>
        <v>1</v>
      </c>
      <c r="AJ388" s="18" t="n">
        <f aca="false">IF('Scenario Analysis'!AJ360&gt;=20,'Inputs &amp; Assumptions'!$C$37,IF('Scenario Analysis'!AJ360&gt;=10,'Inputs &amp; Assumptions'!$C$38,'Inputs &amp; Assumptions'!$C$39))</f>
        <v>1</v>
      </c>
      <c r="AK388" s="18" t="n">
        <f aca="false">IF('Scenario Analysis'!AK360&gt;=20,'Inputs &amp; Assumptions'!$C$37,IF('Scenario Analysis'!AK360&gt;=10,'Inputs &amp; Assumptions'!$C$38,'Inputs &amp; Assumptions'!$C$39))</f>
        <v>1</v>
      </c>
      <c r="AL388" s="18" t="n">
        <f aca="false">IF('Scenario Analysis'!AL360&gt;=20,'Inputs &amp; Assumptions'!$C$37,IF('Scenario Analysis'!AL360&gt;=10,'Inputs &amp; Assumptions'!$C$38,'Inputs &amp; Assumptions'!$C$39))</f>
        <v>1</v>
      </c>
      <c r="AM388" s="18" t="n">
        <f aca="false">IF('Scenario Analysis'!AM360&gt;=20,'Inputs &amp; Assumptions'!$C$37,IF('Scenario Analysis'!AM360&gt;=10,'Inputs &amp; Assumptions'!$C$38,'Inputs &amp; Assumptions'!$C$39))</f>
        <v>1</v>
      </c>
      <c r="AN388" s="18" t="n">
        <f aca="false">IF('Scenario Analysis'!AN360&gt;=20,'Inputs &amp; Assumptions'!$C$37,IF('Scenario Analysis'!AN360&gt;=10,'Inputs &amp; Assumptions'!$C$38,'Inputs &amp; Assumptions'!$C$39))</f>
        <v>1</v>
      </c>
    </row>
    <row r="389" customFormat="false" ht="15" hidden="false" customHeight="false" outlineLevel="0" collapsed="false">
      <c r="A389" s="5" t="s">
        <v>168</v>
      </c>
      <c r="E389" s="39" t="n">
        <f aca="false">E367-E378-E386</f>
        <v>340424922.203496</v>
      </c>
      <c r="F389" s="39" t="n">
        <f aca="false">F367-F378-F386</f>
        <v>320752471.334724</v>
      </c>
      <c r="G389" s="39" t="n">
        <f aca="false">G367-G378-G386</f>
        <v>301267720.976026</v>
      </c>
      <c r="H389" s="39" t="n">
        <f aca="false">H367-H378-H386</f>
        <v>282046353.477409</v>
      </c>
      <c r="I389" s="39" t="n">
        <f aca="false">I367-I378-I386</f>
        <v>263151571.704463</v>
      </c>
      <c r="J389" s="39" t="n">
        <f aca="false">J367-J378-J386</f>
        <v>245305541.529189</v>
      </c>
      <c r="K389" s="39" t="n">
        <f aca="false">K367-K378-K386</f>
        <v>228770299.959255</v>
      </c>
      <c r="L389" s="39" t="n">
        <f aca="false">L367-L378-L386</f>
        <v>213439911.189078</v>
      </c>
      <c r="M389" s="39" t="n">
        <f aca="false">M367-M378-M386</f>
        <v>199216273.471214</v>
      </c>
      <c r="N389" s="39" t="n">
        <f aca="false">N367-N378-N386</f>
        <v>183762260.648142</v>
      </c>
      <c r="O389" s="39" t="n">
        <f aca="false">O367-O378-O386</f>
        <v>169353931.411374</v>
      </c>
      <c r="P389" s="39" t="n">
        <f aca="false">P367-P378-P386</f>
        <v>155940239.930981</v>
      </c>
      <c r="Q389" s="39" t="n">
        <f aca="false">Q367-Q378-Q386</f>
        <v>143460233.804894</v>
      </c>
      <c r="R389" s="39" t="n">
        <f aca="false">R367-R378-R386</f>
        <v>131887067.386861</v>
      </c>
      <c r="S389" s="39" t="n">
        <f aca="false">S367-S378-S386</f>
        <v>121171283.373484</v>
      </c>
      <c r="T389" s="39" t="n">
        <f aca="false">T367-T378-T386</f>
        <v>111260324.591112</v>
      </c>
      <c r="U389" s="39" t="n">
        <f aca="false">U367-U378-U386</f>
        <v>102097006.501882</v>
      </c>
      <c r="V389" s="39" t="n">
        <f aca="false">V367-V378-V386</f>
        <v>93610432.4716301</v>
      </c>
      <c r="W389" s="39" t="n">
        <f aca="false">W367-W378-W386</f>
        <v>79293426.0539635</v>
      </c>
      <c r="X389" s="39" t="n">
        <f aca="false">X367-X378-X386</f>
        <v>63157503.9221544</v>
      </c>
      <c r="Y389" s="39" t="n">
        <f aca="false">Y367-Y378-Y386</f>
        <v>48509350.1017641</v>
      </c>
      <c r="Z389" s="39" t="n">
        <f aca="false">Z367-Z378-Z386</f>
        <v>35230546.8497787</v>
      </c>
      <c r="AA389" s="39" t="n">
        <f aca="false">AA367-AA378-AA386</f>
        <v>21485549.2387926</v>
      </c>
      <c r="AB389" s="39" t="n">
        <f aca="false">AB367-AB378-AB386</f>
        <v>9061472.18006759</v>
      </c>
      <c r="AC389" s="39" t="n">
        <f aca="false">AC367-AC378-AC386</f>
        <v>0</v>
      </c>
      <c r="AD389" s="39" t="n">
        <f aca="false">AD367-AD378-AD386</f>
        <v>0</v>
      </c>
      <c r="AE389" s="39" t="n">
        <f aca="false">AE367-AE378-AE386</f>
        <v>0</v>
      </c>
      <c r="AF389" s="39" t="n">
        <f aca="false">AF367-AF378-AF386</f>
        <v>0</v>
      </c>
      <c r="AG389" s="39" t="n">
        <f aca="false">AG367-AG378-AG386</f>
        <v>0</v>
      </c>
      <c r="AH389" s="39" t="n">
        <f aca="false">AH367-AH378-AH386</f>
        <v>0</v>
      </c>
      <c r="AI389" s="39" t="n">
        <f aca="false">AI367-AI378-AI386</f>
        <v>0</v>
      </c>
      <c r="AJ389" s="39" t="n">
        <f aca="false">AJ367-AJ378-AJ386</f>
        <v>0</v>
      </c>
      <c r="AK389" s="39" t="n">
        <f aca="false">AK367-AK378-AK386</f>
        <v>0</v>
      </c>
      <c r="AL389" s="39" t="n">
        <f aca="false">AL367-AL378-AL386</f>
        <v>0</v>
      </c>
      <c r="AM389" s="39" t="n">
        <f aca="false">AM367-AM378-AM386</f>
        <v>0</v>
      </c>
      <c r="AN389" s="39" t="n">
        <f aca="false">AN367-AN378-AN386</f>
        <v>0</v>
      </c>
    </row>
    <row r="390" customFormat="false" ht="15" hidden="false" customHeight="false" outlineLevel="0" collapsed="false">
      <c r="A390" s="5" t="s">
        <v>169</v>
      </c>
      <c r="E390" s="39" t="n">
        <f aca="false">MIN(E388*E387,E389)</f>
        <v>19672450.8687722</v>
      </c>
      <c r="F390" s="39" t="n">
        <f aca="false">MIN(F388*F387,F389)</f>
        <v>19484750.3586975</v>
      </c>
      <c r="G390" s="39" t="n">
        <f aca="false">MIN(G388*G387,G389)</f>
        <v>19221367.4986171</v>
      </c>
      <c r="H390" s="39" t="n">
        <f aca="false">MIN(H388*H387,H389)</f>
        <v>18894781.7729463</v>
      </c>
      <c r="I390" s="39" t="n">
        <f aca="false">MIN(I388*I387,I389)</f>
        <v>17846030.1752741</v>
      </c>
      <c r="J390" s="39" t="n">
        <f aca="false">MIN(J388*J387,J389)</f>
        <v>16535241.5699336</v>
      </c>
      <c r="K390" s="39" t="n">
        <f aca="false">MIN(K388*K387,K389)</f>
        <v>15330388.770177</v>
      </c>
      <c r="L390" s="39" t="n">
        <f aca="false">MIN(L388*L387,L389)</f>
        <v>14223637.7178645</v>
      </c>
      <c r="M390" s="39" t="n">
        <f aca="false">MIN(M388*M387,M389)</f>
        <v>15454012.8230718</v>
      </c>
      <c r="N390" s="39" t="n">
        <f aca="false">MIN(N388*N387,N389)</f>
        <v>14408329.2367676</v>
      </c>
      <c r="O390" s="39" t="n">
        <f aca="false">MIN(O388*O387,O389)</f>
        <v>13413691.4803935</v>
      </c>
      <c r="P390" s="39" t="n">
        <f aca="false">MIN(P388*P387,P389)</f>
        <v>12480006.1260868</v>
      </c>
      <c r="Q390" s="39" t="n">
        <f aca="false">MIN(Q388*Q387,Q389)</f>
        <v>11573166.4180328</v>
      </c>
      <c r="R390" s="39" t="n">
        <f aca="false">MIN(R388*R387,R389)</f>
        <v>10715784.0133774</v>
      </c>
      <c r="S390" s="39" t="n">
        <f aca="false">MIN(S388*S387,S389)</f>
        <v>9910958.78237163</v>
      </c>
      <c r="T390" s="39" t="n">
        <f aca="false">MIN(T388*T387,T389)</f>
        <v>9163318.08923036</v>
      </c>
      <c r="U390" s="39" t="n">
        <f aca="false">MIN(U388*U387,U389)</f>
        <v>8486574.03025156</v>
      </c>
      <c r="V390" s="39" t="n">
        <f aca="false">MIN(V388*V387,V389)</f>
        <v>14317006.4176666</v>
      </c>
      <c r="W390" s="39" t="n">
        <f aca="false">MIN(W388*W387,W389)</f>
        <v>16135922.1318091</v>
      </c>
      <c r="X390" s="39" t="n">
        <f aca="false">MIN(X388*X387,X389)</f>
        <v>14648153.8203904</v>
      </c>
      <c r="Y390" s="39" t="n">
        <f aca="false">MIN(Y388*Y387,Y389)</f>
        <v>13278803.2519853</v>
      </c>
      <c r="Z390" s="39" t="n">
        <f aca="false">MIN(Z388*Z387,Z389)</f>
        <v>13744997.6109861</v>
      </c>
      <c r="AA390" s="39" t="n">
        <f aca="false">MIN(AA388*AA387,AA389)</f>
        <v>12424077.0587251</v>
      </c>
      <c r="AB390" s="39" t="n">
        <f aca="false">MIN(AB388*AB387,AB389)</f>
        <v>9061472.18006759</v>
      </c>
      <c r="AC390" s="39" t="n">
        <f aca="false">MIN(AC388*AC387,AC389)</f>
        <v>0</v>
      </c>
      <c r="AD390" s="39" t="n">
        <f aca="false">MIN(AD388*AD387,AD389)</f>
        <v>0</v>
      </c>
      <c r="AE390" s="39" t="n">
        <f aca="false">MIN(AE388*AE387,AE389)</f>
        <v>0</v>
      </c>
      <c r="AF390" s="39" t="n">
        <f aca="false">MIN(AF388*AF387,AF389)</f>
        <v>0</v>
      </c>
      <c r="AG390" s="39" t="n">
        <f aca="false">MIN(AG388*AG387,AG389)</f>
        <v>0</v>
      </c>
      <c r="AH390" s="39" t="n">
        <f aca="false">MIN(AH388*AH387,AH389)</f>
        <v>0</v>
      </c>
      <c r="AI390" s="39" t="n">
        <f aca="false">MIN(AI388*AI387,AI389)</f>
        <v>0</v>
      </c>
      <c r="AJ390" s="39" t="n">
        <f aca="false">MIN(AJ388*AJ387,AJ389)</f>
        <v>0</v>
      </c>
      <c r="AK390" s="39" t="n">
        <f aca="false">MIN(AK388*AK387,AK389)</f>
        <v>0</v>
      </c>
      <c r="AL390" s="39" t="n">
        <f aca="false">MIN(AL388*AL387,AL389)</f>
        <v>0</v>
      </c>
      <c r="AM390" s="39" t="n">
        <f aca="false">MIN(AM388*AM387,AM389)</f>
        <v>0</v>
      </c>
      <c r="AN390" s="39" t="n">
        <f aca="false">MIN(AN388*AN387,AN389)</f>
        <v>0</v>
      </c>
    </row>
    <row r="391" customFormat="false" ht="15" hidden="false" customHeight="false" outlineLevel="0" collapsed="false">
      <c r="A391" s="5" t="s">
        <v>170</v>
      </c>
      <c r="E391" s="39" t="n">
        <f aca="false">E387-E390</f>
        <v>8431050.37233095</v>
      </c>
      <c r="F391" s="39" t="n">
        <f aca="false">F387-F390</f>
        <v>8350607.29658466</v>
      </c>
      <c r="G391" s="39" t="n">
        <f aca="false">G387-G390</f>
        <v>8237728.92797876</v>
      </c>
      <c r="H391" s="39" t="n">
        <f aca="false">H387-H390</f>
        <v>8097763.616977</v>
      </c>
      <c r="I391" s="39" t="n">
        <f aca="false">I387-I390</f>
        <v>7648298.64654603</v>
      </c>
      <c r="J391" s="39" t="n">
        <f aca="false">J387-J390</f>
        <v>7086532.10140011</v>
      </c>
      <c r="K391" s="39" t="n">
        <f aca="false">K387-K390</f>
        <v>6570166.61579016</v>
      </c>
      <c r="L391" s="39" t="n">
        <f aca="false">L387-L390</f>
        <v>6095844.73622766</v>
      </c>
      <c r="M391" s="39" t="n">
        <f aca="false">M387-M390</f>
        <v>6623148.35274506</v>
      </c>
      <c r="N391" s="39" t="n">
        <f aca="false">N387-N390</f>
        <v>6174998.24432899</v>
      </c>
      <c r="O391" s="39" t="n">
        <f aca="false">O387-O390</f>
        <v>5748724.92016863</v>
      </c>
      <c r="P391" s="39" t="n">
        <f aca="false">P387-P390</f>
        <v>5348574.05403719</v>
      </c>
      <c r="Q391" s="39" t="n">
        <f aca="false">Q387-Q390</f>
        <v>4959928.46487121</v>
      </c>
      <c r="R391" s="39" t="n">
        <f aca="false">R387-R390</f>
        <v>4592478.86287603</v>
      </c>
      <c r="S391" s="39" t="n">
        <f aca="false">S387-S390</f>
        <v>4247553.76387356</v>
      </c>
      <c r="T391" s="39" t="n">
        <f aca="false">T387-T390</f>
        <v>3927136.32395587</v>
      </c>
      <c r="U391" s="39" t="n">
        <f aca="false">U387-U390</f>
        <v>3637103.1558221</v>
      </c>
      <c r="V391" s="39" t="n">
        <f aca="false">V387-V390</f>
        <v>6135859.89328569</v>
      </c>
      <c r="W391" s="39" t="n">
        <f aca="false">W387-W390</f>
        <v>6915395.19934676</v>
      </c>
      <c r="X391" s="39" t="n">
        <f aca="false">X387-X390</f>
        <v>6277780.20873873</v>
      </c>
      <c r="Y391" s="39" t="n">
        <f aca="false">Y387-Y390</f>
        <v>5690915.67942229</v>
      </c>
      <c r="Z391" s="39" t="n">
        <f aca="false">Z387-Z390</f>
        <v>3436249.40274652</v>
      </c>
      <c r="AA391" s="39" t="n">
        <f aca="false">AA387-AA390</f>
        <v>3106019.26468126</v>
      </c>
      <c r="AB391" s="39" t="n">
        <f aca="false">AB387-AB390</f>
        <v>4948649.81568124</v>
      </c>
      <c r="AC391" s="39" t="n">
        <f aca="false">AC387-AC390</f>
        <v>12669381.3747872</v>
      </c>
      <c r="AD391" s="39" t="n">
        <f aca="false">AD387-AD390</f>
        <v>11441701.2560926</v>
      </c>
      <c r="AE391" s="39" t="n">
        <f aca="false">AE387-AE390</f>
        <v>10291140.9252803</v>
      </c>
      <c r="AF391" s="39" t="n">
        <f aca="false">AF387-AF390</f>
        <v>3412921.99038819</v>
      </c>
      <c r="AG391" s="39" t="n">
        <f aca="false">AG387-AG390</f>
        <v>221163.515002536</v>
      </c>
      <c r="AH391" s="39" t="n">
        <f aca="false">AH387-AH390</f>
        <v>168710.735716333</v>
      </c>
      <c r="AI391" s="39" t="n">
        <f aca="false">AI387-AI390</f>
        <v>121402.106678059</v>
      </c>
      <c r="AJ391" s="39" t="n">
        <f aca="false">AJ387-AJ390</f>
        <v>78817.176609711</v>
      </c>
      <c r="AK391" s="39" t="n">
        <f aca="false">AK387-AK390</f>
        <v>45259.717464769</v>
      </c>
      <c r="AL391" s="39" t="n">
        <f aca="false">AL387-AL390</f>
        <v>17286.7647711143</v>
      </c>
      <c r="AM391" s="39" t="n">
        <f aca="false">AM387-AM390</f>
        <v>0</v>
      </c>
      <c r="AN391" s="39" t="n">
        <f aca="false">AN387-AN390</f>
        <v>0</v>
      </c>
    </row>
    <row r="392" customFormat="false" ht="15" hidden="false" customHeight="false" outlineLevel="0" collapsed="false">
      <c r="A392" s="5" t="s">
        <v>171</v>
      </c>
      <c r="E392" s="39" t="n">
        <f aca="false">MIN(E391,E394)</f>
        <v>8431050.37233095</v>
      </c>
      <c r="F392" s="39" t="n">
        <f aca="false">MIN(F391,F394)</f>
        <v>8350607.29658466</v>
      </c>
      <c r="G392" s="39" t="n">
        <f aca="false">MIN(G391,G394)</f>
        <v>8237728.92797876</v>
      </c>
      <c r="H392" s="39" t="n">
        <f aca="false">MIN(H391,H394)</f>
        <v>8097763.616977</v>
      </c>
      <c r="I392" s="39" t="n">
        <f aca="false">MIN(I391,I394)</f>
        <v>7648298.64654603</v>
      </c>
      <c r="J392" s="39" t="n">
        <f aca="false">MIN(J391,J394)</f>
        <v>7086532.10140011</v>
      </c>
      <c r="K392" s="39" t="n">
        <f aca="false">MIN(K391,K394)</f>
        <v>6570166.61579016</v>
      </c>
      <c r="L392" s="39" t="n">
        <f aca="false">MIN(L391,L394)</f>
        <v>6095844.73622766</v>
      </c>
      <c r="M392" s="39" t="n">
        <f aca="false">MIN(M391,M394)</f>
        <v>6623148.35274506</v>
      </c>
      <c r="N392" s="39" t="n">
        <f aca="false">MIN(N391,N394)</f>
        <v>6174998.24432899</v>
      </c>
      <c r="O392" s="39" t="n">
        <f aca="false">MIN(O391,O394)</f>
        <v>5748724.92016863</v>
      </c>
      <c r="P392" s="39" t="n">
        <f aca="false">MIN(P391,P394)</f>
        <v>5348574.05403719</v>
      </c>
      <c r="Q392" s="39" t="n">
        <f aca="false">MIN(Q391,Q394)</f>
        <v>4959928.46487121</v>
      </c>
      <c r="R392" s="39" t="n">
        <f aca="false">MIN(R391,R394)</f>
        <v>4592478.86287603</v>
      </c>
      <c r="S392" s="39" t="n">
        <f aca="false">MIN(S391,S394)</f>
        <v>4247553.76387356</v>
      </c>
      <c r="T392" s="39" t="n">
        <f aca="false">MIN(T391,T394)</f>
        <v>3927136.32395587</v>
      </c>
      <c r="U392" s="39" t="n">
        <f aca="false">MIN(U391,U394)</f>
        <v>3637103.1558221</v>
      </c>
      <c r="V392" s="39" t="n">
        <f aca="false">MIN(V391,V394)</f>
        <v>6135859.89328569</v>
      </c>
      <c r="W392" s="39" t="n">
        <f aca="false">MIN(W391,W394)</f>
        <v>6915395.19934676</v>
      </c>
      <c r="X392" s="39" t="n">
        <f aca="false">MIN(X391,X394)</f>
        <v>6277780.20873873</v>
      </c>
      <c r="Y392" s="39" t="n">
        <f aca="false">MIN(Y391,Y394)</f>
        <v>5690915.67942229</v>
      </c>
      <c r="Z392" s="39" t="n">
        <f aca="false">MIN(Z391,Z394)</f>
        <v>3436249.40274652</v>
      </c>
      <c r="AA392" s="39" t="n">
        <f aca="false">MIN(AA391,AA394)</f>
        <v>3106019.26468126</v>
      </c>
      <c r="AB392" s="39" t="n">
        <f aca="false">MIN(AB391,AB394)</f>
        <v>4948649.81568124</v>
      </c>
      <c r="AC392" s="39" t="n">
        <f aca="false">MIN(AC391,AC394)</f>
        <v>12669381.3747872</v>
      </c>
      <c r="AD392" s="39" t="n">
        <f aca="false">MIN(AD391,AD394)</f>
        <v>11441701.2560926</v>
      </c>
      <c r="AE392" s="39" t="n">
        <f aca="false">MIN(AE391,AE394)</f>
        <v>10291140.9252803</v>
      </c>
      <c r="AF392" s="39" t="n">
        <f aca="false">MIN(AF391,AF394)</f>
        <v>3412921.99038819</v>
      </c>
      <c r="AG392" s="39" t="n">
        <f aca="false">MIN(AG391,AG394)</f>
        <v>221163.515002536</v>
      </c>
      <c r="AH392" s="39" t="n">
        <f aca="false">MIN(AH391,AH394)</f>
        <v>168710.735716333</v>
      </c>
      <c r="AI392" s="39" t="n">
        <f aca="false">MIN(AI391,AI394)</f>
        <v>121402.106678059</v>
      </c>
      <c r="AJ392" s="39" t="n">
        <f aca="false">MIN(AJ391,AJ394)</f>
        <v>78817.176609711</v>
      </c>
      <c r="AK392" s="39" t="n">
        <f aca="false">MIN(AK391,AK394)</f>
        <v>45259.717464769</v>
      </c>
      <c r="AL392" s="39" t="n">
        <f aca="false">MIN(AL391,AL394)</f>
        <v>17286.7647711143</v>
      </c>
      <c r="AM392" s="39" t="n">
        <f aca="false">MIN(AM391,AM394)</f>
        <v>0</v>
      </c>
      <c r="AN392" s="39" t="n">
        <f aca="false">MIN(AN391,AN394)</f>
        <v>0</v>
      </c>
    </row>
    <row r="393" customFormat="false" ht="15" hidden="false" customHeight="false" outlineLevel="0" collapsed="false">
      <c r="A393" s="14" t="s">
        <v>172</v>
      </c>
      <c r="E393" s="39" t="n">
        <f aca="false">E367-E378-E386-E390</f>
        <v>320752471.334724</v>
      </c>
      <c r="F393" s="39" t="n">
        <f aca="false">F367-F378-F386-F390</f>
        <v>301267720.976026</v>
      </c>
      <c r="G393" s="39" t="n">
        <f aca="false">G367-G378-G386-G390</f>
        <v>282046353.477409</v>
      </c>
      <c r="H393" s="39" t="n">
        <f aca="false">H367-H378-H386-H390</f>
        <v>263151571.704463</v>
      </c>
      <c r="I393" s="39" t="n">
        <f aca="false">I367-I378-I386-I390</f>
        <v>245305541.529189</v>
      </c>
      <c r="J393" s="39" t="n">
        <f aca="false">J367-J378-J386-J390</f>
        <v>228770299.959255</v>
      </c>
      <c r="K393" s="39" t="n">
        <f aca="false">K367-K378-K386-K390</f>
        <v>213439911.189078</v>
      </c>
      <c r="L393" s="39" t="n">
        <f aca="false">L367-L378-L386-L390</f>
        <v>199216273.471214</v>
      </c>
      <c r="M393" s="39" t="n">
        <f aca="false">M367-M378-M386-M390</f>
        <v>183762260.648142</v>
      </c>
      <c r="N393" s="39" t="n">
        <f aca="false">N367-N378-N386-N390</f>
        <v>169353931.411374</v>
      </c>
      <c r="O393" s="39" t="n">
        <f aca="false">O367-O378-O386-O390</f>
        <v>155940239.930981</v>
      </c>
      <c r="P393" s="39" t="n">
        <f aca="false">P367-P378-P386-P390</f>
        <v>143460233.804894</v>
      </c>
      <c r="Q393" s="39" t="n">
        <f aca="false">Q367-Q378-Q386-Q390</f>
        <v>131887067.386861</v>
      </c>
      <c r="R393" s="39" t="n">
        <f aca="false">R367-R378-R386-R390</f>
        <v>121171283.373484</v>
      </c>
      <c r="S393" s="39" t="n">
        <f aca="false">S367-S378-S386-S390</f>
        <v>111260324.591112</v>
      </c>
      <c r="T393" s="39" t="n">
        <f aca="false">T367-T378-T386-T390</f>
        <v>102097006.501882</v>
      </c>
      <c r="U393" s="39" t="n">
        <f aca="false">U367-U378-U386-U390</f>
        <v>93610432.4716301</v>
      </c>
      <c r="V393" s="39" t="n">
        <f aca="false">V367-V378-V386-V390</f>
        <v>79293426.0539635</v>
      </c>
      <c r="W393" s="39" t="n">
        <f aca="false">W367-W378-W386-W390</f>
        <v>63157503.9221544</v>
      </c>
      <c r="X393" s="39" t="n">
        <f aca="false">X367-X378-X386-X390</f>
        <v>48509350.1017641</v>
      </c>
      <c r="Y393" s="39" t="n">
        <f aca="false">Y367-Y378-Y386-Y390</f>
        <v>35230546.8497787</v>
      </c>
      <c r="Z393" s="39" t="n">
        <f aca="false">Z367-Z378-Z386-Z390</f>
        <v>21485549.2387926</v>
      </c>
      <c r="AA393" s="39" t="n">
        <f aca="false">AA367-AA378-AA386-AA390</f>
        <v>9061472.18006759</v>
      </c>
      <c r="AB393" s="39" t="n">
        <f aca="false">AB367-AB378-AB386-AB390</f>
        <v>0</v>
      </c>
      <c r="AC393" s="39" t="n">
        <f aca="false">AC367-AC378-AC386-AC390</f>
        <v>0</v>
      </c>
      <c r="AD393" s="39" t="n">
        <f aca="false">AD367-AD378-AD386-AD390</f>
        <v>0</v>
      </c>
      <c r="AE393" s="39" t="n">
        <f aca="false">AE367-AE378-AE386-AE390</f>
        <v>0</v>
      </c>
      <c r="AF393" s="39" t="n">
        <f aca="false">AF367-AF378-AF386-AF390</f>
        <v>0</v>
      </c>
      <c r="AG393" s="39" t="n">
        <f aca="false">AG367-AG378-AG386-AG390</f>
        <v>0</v>
      </c>
      <c r="AH393" s="39" t="n">
        <f aca="false">AH367-AH378-AH386-AH390</f>
        <v>0</v>
      </c>
      <c r="AI393" s="39" t="n">
        <f aca="false">AI367-AI378-AI386-AI390</f>
        <v>0</v>
      </c>
      <c r="AJ393" s="39" t="n">
        <f aca="false">AJ367-AJ378-AJ386-AJ390</f>
        <v>0</v>
      </c>
      <c r="AK393" s="39" t="n">
        <f aca="false">AK367-AK378-AK386-AK390</f>
        <v>0</v>
      </c>
      <c r="AL393" s="39" t="n">
        <f aca="false">AL367-AL378-AL386-AL390</f>
        <v>0</v>
      </c>
      <c r="AM393" s="39" t="n">
        <f aca="false">AM367-AM378-AM386-AM390</f>
        <v>0</v>
      </c>
      <c r="AN393" s="39" t="n">
        <f aca="false">AN367-AN378-AN386-AN390</f>
        <v>0</v>
      </c>
    </row>
    <row r="394" customFormat="false" ht="15" hidden="false" customHeight="false" outlineLevel="0" collapsed="false">
      <c r="A394" s="14" t="s">
        <v>173</v>
      </c>
      <c r="E394" s="39" t="n">
        <f aca="false">'Inputs &amp; Assumptions'!$C$135</f>
        <v>226949948.135664</v>
      </c>
      <c r="F394" s="39" t="n">
        <f aca="false">E395</f>
        <v>218518897.763333</v>
      </c>
      <c r="G394" s="39" t="n">
        <f aca="false">F395</f>
        <v>210168290.466748</v>
      </c>
      <c r="H394" s="39" t="n">
        <f aca="false">G395</f>
        <v>201930561.53877</v>
      </c>
      <c r="I394" s="39" t="n">
        <f aca="false">H395</f>
        <v>193832797.921793</v>
      </c>
      <c r="J394" s="39" t="n">
        <f aca="false">I395</f>
        <v>186184499.275247</v>
      </c>
      <c r="K394" s="39" t="n">
        <f aca="false">J395</f>
        <v>179097967.173846</v>
      </c>
      <c r="L394" s="39" t="n">
        <f aca="false">K395</f>
        <v>172527800.558056</v>
      </c>
      <c r="M394" s="39" t="n">
        <f aca="false">L395</f>
        <v>166431955.821829</v>
      </c>
      <c r="N394" s="39" t="n">
        <f aca="false">M395</f>
        <v>159808807.469084</v>
      </c>
      <c r="O394" s="39" t="n">
        <f aca="false">N395</f>
        <v>153633809.224755</v>
      </c>
      <c r="P394" s="39" t="n">
        <f aca="false">O395</f>
        <v>147885084.304586</v>
      </c>
      <c r="Q394" s="39" t="n">
        <f aca="false">P395</f>
        <v>142536510.250549</v>
      </c>
      <c r="R394" s="39" t="n">
        <f aca="false">Q395</f>
        <v>137576581.785678</v>
      </c>
      <c r="S394" s="39" t="n">
        <f aca="false">R395</f>
        <v>132984102.922802</v>
      </c>
      <c r="T394" s="39" t="n">
        <f aca="false">S395</f>
        <v>128736549.158928</v>
      </c>
      <c r="U394" s="39" t="n">
        <f aca="false">T395</f>
        <v>124809412.834972</v>
      </c>
      <c r="V394" s="39" t="n">
        <f aca="false">U395</f>
        <v>121172309.67915</v>
      </c>
      <c r="W394" s="39" t="n">
        <f aca="false">V395</f>
        <v>115036449.785864</v>
      </c>
      <c r="X394" s="39" t="n">
        <f aca="false">W395</f>
        <v>108121054.586518</v>
      </c>
      <c r="Y394" s="39" t="n">
        <f aca="false">X395</f>
        <v>101843274.377779</v>
      </c>
      <c r="Z394" s="39" t="n">
        <f aca="false">Y395</f>
        <v>96152358.6983565</v>
      </c>
      <c r="AA394" s="39" t="n">
        <f aca="false">Z395</f>
        <v>92716109.29561</v>
      </c>
      <c r="AB394" s="39" t="n">
        <f aca="false">AA395</f>
        <v>89610090.0309288</v>
      </c>
      <c r="AC394" s="39" t="n">
        <f aca="false">AB395</f>
        <v>84661440.2152475</v>
      </c>
      <c r="AD394" s="39" t="n">
        <f aca="false">AC395</f>
        <v>71992058.8404603</v>
      </c>
      <c r="AE394" s="39" t="n">
        <f aca="false">AD395</f>
        <v>60550357.5843677</v>
      </c>
      <c r="AF394" s="39" t="n">
        <f aca="false">AE395</f>
        <v>50259216.6590874</v>
      </c>
      <c r="AG394" s="39" t="n">
        <f aca="false">AF395</f>
        <v>46846294.6686992</v>
      </c>
      <c r="AH394" s="39" t="n">
        <f aca="false">AG395</f>
        <v>46625131.1536967</v>
      </c>
      <c r="AI394" s="39" t="n">
        <f aca="false">AH395</f>
        <v>46456420.4179803</v>
      </c>
      <c r="AJ394" s="39" t="n">
        <f aca="false">AI395</f>
        <v>46335018.3113023</v>
      </c>
      <c r="AK394" s="39" t="n">
        <f aca="false">AJ395</f>
        <v>46256201.1346926</v>
      </c>
      <c r="AL394" s="39" t="n">
        <f aca="false">AK395</f>
        <v>46210941.4172278</v>
      </c>
      <c r="AM394" s="39" t="n">
        <f aca="false">AL395</f>
        <v>46193654.6524567</v>
      </c>
      <c r="AN394" s="39" t="n">
        <f aca="false">AM395</f>
        <v>46193654.6524567</v>
      </c>
    </row>
    <row r="395" customFormat="false" ht="15" hidden="false" customHeight="false" outlineLevel="0" collapsed="false">
      <c r="A395" s="14" t="s">
        <v>174</v>
      </c>
      <c r="E395" s="39" t="n">
        <f aca="false">E394-E392</f>
        <v>218518897.763333</v>
      </c>
      <c r="F395" s="39" t="n">
        <f aca="false">F394-F392</f>
        <v>210168290.466748</v>
      </c>
      <c r="G395" s="39" t="n">
        <f aca="false">G394-G392</f>
        <v>201930561.53877</v>
      </c>
      <c r="H395" s="39" t="n">
        <f aca="false">H394-H392</f>
        <v>193832797.921793</v>
      </c>
      <c r="I395" s="39" t="n">
        <f aca="false">I394-I392</f>
        <v>186184499.275247</v>
      </c>
      <c r="J395" s="39" t="n">
        <f aca="false">J394-J392</f>
        <v>179097967.173846</v>
      </c>
      <c r="K395" s="39" t="n">
        <f aca="false">K394-K392</f>
        <v>172527800.558056</v>
      </c>
      <c r="L395" s="39" t="n">
        <f aca="false">L394-L392</f>
        <v>166431955.821829</v>
      </c>
      <c r="M395" s="39" t="n">
        <f aca="false">M394-M392</f>
        <v>159808807.469084</v>
      </c>
      <c r="N395" s="39" t="n">
        <f aca="false">N394-N392</f>
        <v>153633809.224755</v>
      </c>
      <c r="O395" s="39" t="n">
        <f aca="false">O394-O392</f>
        <v>147885084.304586</v>
      </c>
      <c r="P395" s="39" t="n">
        <f aca="false">P394-P392</f>
        <v>142536510.250549</v>
      </c>
      <c r="Q395" s="39" t="n">
        <f aca="false">Q394-Q392</f>
        <v>137576581.785678</v>
      </c>
      <c r="R395" s="39" t="n">
        <f aca="false">R394-R392</f>
        <v>132984102.922802</v>
      </c>
      <c r="S395" s="39" t="n">
        <f aca="false">S394-S392</f>
        <v>128736549.158928</v>
      </c>
      <c r="T395" s="39" t="n">
        <f aca="false">T394-T392</f>
        <v>124809412.834972</v>
      </c>
      <c r="U395" s="39" t="n">
        <f aca="false">U394-U392</f>
        <v>121172309.67915</v>
      </c>
      <c r="V395" s="39" t="n">
        <f aca="false">V394-V392</f>
        <v>115036449.785864</v>
      </c>
      <c r="W395" s="39" t="n">
        <f aca="false">W394-W392</f>
        <v>108121054.586518</v>
      </c>
      <c r="X395" s="39" t="n">
        <f aca="false">X394-X392</f>
        <v>101843274.377779</v>
      </c>
      <c r="Y395" s="39" t="n">
        <f aca="false">Y394-Y392</f>
        <v>96152358.6983565</v>
      </c>
      <c r="Z395" s="39" t="n">
        <f aca="false">Z394-Z392</f>
        <v>92716109.29561</v>
      </c>
      <c r="AA395" s="39" t="n">
        <f aca="false">AA394-AA392</f>
        <v>89610090.0309288</v>
      </c>
      <c r="AB395" s="39" t="n">
        <f aca="false">AB394-AB392</f>
        <v>84661440.2152475</v>
      </c>
      <c r="AC395" s="39" t="n">
        <f aca="false">AC394-AC392</f>
        <v>71992058.8404603</v>
      </c>
      <c r="AD395" s="39" t="n">
        <f aca="false">AD394-AD392</f>
        <v>60550357.5843677</v>
      </c>
      <c r="AE395" s="39" t="n">
        <f aca="false">AE394-AE392</f>
        <v>50259216.6590874</v>
      </c>
      <c r="AF395" s="39" t="n">
        <f aca="false">AF394-AF392</f>
        <v>46846294.6686992</v>
      </c>
      <c r="AG395" s="39" t="n">
        <f aca="false">AG394-AG392</f>
        <v>46625131.1536967</v>
      </c>
      <c r="AH395" s="39" t="n">
        <f aca="false">AH394-AH392</f>
        <v>46456420.4179803</v>
      </c>
      <c r="AI395" s="39" t="n">
        <f aca="false">AI394-AI392</f>
        <v>46335018.3113023</v>
      </c>
      <c r="AJ395" s="39" t="n">
        <f aca="false">AJ394-AJ392</f>
        <v>46256201.1346926</v>
      </c>
      <c r="AK395" s="39" t="n">
        <f aca="false">AK394-AK392</f>
        <v>46210941.4172278</v>
      </c>
      <c r="AL395" s="39" t="n">
        <f aca="false">AL394-AL392</f>
        <v>46193654.6524567</v>
      </c>
      <c r="AM395" s="39" t="n">
        <f aca="false">AM394-AM392</f>
        <v>46193654.6524567</v>
      </c>
      <c r="AN395" s="39" t="n">
        <f aca="false">AN394-AN392</f>
        <v>46193654.6524567</v>
      </c>
    </row>
    <row r="396" customFormat="false" ht="15" hidden="false" customHeight="false" outlineLevel="0" collapsed="false">
      <c r="A396" s="14" t="s">
        <v>175</v>
      </c>
      <c r="E396" s="18" t="n">
        <f aca="false">IF(E394&gt;0,E380/E394*4,0)</f>
        <v>0.114986684925305</v>
      </c>
      <c r="F396" s="18" t="n">
        <f aca="false">IF(F394&gt;0,F380/F394*4,0)</f>
        <v>0.111331703450941</v>
      </c>
      <c r="G396" s="18" t="n">
        <f aca="false">IF(G394&gt;0,G380/G394*4,0)</f>
        <v>0.107558679301515</v>
      </c>
      <c r="H396" s="18" t="n">
        <f aca="false">IF(H394&gt;0,H380/H394*4,0)</f>
        <v>0.103673924294948</v>
      </c>
      <c r="I396" s="18" t="n">
        <f aca="false">IF(I394&gt;0,I380/I394*4,0)</f>
        <v>0.0997219137715708</v>
      </c>
      <c r="J396" s="18" t="n">
        <f aca="false">IF(J394&gt;0,J380/J394*4,0)</f>
        <v>0.095789499590554</v>
      </c>
      <c r="K396" s="18" t="n">
        <f aca="false">IF(K394&gt;0,K380/K394*4,0)</f>
        <v>0.0919394043910865</v>
      </c>
      <c r="L396" s="18" t="n">
        <f aca="false">IF(L394&gt;0,L380/L394*4,0)</f>
        <v>0.0881906181617243</v>
      </c>
      <c r="M396" s="18" t="n">
        <f aca="false">IF(M394&gt;0,M380/M394*4,0)</f>
        <v>0.0845306322096021</v>
      </c>
      <c r="N396" s="18" t="n">
        <f aca="false">IF(N394&gt;0,N380/N394*4,0)</f>
        <v>0.0820536434561868</v>
      </c>
      <c r="O396" s="18" t="n">
        <f aca="false">IF(O394&gt;0,O380/O394*4,0)</f>
        <v>0.0796735866637996</v>
      </c>
      <c r="P396" s="18" t="n">
        <f aca="false">IF(P394&gt;0,P380/P394*4,0)</f>
        <v>0.0773849143177081</v>
      </c>
      <c r="Q396" s="18" t="n">
        <f aca="false">IF(Q394&gt;0,Q380/Q394*4,0)</f>
        <v>0.0751553697115019</v>
      </c>
      <c r="R396" s="18" t="n">
        <f aca="false">IF(R394&gt;0,R380/R394*4,0)</f>
        <v>0.0729518548666675</v>
      </c>
      <c r="S396" s="18" t="n">
        <f aca="false">IF(S394&gt;0,S380/S394*4,0)</f>
        <v>0.0707788257765853</v>
      </c>
      <c r="T396" s="18" t="n">
        <f aca="false">IF(T394&gt;0,T380/T394*4,0)</f>
        <v>0.0686382613410379</v>
      </c>
      <c r="U396" s="18" t="n">
        <f aca="false">IF(U394&gt;0,U380/U394*4,0)</f>
        <v>0.0665115767933767</v>
      </c>
      <c r="V396" s="18" t="n">
        <f aca="false">IF(V394&gt;0,V380/V394*4,0)</f>
        <v>0.0644025207129881</v>
      </c>
      <c r="W396" s="18" t="n">
        <f aca="false">IF(W394&gt;0,W380/W394*4,0)</f>
        <v>0.0604092402911925</v>
      </c>
      <c r="X396" s="18" t="n">
        <f aca="false">IF(X394&gt;0,X380/X394*4,0)</f>
        <v>0.0553532142367198</v>
      </c>
      <c r="Y396" s="18" t="n">
        <f aca="false">IF(Y394&gt;0,Y380/Y394*4,0)</f>
        <v>0.0501919630427259</v>
      </c>
      <c r="Z396" s="18" t="n">
        <f aca="false">IF(Z394&gt;0,Z380/Z394*4,0)</f>
        <v>0.0449650647220267</v>
      </c>
      <c r="AA396" s="18" t="n">
        <f aca="false">IF(AA394&gt;0,AA380/AA394*4,0)</f>
        <v>0.0397758848182143</v>
      </c>
      <c r="AB396" s="18" t="n">
        <f aca="false">IF(AB394&gt;0,AB380/AB394*4,0)</f>
        <v>0.0347809435955965</v>
      </c>
      <c r="AC396" s="18" t="n">
        <f aca="false">IF(AC394&gt;0,AC380/AC394*4,0)</f>
        <v>0.0296584479692549</v>
      </c>
      <c r="AD396" s="18" t="n">
        <f aca="false">IF(AD394&gt;0,AD380/AD394*4,0)</f>
        <v>0.0223848051995099</v>
      </c>
      <c r="AE396" s="18" t="n">
        <f aca="false">IF(AE394&gt;0,AE380/AE394*4,0)</f>
        <v>0.013253108561921</v>
      </c>
      <c r="AF396" s="18" t="n">
        <f aca="false">IF(AF394&gt;0,AF380/AF394*4,0)</f>
        <v>0.00152204188849247</v>
      </c>
      <c r="AG396" s="18" t="n">
        <f aca="false">IF(AG394&gt;0,AG380/AG394*4,0)</f>
        <v>0</v>
      </c>
      <c r="AH396" s="18" t="n">
        <f aca="false">IF(AH394&gt;0,AH380/AH394*4,0)</f>
        <v>0</v>
      </c>
      <c r="AI396" s="18" t="n">
        <f aca="false">IF(AI394&gt;0,AI380/AI394*4,0)</f>
        <v>0</v>
      </c>
      <c r="AJ396" s="18" t="n">
        <f aca="false">IF(AJ394&gt;0,AJ380/AJ394*4,0)</f>
        <v>0</v>
      </c>
      <c r="AK396" s="18" t="n">
        <f aca="false">IF(AK394&gt;0,AK380/AK394*4,0)</f>
        <v>0</v>
      </c>
      <c r="AL396" s="18" t="n">
        <f aca="false">IF(AL394&gt;0,AL380/AL394*4,0)</f>
        <v>0</v>
      </c>
      <c r="AM396" s="18" t="n">
        <f aca="false">IF(AM394&gt;0,AM380/AM394*4,0)</f>
        <v>0</v>
      </c>
      <c r="AN396" s="18" t="n">
        <f aca="false">IF(AN394&gt;0,AN380/AN394*4,0)</f>
        <v>0</v>
      </c>
    </row>
    <row r="397" customFormat="false" ht="15" hidden="false" customHeight="false" outlineLevel="0" collapsed="false">
      <c r="A397" s="14" t="s">
        <v>176</v>
      </c>
      <c r="E397" s="39" t="n">
        <f aca="false">E378+E386+E390</f>
        <v>19672450.8687722</v>
      </c>
      <c r="F397" s="39" t="n">
        <f aca="false">F378+F386+F390</f>
        <v>19484750.3586975</v>
      </c>
      <c r="G397" s="39" t="n">
        <f aca="false">G378+G386+G390</f>
        <v>19221367.4986171</v>
      </c>
      <c r="H397" s="39" t="n">
        <f aca="false">H378+H386+H390</f>
        <v>18894781.7729463</v>
      </c>
      <c r="I397" s="39" t="n">
        <f aca="false">I378+I386+I390</f>
        <v>17846030.1752741</v>
      </c>
      <c r="J397" s="39" t="n">
        <f aca="false">J378+J386+J390</f>
        <v>16535241.5699336</v>
      </c>
      <c r="K397" s="39" t="n">
        <f aca="false">K378+K386+K390</f>
        <v>15330388.770177</v>
      </c>
      <c r="L397" s="39" t="n">
        <f aca="false">L378+L386+L390</f>
        <v>14223637.7178645</v>
      </c>
      <c r="M397" s="39" t="n">
        <f aca="false">M378+M386+M390</f>
        <v>15454012.8230718</v>
      </c>
      <c r="N397" s="39" t="n">
        <f aca="false">N378+N386+N390</f>
        <v>14408329.2367676</v>
      </c>
      <c r="O397" s="39" t="n">
        <f aca="false">O378+O386+O390</f>
        <v>13413691.4803935</v>
      </c>
      <c r="P397" s="39" t="n">
        <f aca="false">P378+P386+P390</f>
        <v>12480006.1260868</v>
      </c>
      <c r="Q397" s="39" t="n">
        <f aca="false">Q378+Q386+Q390</f>
        <v>11573166.4180328</v>
      </c>
      <c r="R397" s="39" t="n">
        <f aca="false">R378+R386+R390</f>
        <v>10715784.0133774</v>
      </c>
      <c r="S397" s="39" t="n">
        <f aca="false">S378+S386+S390</f>
        <v>9910958.78237163</v>
      </c>
      <c r="T397" s="39" t="n">
        <f aca="false">T378+T386+T390</f>
        <v>9163318.08923036</v>
      </c>
      <c r="U397" s="39" t="n">
        <f aca="false">U378+U386+U390</f>
        <v>8486574.03025156</v>
      </c>
      <c r="V397" s="39" t="n">
        <f aca="false">V378+V386+V390</f>
        <v>14317006.4176666</v>
      </c>
      <c r="W397" s="39" t="n">
        <f aca="false">W378+W386+W390</f>
        <v>16135922.1318091</v>
      </c>
      <c r="X397" s="39" t="n">
        <f aca="false">X378+X386+X390</f>
        <v>14648153.8203904</v>
      </c>
      <c r="Y397" s="39" t="n">
        <f aca="false">Y378+Y386+Y390</f>
        <v>13278803.2519853</v>
      </c>
      <c r="Z397" s="39" t="n">
        <f aca="false">Z378+Z386+Z390</f>
        <v>13744997.6109861</v>
      </c>
      <c r="AA397" s="39" t="n">
        <f aca="false">AA378+AA386+AA390</f>
        <v>12424077.0587251</v>
      </c>
      <c r="AB397" s="39" t="n">
        <f aca="false">AB378+AB386+AB390</f>
        <v>9061472.18006759</v>
      </c>
      <c r="AC397" s="39" t="n">
        <f aca="false">AC378+AC386+AC390</f>
        <v>0</v>
      </c>
      <c r="AD397" s="39" t="n">
        <f aca="false">AD378+AD386+AD390</f>
        <v>0</v>
      </c>
      <c r="AE397" s="39" t="n">
        <f aca="false">AE378+AE386+AE390</f>
        <v>0</v>
      </c>
      <c r="AF397" s="39" t="n">
        <f aca="false">AF378+AF386+AF390</f>
        <v>0</v>
      </c>
      <c r="AG397" s="39" t="n">
        <f aca="false">AG378+AG386+AG390</f>
        <v>0</v>
      </c>
      <c r="AH397" s="39" t="n">
        <f aca="false">AH378+AH386+AH390</f>
        <v>0</v>
      </c>
      <c r="AI397" s="39" t="n">
        <f aca="false">AI378+AI386+AI390</f>
        <v>0</v>
      </c>
      <c r="AJ397" s="39" t="n">
        <f aca="false">AJ378+AJ386+AJ390</f>
        <v>0</v>
      </c>
      <c r="AK397" s="39" t="n">
        <f aca="false">AK378+AK386+AK390</f>
        <v>0</v>
      </c>
      <c r="AL397" s="39" t="n">
        <f aca="false">AL378+AL386+AL390</f>
        <v>0</v>
      </c>
      <c r="AM397" s="39" t="n">
        <f aca="false">AM378+AM386+AM390</f>
        <v>0</v>
      </c>
      <c r="AN397" s="39" t="n">
        <f aca="false">AN378+AN386+AN390</f>
        <v>0</v>
      </c>
    </row>
    <row r="398" customFormat="false" ht="15" hidden="false" customHeight="false" outlineLevel="0" collapsed="false">
      <c r="A398" s="14" t="s">
        <v>177</v>
      </c>
      <c r="D398" s="39" t="n">
        <f aca="false">-'Inputs &amp; Assumptions'!$C$134</f>
        <v>-340424922.203496</v>
      </c>
      <c r="E398" s="39" t="n">
        <f aca="false">E373+E384+E397</f>
        <v>23352444.277792</v>
      </c>
      <c r="F398" s="39" t="n">
        <f aca="false">F373+F384+F397</f>
        <v>22952084.5738259</v>
      </c>
      <c r="G398" s="39" t="n">
        <f aca="false">G373+G384+G397</f>
        <v>22478071.5623679</v>
      </c>
      <c r="H398" s="39" t="n">
        <f aca="false">H373+H384+H397</f>
        <v>21943702.8540371</v>
      </c>
      <c r="I398" s="39" t="n">
        <f aca="false">I373+I384+I397</f>
        <v>20690698.6653993</v>
      </c>
      <c r="J398" s="39" t="n">
        <f aca="false">J373+J384+J397</f>
        <v>19186994.4738641</v>
      </c>
      <c r="K398" s="39" t="n">
        <f aca="false">K373+K384+K397</f>
        <v>17803395.7127366</v>
      </c>
      <c r="L398" s="39" t="n">
        <f aca="false">L373+L384+L397</f>
        <v>16530923.1578185</v>
      </c>
      <c r="M398" s="39" t="n">
        <f aca="false">M373+M384+M397</f>
        <v>17607540.7392956</v>
      </c>
      <c r="N398" s="39" t="n">
        <f aca="false">N373+N384+N397</f>
        <v>16394799.2743741</v>
      </c>
      <c r="O398" s="39" t="n">
        <f aca="false">O373+O384+O397</f>
        <v>15244407.4789504</v>
      </c>
      <c r="P398" s="39" t="n">
        <f aca="false">P373+P384+P397</f>
        <v>14165720.1197407</v>
      </c>
      <c r="Q398" s="39" t="n">
        <f aca="false">Q373+Q384+Q397</f>
        <v>13123971.5454637</v>
      </c>
      <c r="R398" s="39" t="n">
        <f aca="false">R373+R384+R397</f>
        <v>12141483.2118294</v>
      </c>
      <c r="S398" s="39" t="n">
        <f aca="false">S373+S384+S397</f>
        <v>11220820.355639</v>
      </c>
      <c r="T398" s="39" t="n">
        <f aca="false">T373+T384+T397</f>
        <v>10366042.1980603</v>
      </c>
      <c r="U398" s="39" t="n">
        <f aca="false">U373+U384+U397</f>
        <v>9590242.6705369</v>
      </c>
      <c r="V398" s="39" t="n">
        <f aca="false">V373+V384+V397</f>
        <v>15328935.1926849</v>
      </c>
      <c r="W398" s="39" t="n">
        <f aca="false">W373+W384+W397</f>
        <v>16993084.0674525</v>
      </c>
      <c r="X398" s="39" t="n">
        <f aca="false">X373+X384+X397</f>
        <v>15330886.4377889</v>
      </c>
      <c r="Y398" s="39" t="n">
        <f aca="false">Y373+Y384+Y397</f>
        <v>13803189.3265854</v>
      </c>
      <c r="Z398" s="39" t="n">
        <f aca="false">Z373+Z384+Z397</f>
        <v>14125839.8224322</v>
      </c>
      <c r="AA398" s="39" t="n">
        <f aca="false">AA373+AA384+AA397</f>
        <v>12656335.8459964</v>
      </c>
      <c r="AB398" s="39" t="n">
        <f aca="false">AB373+AB384+AB397</f>
        <v>9159426.69433412</v>
      </c>
      <c r="AC398" s="39" t="n">
        <f aca="false">AC373+AC384+AC397</f>
        <v>0</v>
      </c>
      <c r="AD398" s="39" t="n">
        <f aca="false">AD373+AD384+AD397</f>
        <v>0</v>
      </c>
      <c r="AE398" s="39" t="n">
        <f aca="false">AE373+AE384+AE397</f>
        <v>0</v>
      </c>
      <c r="AF398" s="39" t="n">
        <f aca="false">AF373+AF384+AF397</f>
        <v>0</v>
      </c>
      <c r="AG398" s="39" t="n">
        <f aca="false">AG373+AG384+AG397</f>
        <v>0</v>
      </c>
      <c r="AH398" s="39" t="n">
        <f aca="false">AH373+AH384+AH397</f>
        <v>0</v>
      </c>
      <c r="AI398" s="39" t="n">
        <f aca="false">AI373+AI384+AI397</f>
        <v>0</v>
      </c>
      <c r="AJ398" s="39" t="n">
        <f aca="false">AJ373+AJ384+AJ397</f>
        <v>0</v>
      </c>
      <c r="AK398" s="39" t="n">
        <f aca="false">AK373+AK384+AK397</f>
        <v>0</v>
      </c>
      <c r="AL398" s="39" t="n">
        <f aca="false">AL373+AL384+AL397</f>
        <v>0</v>
      </c>
      <c r="AM398" s="39" t="n">
        <f aca="false">AM373+AM384+AM397</f>
        <v>0</v>
      </c>
      <c r="AN398" s="39" t="n">
        <f aca="false">AN373+AN384+AN397</f>
        <v>0</v>
      </c>
    </row>
    <row r="399" customFormat="false" ht="15" hidden="false" customHeight="false" outlineLevel="0" collapsed="false">
      <c r="A399" s="14" t="s">
        <v>178</v>
      </c>
      <c r="D399" s="39" t="n">
        <f aca="false">-'Inputs &amp; Assumptions'!$C$135</f>
        <v>-226949948.135664</v>
      </c>
      <c r="E399" s="39" t="n">
        <f aca="false">E380+E392</f>
        <v>14955105.9173534</v>
      </c>
      <c r="F399" s="39" t="n">
        <f aca="false">F380+F392</f>
        <v>14432627.5776381</v>
      </c>
      <c r="G399" s="39" t="n">
        <f aca="false">G380+G392</f>
        <v>13889084.8663939</v>
      </c>
      <c r="H399" s="39" t="n">
        <f aca="false">H380+H392</f>
        <v>13331497.0544287</v>
      </c>
      <c r="I399" s="39" t="n">
        <f aca="false">I380+I392</f>
        <v>12480643.0366609</v>
      </c>
      <c r="J399" s="39" t="n">
        <f aca="false">J380+J392</f>
        <v>11545162.1056735</v>
      </c>
      <c r="K399" s="39" t="n">
        <f aca="false">K380+K392</f>
        <v>10686706.7231946</v>
      </c>
      <c r="L399" s="39" t="n">
        <f aca="false">L380+L392</f>
        <v>9899678.08155207</v>
      </c>
      <c r="M399" s="39" t="n">
        <f aca="false">M380+M392</f>
        <v>10140297.96412</v>
      </c>
      <c r="N399" s="39" t="n">
        <f aca="false">N380+N392</f>
        <v>9453221.97163563</v>
      </c>
      <c r="O399" s="39" t="n">
        <f aca="false">O380+O392</f>
        <v>8808864.07360817</v>
      </c>
      <c r="P399" s="39" t="n">
        <f aca="false">P380+P392</f>
        <v>8209592.69848155</v>
      </c>
      <c r="Q399" s="39" t="n">
        <f aca="false">Q380+Q392</f>
        <v>7638024.49618803</v>
      </c>
      <c r="R399" s="39" t="n">
        <f aca="false">R380+R392</f>
        <v>7101595.56974627</v>
      </c>
      <c r="S399" s="39" t="n">
        <f aca="false">S380+S392</f>
        <v>6600668.42683067</v>
      </c>
      <c r="T399" s="39" t="n">
        <f aca="false">T380+T392</f>
        <v>6136199.55028434</v>
      </c>
      <c r="U399" s="39" t="n">
        <f aca="false">U380+U392</f>
        <v>5712420.86739947</v>
      </c>
      <c r="V399" s="39" t="n">
        <f aca="false">V380+V392</f>
        <v>8086810.43927371</v>
      </c>
      <c r="W399" s="39" t="n">
        <f aca="false">W380+W392</f>
        <v>8652711.33368675</v>
      </c>
      <c r="X399" s="39" t="n">
        <f aca="false">X380+X392</f>
        <v>7773992.18324562</v>
      </c>
      <c r="Y399" s="39" t="n">
        <f aca="false">Y380+Y392</f>
        <v>6968844.1453522</v>
      </c>
      <c r="Z399" s="39" t="n">
        <f aca="false">Z380+Z392</f>
        <v>4517123.6607583</v>
      </c>
      <c r="AA399" s="39" t="n">
        <f aca="false">AA380+AA392</f>
        <v>4027985.58571505</v>
      </c>
      <c r="AB399" s="39" t="n">
        <f aca="false">AB380+AB392</f>
        <v>5727830.68742175</v>
      </c>
      <c r="AC399" s="39" t="n">
        <f aca="false">AC380+AC392</f>
        <v>13297113.1046938</v>
      </c>
      <c r="AD399" s="39" t="n">
        <f aca="false">AD380+AD392</f>
        <v>11844583.3093564</v>
      </c>
      <c r="AE399" s="39" t="n">
        <f aca="false">AE380+AE392</f>
        <v>10491761.0409125</v>
      </c>
      <c r="AF399" s="39" t="n">
        <f aca="false">AF380+AF392</f>
        <v>3432046.14864768</v>
      </c>
      <c r="AG399" s="39" t="n">
        <f aca="false">AG380+AG392</f>
        <v>221163.515002536</v>
      </c>
      <c r="AH399" s="39" t="n">
        <f aca="false">AH380+AH392</f>
        <v>168710.735716333</v>
      </c>
      <c r="AI399" s="39" t="n">
        <f aca="false">AI380+AI392</f>
        <v>121402.106678059</v>
      </c>
      <c r="AJ399" s="39" t="n">
        <f aca="false">AJ380+AJ392</f>
        <v>78817.176609711</v>
      </c>
      <c r="AK399" s="39" t="n">
        <f aca="false">AK380+AK392</f>
        <v>45259.717464769</v>
      </c>
      <c r="AL399" s="39" t="n">
        <f aca="false">AL380+AL392</f>
        <v>17286.7647711143</v>
      </c>
      <c r="AM399" s="39" t="n">
        <f aca="false">AM380+AM392</f>
        <v>0</v>
      </c>
      <c r="AN399" s="39" t="n">
        <f aca="false">AN380+AN392</f>
        <v>0</v>
      </c>
    </row>
    <row r="400" customFormat="false" ht="15" hidden="false" customHeight="false" outlineLevel="0" collapsed="false">
      <c r="A400" s="14" t="s">
        <v>179</v>
      </c>
      <c r="E400" s="18" t="n">
        <f aca="false">IF('Scenario Analysis'!E361&gt;0,E393/'Scenario Analysis'!E361,0)</f>
        <v>0.603782619644045</v>
      </c>
      <c r="F400" s="18" t="n">
        <f aca="false">IF('Scenario Analysis'!F361&gt;0,F393/'Scenario Analysis'!F361,0)</f>
        <v>0.607700457907396</v>
      </c>
      <c r="G400" s="18" t="n">
        <f aca="false">IF('Scenario Analysis'!G361&gt;0,G393/'Scenario Analysis'!G361,0)</f>
        <v>0.611678418497742</v>
      </c>
      <c r="H400" s="18" t="n">
        <f aca="false">IF('Scenario Analysis'!H361&gt;0,H393/'Scenario Analysis'!H361,0)</f>
        <v>0.615685396037297</v>
      </c>
      <c r="I400" s="18" t="n">
        <f aca="false">IF('Scenario Analysis'!I361&gt;0,I393/'Scenario Analysis'!I361,0)</f>
        <v>0.619718973273613</v>
      </c>
      <c r="J400" s="18" t="n">
        <f aca="false">IF('Scenario Analysis'!J361&gt;0,J393/'Scenario Analysis'!J361,0)</f>
        <v>0.623760908913053</v>
      </c>
      <c r="K400" s="18" t="n">
        <f aca="false">IF('Scenario Analysis'!K361&gt;0,K393/'Scenario Analysis'!K361,0)</f>
        <v>0.627699119676606</v>
      </c>
      <c r="L400" s="18" t="n">
        <f aca="false">IF('Scenario Analysis'!L361&gt;0,L393/'Scenario Analysis'!L361,0)</f>
        <v>0.631456133977736</v>
      </c>
      <c r="M400" s="18" t="n">
        <f aca="false">IF('Scenario Analysis'!M361&gt;0,M393/'Scenario Analysis'!M361,0)</f>
        <v>0.627414852680182</v>
      </c>
      <c r="N400" s="18" t="n">
        <f aca="false">IF('Scenario Analysis'!N361&gt;0,N393/'Scenario Analysis'!N361,0)</f>
        <v>0.622494659962454</v>
      </c>
      <c r="O400" s="18" t="n">
        <f aca="false">IF('Scenario Analysis'!O361&gt;0,O393/'Scenario Analysis'!O361,0)</f>
        <v>0.616669037335193</v>
      </c>
      <c r="P400" s="18" t="n">
        <f aca="false">IF('Scenario Analysis'!P361&gt;0,P393/'Scenario Analysis'!P361,0)</f>
        <v>0.609903081255334</v>
      </c>
      <c r="Q400" s="18" t="n">
        <f aca="false">IF('Scenario Analysis'!Q361&gt;0,Q393/'Scenario Analysis'!Q361,0)</f>
        <v>0.602471441017711</v>
      </c>
      <c r="R400" s="18" t="n">
        <f aca="false">IF('Scenario Analysis'!R361&gt;0,R393/'Scenario Analysis'!R361,0)</f>
        <v>0.594500015774801</v>
      </c>
      <c r="S400" s="18" t="n">
        <f aca="false">IF('Scenario Analysis'!S361&gt;0,S393/'Scenario Analysis'!S361,0)</f>
        <v>0.585974402710545</v>
      </c>
      <c r="T400" s="18" t="n">
        <f aca="false">IF('Scenario Analysis'!T361&gt;0,T393/'Scenario Analysis'!T361,0)</f>
        <v>0.576872155476981</v>
      </c>
      <c r="U400" s="18" t="n">
        <f aca="false">IF('Scenario Analysis'!U361&gt;0,U393/'Scenario Analysis'!U361,0)</f>
        <v>0.567202949695905</v>
      </c>
      <c r="V400" s="18" t="n">
        <f aca="false">IF('Scenario Analysis'!V361&gt;0,V393/'Scenario Analysis'!V361,0)</f>
        <v>0.54784761339741</v>
      </c>
      <c r="W400" s="18" t="n">
        <f aca="false">IF('Scenario Analysis'!W361&gt;0,W393/'Scenario Analysis'!W361,0)</f>
        <v>0.518313096981064</v>
      </c>
      <c r="X400" s="18" t="n">
        <f aca="false">IF('Scenario Analysis'!X361&gt;0,X393/'Scenario Analysis'!X361,0)</f>
        <v>0.479682373937766</v>
      </c>
      <c r="Y400" s="18" t="n">
        <f aca="false">IF('Scenario Analysis'!Y361&gt;0,Y393/'Scenario Analysis'!Y361,0)</f>
        <v>0.4275801858888</v>
      </c>
      <c r="Z400" s="18" t="n">
        <f aca="false">IF('Scenario Analysis'!Z361&gt;0,Z393/'Scenario Analysis'!Z361,0)</f>
        <v>0.328107408800169</v>
      </c>
      <c r="AA400" s="18" t="n">
        <f aca="false">IF('Scenario Analysis'!AA361&gt;0,AA393/'Scenario Analysis'!AA361,0)</f>
        <v>0.180350874850641</v>
      </c>
      <c r="AB400" s="18" t="n">
        <f aca="false">IF('Scenario Analysis'!AB361&gt;0,AB393/'Scenario Analysis'!AB361,0)</f>
        <v>0</v>
      </c>
      <c r="AC400" s="18" t="n">
        <f aca="false">IF('Scenario Analysis'!AC361&gt;0,AC393/'Scenario Analysis'!AC361,0)</f>
        <v>0</v>
      </c>
      <c r="AD400" s="18" t="n">
        <f aca="false">IF('Scenario Analysis'!AD361&gt;0,AD393/'Scenario Analysis'!AD361,0)</f>
        <v>0</v>
      </c>
      <c r="AE400" s="18" t="n">
        <f aca="false">IF('Scenario Analysis'!AE361&gt;0,AE393/'Scenario Analysis'!AE361,0)</f>
        <v>0</v>
      </c>
      <c r="AF400" s="18" t="n">
        <f aca="false">IF('Scenario Analysis'!AF361&gt;0,AF393/'Scenario Analysis'!AF361,0)</f>
        <v>0</v>
      </c>
      <c r="AG400" s="18" t="n">
        <f aca="false">IF('Scenario Analysis'!AG361&gt;0,AG393/'Scenario Analysis'!AG361,0)</f>
        <v>0</v>
      </c>
      <c r="AH400" s="18" t="n">
        <f aca="false">IF('Scenario Analysis'!AH361&gt;0,AH393/'Scenario Analysis'!AH361,0)</f>
        <v>0</v>
      </c>
      <c r="AI400" s="18" t="n">
        <f aca="false">IF('Scenario Analysis'!AI361&gt;0,AI393/'Scenario Analysis'!AI361,0)</f>
        <v>0</v>
      </c>
      <c r="AJ400" s="18" t="n">
        <f aca="false">IF('Scenario Analysis'!AJ361&gt;0,AJ393/'Scenario Analysis'!AJ361,0)</f>
        <v>0</v>
      </c>
      <c r="AK400" s="18" t="n">
        <f aca="false">IF('Scenario Analysis'!AK361&gt;0,AK393/'Scenario Analysis'!AK361,0)</f>
        <v>0</v>
      </c>
      <c r="AL400" s="18" t="n">
        <f aca="false">IF('Scenario Analysis'!AL361&gt;0,AL393/'Scenario Analysis'!AL361,0)</f>
        <v>0</v>
      </c>
      <c r="AM400" s="18" t="n">
        <f aca="false">IF('Scenario Analysis'!AM361&gt;0,AM393/'Scenario Analysis'!AM361,0)</f>
        <v>0</v>
      </c>
      <c r="AN400" s="18" t="n">
        <f aca="false">IF('Scenario Analysis'!AN361&gt;0,AN393/'Scenario Analysis'!AN361,0)</f>
        <v>0</v>
      </c>
    </row>
    <row r="402" customFormat="false" ht="15" hidden="false" customHeight="false" outlineLevel="0" collapsed="false">
      <c r="A402" s="12" t="s">
        <v>222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customFormat="false" ht="15" hidden="false" customHeight="false" outlineLevel="0" collapsed="false">
      <c r="A403" s="14" t="s">
        <v>181</v>
      </c>
      <c r="C403" s="41" t="n">
        <f aca="false">IFERROR(SUMPRODUCT(E397:AN397,'Inputs &amp; Assumptions'!E$48:AN$48)/SUM(E397:AN397),0)</f>
        <v>2.83737723233007</v>
      </c>
    </row>
    <row r="404" customFormat="false" ht="15" hidden="false" customHeight="false" outlineLevel="0" collapsed="false">
      <c r="A404" s="14" t="s">
        <v>182</v>
      </c>
      <c r="C404" s="41" t="n">
        <f aca="false">IFERROR(SUMPRODUCT(E392:AN392,'Inputs &amp; Assumptions'!E$48:AN$48)/SUM(E392:AN392),0)</f>
        <v>3.57369859091535</v>
      </c>
    </row>
    <row r="405" customFormat="false" ht="15" hidden="false" customHeight="false" outlineLevel="0" collapsed="false">
      <c r="A405" s="14" t="s">
        <v>183</v>
      </c>
      <c r="C405" s="41" t="n">
        <f aca="false">IFERROR(SUMPRODUCT('Scenario Analysis'!E357:AN357,'Inputs &amp; Assumptions'!E$48:AN$48)/SUM('Scenario Analysis'!E357:AN357),0)</f>
        <v>3.09521324100978</v>
      </c>
    </row>
    <row r="406" customFormat="false" ht="15" hidden="false" customHeight="false" outlineLevel="0" collapsed="false">
      <c r="A406" s="14" t="s">
        <v>184</v>
      </c>
      <c r="C406" s="44" t="n">
        <f aca="false">IFERROR((1+IRR(D398:AN398))^4-1,"n/a")</f>
        <v>0.0439462031131122</v>
      </c>
    </row>
    <row r="407" customFormat="false" ht="15" hidden="false" customHeight="false" outlineLevel="0" collapsed="false">
      <c r="A407" s="14" t="s">
        <v>185</v>
      </c>
      <c r="C407" s="44" t="n">
        <f aca="false">IFERROR((1+IRR(D399:AN399))^4-1,"n/a")</f>
        <v>0.0401575892955539</v>
      </c>
    </row>
    <row r="408" customFormat="false" ht="15" hidden="false" customHeight="false" outlineLevel="0" collapsed="false">
      <c r="A408" s="14" t="s">
        <v>186</v>
      </c>
      <c r="C408" s="45" t="n">
        <f aca="false">SUM(E399:AN399)/'Inputs &amp; Assumptions'!$C$135</f>
        <v>1.13018238049198</v>
      </c>
    </row>
    <row r="409" customFormat="false" ht="15" hidden="false" customHeight="false" outlineLevel="0" collapsed="false">
      <c r="A409" s="14" t="s">
        <v>187</v>
      </c>
      <c r="C409" s="34" t="n">
        <f aca="false">SUM(E380:AN380)</f>
        <v>75738539.1532883</v>
      </c>
    </row>
    <row r="410" customFormat="false" ht="15" hidden="false" customHeight="false" outlineLevel="0" collapsed="false">
      <c r="A410" s="14" t="s">
        <v>188</v>
      </c>
      <c r="C410" s="34" t="n">
        <f aca="false">AN395</f>
        <v>46193654.6524567</v>
      </c>
    </row>
    <row r="411" customFormat="false" ht="15" hidden="false" customHeight="false" outlineLevel="0" collapsed="false">
      <c r="A411" s="14" t="s">
        <v>189</v>
      </c>
      <c r="C411" s="34" t="n">
        <f aca="false">SUMPRODUCT(--(E367:AN367&gt;1))</f>
        <v>24</v>
      </c>
    </row>
    <row r="412" customFormat="false" ht="15" hidden="false" customHeight="false" outlineLevel="0" collapsed="false">
      <c r="A412" s="14" t="s">
        <v>190</v>
      </c>
      <c r="C412" s="34" t="n">
        <f aca="false">SUM('Scenario Analysis'!E355:AN355)</f>
        <v>76553310.4967579</v>
      </c>
    </row>
    <row r="413" customFormat="false" ht="15" hidden="false" customHeight="false" outlineLevel="0" collapsed="false">
      <c r="A413" s="14" t="s">
        <v>191</v>
      </c>
      <c r="C413" s="34" t="n">
        <f aca="false">SUM('Scenario Analysis'!E356:AN356)</f>
        <v>30621324.1987032</v>
      </c>
    </row>
    <row r="414" customFormat="false" ht="15" hidden="false" customHeight="false" outlineLevel="0" collapsed="false">
      <c r="A414" s="14" t="s">
        <v>192</v>
      </c>
      <c r="C414" s="34" t="n">
        <f aca="false">SUM('Scenario Analysis'!E355:AN355)-SUM('Scenario Analysis'!E356:AN356)</f>
        <v>45931986.2980548</v>
      </c>
    </row>
    <row r="415" customFormat="false" ht="15" hidden="false" customHeight="false" outlineLevel="0" collapsed="false">
      <c r="A415" s="14" t="s">
        <v>193</v>
      </c>
      <c r="C415" s="44" t="n">
        <f aca="false">(SUM('Scenario Analysis'!E355:AN355)-SUM('Scenario Analysis'!E356:AN356))/'Inputs &amp; Assumptions'!$C$7</f>
        <v>0.0765533104967579</v>
      </c>
    </row>
    <row r="416" customFormat="false" ht="15" hidden="false" customHeight="false" outlineLevel="0" collapsed="false">
      <c r="A416" s="14" t="s">
        <v>194</v>
      </c>
      <c r="C416" s="46" t="n">
        <f aca="false">MAX(E400:AN400)</f>
        <v>0.631456133977736</v>
      </c>
    </row>
    <row r="419" customFormat="false" ht="15" hidden="false" customHeight="false" outlineLevel="0" collapsed="false">
      <c r="A419" s="3" t="s">
        <v>223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customFormat="false" ht="15" hidden="false" customHeight="false" outlineLevel="0" collapsed="false">
      <c r="A420" s="12" t="s">
        <v>224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customFormat="false" ht="15" hidden="false" customHeight="false" outlineLevel="0" collapsed="false">
      <c r="A421" s="2" t="s">
        <v>124</v>
      </c>
      <c r="B421" s="37" t="s">
        <v>125</v>
      </c>
      <c r="C421" s="37" t="s">
        <v>126</v>
      </c>
      <c r="D421" s="37" t="s">
        <v>127</v>
      </c>
      <c r="E421" s="37" t="n">
        <v>1</v>
      </c>
      <c r="F421" s="37" t="n">
        <v>2</v>
      </c>
      <c r="G421" s="37" t="n">
        <v>3</v>
      </c>
      <c r="H421" s="37" t="n">
        <v>4</v>
      </c>
      <c r="I421" s="37" t="n">
        <v>5</v>
      </c>
      <c r="J421" s="37" t="n">
        <v>6</v>
      </c>
      <c r="K421" s="37" t="n">
        <v>7</v>
      </c>
      <c r="L421" s="37" t="n">
        <v>8</v>
      </c>
      <c r="M421" s="37" t="n">
        <v>9</v>
      </c>
      <c r="N421" s="37" t="n">
        <v>10</v>
      </c>
      <c r="O421" s="37" t="n">
        <v>11</v>
      </c>
      <c r="P421" s="37" t="n">
        <v>12</v>
      </c>
      <c r="Q421" s="37" t="n">
        <v>13</v>
      </c>
      <c r="R421" s="37" t="n">
        <v>14</v>
      </c>
      <c r="S421" s="37" t="n">
        <v>15</v>
      </c>
      <c r="T421" s="37" t="n">
        <v>16</v>
      </c>
      <c r="U421" s="37" t="n">
        <v>17</v>
      </c>
      <c r="V421" s="37" t="n">
        <v>18</v>
      </c>
      <c r="W421" s="37" t="n">
        <v>19</v>
      </c>
      <c r="X421" s="37" t="n">
        <v>20</v>
      </c>
      <c r="Y421" s="37" t="n">
        <v>21</v>
      </c>
      <c r="Z421" s="37" t="n">
        <v>22</v>
      </c>
      <c r="AA421" s="37" t="n">
        <v>23</v>
      </c>
      <c r="AB421" s="37" t="n">
        <v>24</v>
      </c>
      <c r="AC421" s="37" t="n">
        <v>25</v>
      </c>
      <c r="AD421" s="37" t="n">
        <v>26</v>
      </c>
      <c r="AE421" s="37" t="n">
        <v>27</v>
      </c>
      <c r="AF421" s="37" t="n">
        <v>28</v>
      </c>
      <c r="AG421" s="37" t="n">
        <v>29</v>
      </c>
      <c r="AH421" s="37" t="n">
        <v>30</v>
      </c>
      <c r="AI421" s="37" t="n">
        <v>31</v>
      </c>
      <c r="AJ421" s="37" t="n">
        <v>32</v>
      </c>
      <c r="AK421" s="37" t="n">
        <v>33</v>
      </c>
      <c r="AL421" s="37" t="n">
        <v>34</v>
      </c>
      <c r="AM421" s="37" t="n">
        <v>35</v>
      </c>
      <c r="AN421" s="37" t="n">
        <v>36</v>
      </c>
    </row>
    <row r="422" customFormat="false" ht="15" hidden="false" customHeight="false" outlineLevel="0" collapsed="false">
      <c r="A422" s="14" t="s">
        <v>82</v>
      </c>
      <c r="B422" s="37" t="n">
        <v>1</v>
      </c>
      <c r="C422" s="38" t="n">
        <f aca="false">'Inputs &amp; Assumptions'!$C$140</f>
        <v>0</v>
      </c>
      <c r="D422" s="38" t="n">
        <f aca="false">'Inputs &amp; Assumptions'!$D$140</f>
        <v>1</v>
      </c>
      <c r="E422" s="39" t="n">
        <f aca="false">'Inputs &amp; Assumptions'!$G$140</f>
        <v>20000000</v>
      </c>
      <c r="F422" s="39" t="n">
        <f aca="false">E422-E433-E444-E455</f>
        <v>18614086.3484005</v>
      </c>
      <c r="G422" s="39" t="n">
        <f aca="false">F422-F433-F444-F455</f>
        <v>17324210.5292855</v>
      </c>
      <c r="H422" s="39" t="n">
        <f aca="false">G422-G433-G444-G455</f>
        <v>16123717.5354995</v>
      </c>
      <c r="I422" s="39" t="n">
        <f aca="false">H422-H433-H444-H455</f>
        <v>15006413.5231503</v>
      </c>
      <c r="J422" s="39" t="n">
        <f aca="false">I422-I433-I444-I455</f>
        <v>13471822.5074432</v>
      </c>
      <c r="K422" s="39" t="n">
        <f aca="false">J422-J433-J444-J455</f>
        <v>12094162.3654493</v>
      </c>
      <c r="L422" s="39" t="n">
        <f aca="false">K422-K433-K444-K455</f>
        <v>10857384.9782415</v>
      </c>
      <c r="M422" s="39" t="n">
        <f aca="false">L422-L433-L444-L455</f>
        <v>9747083.34514449</v>
      </c>
      <c r="N422" s="39" t="n">
        <f aca="false">M422-M433-M444-M455</f>
        <v>8771783.78061766</v>
      </c>
      <c r="O422" s="39" t="n">
        <f aca="false">N422-N433-N444-N455</f>
        <v>7894073.33140706</v>
      </c>
      <c r="P422" s="39" t="n">
        <f aca="false">O422-O433-O444-O455</f>
        <v>7104187.16650631</v>
      </c>
      <c r="Q422" s="39" t="n">
        <f aca="false">P422-P433-P444-P455</f>
        <v>6393337.53031619</v>
      </c>
      <c r="R422" s="39" t="n">
        <f aca="false">Q422-Q433-Q444-Q455</f>
        <v>5775903.17329729</v>
      </c>
      <c r="S422" s="39" t="n">
        <f aca="false">R422-R433-R444-R455</f>
        <v>5218097.3253974</v>
      </c>
      <c r="T422" s="39" t="n">
        <f aca="false">S422-S433-S444-S455</f>
        <v>4714161.38400664</v>
      </c>
      <c r="U422" s="39" t="n">
        <f aca="false">T422-T433-T444-T455</f>
        <v>4258892.88156712</v>
      </c>
      <c r="V422" s="39" t="n">
        <f aca="false">U422-U433-U444-U455</f>
        <v>3860680.1527876</v>
      </c>
      <c r="W422" s="39" t="n">
        <f aca="false">V422-V433-V444-V455</f>
        <v>3499700.89800512</v>
      </c>
      <c r="X422" s="39" t="n">
        <f aca="false">W422-W433-W444-W455</f>
        <v>3172473.73280956</v>
      </c>
      <c r="Y422" s="39" t="n">
        <f aca="false">X422-X433-X444-X455</f>
        <v>2875842.78733751</v>
      </c>
      <c r="Z422" s="39" t="n">
        <f aca="false">Y422-Y433-Y444-Y455</f>
        <v>2612883.24281852</v>
      </c>
      <c r="AA422" s="39" t="n">
        <f aca="false">Z422-Z433-Z444-Z455</f>
        <v>2373968.03144531</v>
      </c>
      <c r="AB422" s="39" t="n">
        <f aca="false">AA422-AA433-AA444-AA455</f>
        <v>2156898.60226784</v>
      </c>
      <c r="AC422" s="39" t="n">
        <f aca="false">AB422-AB433-AB444-AB455</f>
        <v>1959677.43408601</v>
      </c>
      <c r="AD422" s="39" t="n">
        <f aca="false">AC422-AC433-AC444-AC455</f>
        <v>1784175.03728665</v>
      </c>
      <c r="AE422" s="39" t="n">
        <f aca="false">AD422-AD433-AD444-AD455</f>
        <v>1624390.06966547</v>
      </c>
      <c r="AF422" s="39" t="n">
        <f aca="false">AE422-AE433-AE444-AE455</f>
        <v>1478914.92890776</v>
      </c>
      <c r="AG422" s="39" t="n">
        <f aca="false">AF422-AF433-AF444-AF455</f>
        <v>0</v>
      </c>
      <c r="AH422" s="39" t="n">
        <f aca="false">AG422-AG433-AG444-AG455</f>
        <v>0</v>
      </c>
      <c r="AI422" s="39" t="n">
        <f aca="false">AH422-AH433-AH444-AH455</f>
        <v>0</v>
      </c>
      <c r="AJ422" s="39" t="n">
        <f aca="false">AI422-AI433-AI444-AI455</f>
        <v>0</v>
      </c>
      <c r="AK422" s="39" t="n">
        <f aca="false">AJ422-AJ433-AJ444-AJ455</f>
        <v>0</v>
      </c>
      <c r="AL422" s="39" t="n">
        <f aca="false">AK422-AK433-AK444-AK455</f>
        <v>0</v>
      </c>
      <c r="AM422" s="39" t="n">
        <f aca="false">AL422-AL433-AL444-AL455</f>
        <v>0</v>
      </c>
      <c r="AN422" s="39" t="n">
        <f aca="false">AM422-AM433-AM444-AM455</f>
        <v>0</v>
      </c>
    </row>
    <row r="423" customFormat="false" ht="15" hidden="false" customHeight="false" outlineLevel="0" collapsed="false">
      <c r="B423" s="37" t="n">
        <v>2</v>
      </c>
      <c r="C423" s="38" t="n">
        <f aca="false">'Inputs &amp; Assumptions'!$C$141</f>
        <v>1</v>
      </c>
      <c r="D423" s="38" t="n">
        <f aca="false">'Inputs &amp; Assumptions'!$D$141</f>
        <v>3</v>
      </c>
      <c r="E423" s="39" t="n">
        <f aca="false">'Inputs &amp; Assumptions'!$G$141</f>
        <v>60000000</v>
      </c>
      <c r="F423" s="39" t="n">
        <f aca="false">E423-E434-E445-E456</f>
        <v>55842259.0452015</v>
      </c>
      <c r="G423" s="39" t="n">
        <f aca="false">F423-F434-F445-F456</f>
        <v>51972631.5878565</v>
      </c>
      <c r="H423" s="39" t="n">
        <f aca="false">G423-G434-G445-G456</f>
        <v>48371152.6064984</v>
      </c>
      <c r="I423" s="39" t="n">
        <f aca="false">H423-H434-H445-H456</f>
        <v>43424605.1789725</v>
      </c>
      <c r="J423" s="39" t="n">
        <f aca="false">I423-I434-I445-I456</f>
        <v>38983903.2840476</v>
      </c>
      <c r="K423" s="39" t="n">
        <f aca="false">J423-J434-J445-J456</f>
        <v>34997317.9720673</v>
      </c>
      <c r="L423" s="39" t="n">
        <f aca="false">K423-K434-K445-K456</f>
        <v>31418410.216998</v>
      </c>
      <c r="M423" s="39" t="n">
        <f aca="false">L423-L434-L445-L456</f>
        <v>28274663.4449928</v>
      </c>
      <c r="N423" s="39" t="n">
        <f aca="false">M423-M434-M445-M456</f>
        <v>25445482.040816</v>
      </c>
      <c r="O423" s="39" t="n">
        <f aca="false">N423-N434-N445-N456</f>
        <v>22899390.3870552</v>
      </c>
      <c r="P423" s="39" t="n">
        <f aca="false">O423-O434-O445-O456</f>
        <v>20608062.3372596</v>
      </c>
      <c r="Q423" s="39" t="n">
        <f aca="false">P423-P434-P445-P456</f>
        <v>18617845.8567007</v>
      </c>
      <c r="R423" s="39" t="n">
        <f aca="false">Q423-Q434-Q445-Q456</f>
        <v>16819833.8432414</v>
      </c>
      <c r="S423" s="39" t="n">
        <f aca="false">R423-R434-R445-R456</f>
        <v>15195464.2170607</v>
      </c>
      <c r="T423" s="39" t="n">
        <f aca="false">S423-S434-S445-S456</f>
        <v>13727967.5247657</v>
      </c>
      <c r="U423" s="39" t="n">
        <f aca="false">T423-T434-T445-T456</f>
        <v>12444382.4333694</v>
      </c>
      <c r="V423" s="39" t="n">
        <f aca="false">U423-U434-U445-U456</f>
        <v>11280814.4300003</v>
      </c>
      <c r="W423" s="39" t="n">
        <f aca="false">V423-V434-V445-V456</f>
        <v>10226041.7409598</v>
      </c>
      <c r="X423" s="39" t="n">
        <f aca="false">W423-W434-W445-W456</f>
        <v>9269891.8448435</v>
      </c>
      <c r="Y423" s="39" t="n">
        <f aca="false">X423-X434-X445-X456</f>
        <v>8422277.17411349</v>
      </c>
      <c r="Z423" s="39" t="n">
        <f aca="false">Y423-Y434-Y445-Y456</f>
        <v>7652166.17247283</v>
      </c>
      <c r="AA423" s="39" t="n">
        <f aca="false">Z423-Z434-Z445-Z456</f>
        <v>6952472.107082</v>
      </c>
      <c r="AB423" s="39" t="n">
        <f aca="false">AA423-AA434-AA445-AA456</f>
        <v>6316756.23742146</v>
      </c>
      <c r="AC423" s="39" t="n">
        <f aca="false">AB423-AB434-AB445-AB456</f>
        <v>5751047.90176273</v>
      </c>
      <c r="AD423" s="39" t="n">
        <f aca="false">AC423-AC434-AC445-AC456</f>
        <v>5236002.58189965</v>
      </c>
      <c r="AE423" s="39" t="n">
        <f aca="false">AD423-AD434-AD445-AD456</f>
        <v>4767083.06137682</v>
      </c>
      <c r="AF423" s="39" t="n">
        <f aca="false">AE423-AE434-AE445-AE456</f>
        <v>0</v>
      </c>
      <c r="AG423" s="39" t="n">
        <f aca="false">AF423-AF434-AF445-AF456</f>
        <v>0</v>
      </c>
      <c r="AH423" s="39" t="n">
        <f aca="false">AG423-AG434-AG445-AG456</f>
        <v>0</v>
      </c>
      <c r="AI423" s="39" t="n">
        <f aca="false">AH423-AH434-AH445-AH456</f>
        <v>0</v>
      </c>
      <c r="AJ423" s="39" t="n">
        <f aca="false">AI423-AI434-AI445-AI456</f>
        <v>0</v>
      </c>
      <c r="AK423" s="39" t="n">
        <f aca="false">AJ423-AJ434-AJ445-AJ456</f>
        <v>0</v>
      </c>
      <c r="AL423" s="39" t="n">
        <f aca="false">AK423-AK434-AK445-AK456</f>
        <v>0</v>
      </c>
      <c r="AM423" s="39" t="n">
        <f aca="false">AL423-AL434-AL445-AL456</f>
        <v>0</v>
      </c>
      <c r="AN423" s="39" t="n">
        <f aca="false">AM423-AM434-AM445-AM456</f>
        <v>0</v>
      </c>
    </row>
    <row r="424" customFormat="false" ht="15" hidden="false" customHeight="false" outlineLevel="0" collapsed="false">
      <c r="B424" s="37" t="n">
        <v>3</v>
      </c>
      <c r="C424" s="38" t="n">
        <f aca="false">'Inputs &amp; Assumptions'!$C$142</f>
        <v>2</v>
      </c>
      <c r="D424" s="38" t="n">
        <f aca="false">'Inputs &amp; Assumptions'!$D$142</f>
        <v>3</v>
      </c>
      <c r="E424" s="39" t="n">
        <f aca="false">'Inputs &amp; Assumptions'!$G$142</f>
        <v>60000000</v>
      </c>
      <c r="F424" s="39" t="n">
        <f aca="false">E424-E435-E446-E457</f>
        <v>55842259.0452015</v>
      </c>
      <c r="G424" s="39" t="n">
        <f aca="false">F424-F435-F446-F457</f>
        <v>51972631.5878565</v>
      </c>
      <c r="H424" s="39" t="n">
        <f aca="false">G424-G435-G446-G457</f>
        <v>46657788.479319</v>
      </c>
      <c r="I424" s="39" t="n">
        <f aca="false">H424-H435-H446-H457</f>
        <v>41886453.6828556</v>
      </c>
      <c r="J424" s="39" t="n">
        <f aca="false">I424-I435-I446-I457</f>
        <v>37603046.7647149</v>
      </c>
      <c r="K424" s="39" t="n">
        <f aca="false">J424-J435-J446-J457</f>
        <v>33757671.0765584</v>
      </c>
      <c r="L424" s="39" t="n">
        <f aca="false">K424-K435-K446-K457</f>
        <v>30379856.3257685</v>
      </c>
      <c r="M424" s="39" t="n">
        <f aca="false">L424-L435-L446-L457</f>
        <v>27340027.9385751</v>
      </c>
      <c r="N424" s="39" t="n">
        <f aca="false">M424-M435-M446-M457</f>
        <v>24604366.777339</v>
      </c>
      <c r="O424" s="39" t="n">
        <f aca="false">N424-N435-N446-N457</f>
        <v>22142437.6695561</v>
      </c>
      <c r="P424" s="39" t="n">
        <f aca="false">O424-O435-O446-O457</f>
        <v>20004039.4228648</v>
      </c>
      <c r="Q424" s="39" t="n">
        <f aca="false">P424-P435-P446-P457</f>
        <v>18072156.2459999</v>
      </c>
      <c r="R424" s="39" t="n">
        <f aca="false">Q424-Q435-Q446-Q457</f>
        <v>16326844.0176399</v>
      </c>
      <c r="S424" s="39" t="n">
        <f aca="false">R424-R435-R446-R457</f>
        <v>14750084.7130704</v>
      </c>
      <c r="T424" s="39" t="n">
        <f aca="false">S424-S435-S446-S457</f>
        <v>13370930.1659479</v>
      </c>
      <c r="U424" s="39" t="n">
        <f aca="false">T424-T435-T446-T457</f>
        <v>12120728.5910862</v>
      </c>
      <c r="V424" s="39" t="n">
        <f aca="false">U424-U435-U446-U457</f>
        <v>10987422.6965091</v>
      </c>
      <c r="W424" s="39" t="n">
        <f aca="false">V424-V435-V446-V457</f>
        <v>9960082.56471857</v>
      </c>
      <c r="X424" s="39" t="n">
        <f aca="false">W424-W435-W446-W457</f>
        <v>9049358.65932223</v>
      </c>
      <c r="Y424" s="39" t="n">
        <f aca="false">X424-X435-X446-X457</f>
        <v>8221908.96641067</v>
      </c>
      <c r="Z424" s="39" t="n">
        <f aca="false">Y424-Y435-Y446-Y457</f>
        <v>7470119.10974553</v>
      </c>
      <c r="AA424" s="39" t="n">
        <f aca="false">Z424-Z435-Z446-Z457</f>
        <v>6787070.95174108</v>
      </c>
      <c r="AB424" s="39" t="n">
        <f aca="false">AA424-AA435-AA446-AA457</f>
        <v>6179242.7456499</v>
      </c>
      <c r="AC424" s="39" t="n">
        <f aca="false">AB424-AB435-AB446-AB457</f>
        <v>5625849.67523757</v>
      </c>
      <c r="AD424" s="39" t="n">
        <f aca="false">AC424-AC435-AC446-AC457</f>
        <v>5122016.70514594</v>
      </c>
      <c r="AE424" s="39" t="n">
        <f aca="false">AD424-AD435-AD446-AD457</f>
        <v>0</v>
      </c>
      <c r="AF424" s="39" t="n">
        <f aca="false">AE424-AE435-AE446-AE457</f>
        <v>0</v>
      </c>
      <c r="AG424" s="39" t="n">
        <f aca="false">AF424-AF435-AF446-AF457</f>
        <v>0</v>
      </c>
      <c r="AH424" s="39" t="n">
        <f aca="false">AG424-AG435-AG446-AG457</f>
        <v>0</v>
      </c>
      <c r="AI424" s="39" t="n">
        <f aca="false">AH424-AH435-AH446-AH457</f>
        <v>0</v>
      </c>
      <c r="AJ424" s="39" t="n">
        <f aca="false">AI424-AI435-AI446-AI457</f>
        <v>0</v>
      </c>
      <c r="AK424" s="39" t="n">
        <f aca="false">AJ424-AJ435-AJ446-AJ457</f>
        <v>0</v>
      </c>
      <c r="AL424" s="39" t="n">
        <f aca="false">AK424-AK435-AK446-AK457</f>
        <v>0</v>
      </c>
      <c r="AM424" s="39" t="n">
        <f aca="false">AL424-AL435-AL446-AL457</f>
        <v>0</v>
      </c>
      <c r="AN424" s="39" t="n">
        <f aca="false">AM424-AM435-AM446-AM457</f>
        <v>0</v>
      </c>
    </row>
    <row r="425" customFormat="false" ht="15" hidden="false" customHeight="false" outlineLevel="0" collapsed="false">
      <c r="B425" s="37" t="n">
        <v>4</v>
      </c>
      <c r="C425" s="38" t="n">
        <f aca="false">'Inputs &amp; Assumptions'!$C$143</f>
        <v>3</v>
      </c>
      <c r="D425" s="38" t="n">
        <f aca="false">'Inputs &amp; Assumptions'!$D$143</f>
        <v>3</v>
      </c>
      <c r="E425" s="39" t="n">
        <f aca="false">'Inputs &amp; Assumptions'!$G$143</f>
        <v>60000000</v>
      </c>
      <c r="F425" s="39" t="n">
        <f aca="false">E425-E436-E447-E458</f>
        <v>55842259.0452015</v>
      </c>
      <c r="G425" s="39" t="n">
        <f aca="false">F425-F436-F447-F458</f>
        <v>50131698.7640688</v>
      </c>
      <c r="H425" s="39" t="n">
        <f aca="false">G425-G436-G447-G458</f>
        <v>45005113.7604773</v>
      </c>
      <c r="I425" s="39" t="n">
        <f aca="false">H425-H436-H447-H458</f>
        <v>40402785.353949</v>
      </c>
      <c r="J425" s="39" t="n">
        <f aca="false">I425-I436-I447-I458</f>
        <v>36271101.8362275</v>
      </c>
      <c r="K425" s="39" t="n">
        <f aca="false">J425-J436-J447-J458</f>
        <v>32641791.5519974</v>
      </c>
      <c r="L425" s="39" t="n">
        <f aca="false">K425-K436-K447-K458</f>
        <v>29375632.4397028</v>
      </c>
      <c r="M425" s="39" t="n">
        <f aca="false">L425-L436-L447-L458</f>
        <v>26436287.3544456</v>
      </c>
      <c r="N425" s="39" t="n">
        <f aca="false">M425-M436-M447-M458</f>
        <v>23791055.0699242</v>
      </c>
      <c r="O425" s="39" t="n">
        <f aca="false">N425-N436-N447-N458</f>
        <v>21493442.1689559</v>
      </c>
      <c r="P425" s="39" t="n">
        <f aca="false">O425-O436-O447-O458</f>
        <v>19417720.4378906</v>
      </c>
      <c r="Q425" s="39" t="n">
        <f aca="false">P425-P436-P447-P458</f>
        <v>17542460.8138694</v>
      </c>
      <c r="R425" s="39" t="n">
        <f aca="false">Q425-Q436-Q447-Q458</f>
        <v>15848303.7383544</v>
      </c>
      <c r="S425" s="39" t="n">
        <f aca="false">R425-R436-R447-R458</f>
        <v>14366464.1021684</v>
      </c>
      <c r="T425" s="39" t="n">
        <f aca="false">S425-S436-S447-S458</f>
        <v>13023178.6446265</v>
      </c>
      <c r="U425" s="39" t="n">
        <f aca="false">T425-T436-T447-T458</f>
        <v>11805492.3468787</v>
      </c>
      <c r="V425" s="39" t="n">
        <f aca="false">U425-U436-U447-U458</f>
        <v>10701661.5033318</v>
      </c>
      <c r="W425" s="39" t="n">
        <f aca="false">V425-V436-V447-V458</f>
        <v>9723129.5589212</v>
      </c>
      <c r="X425" s="39" t="n">
        <f aca="false">W425-W436-W447-W458</f>
        <v>8834072.01677365</v>
      </c>
      <c r="Y425" s="39" t="n">
        <f aca="false">X425-X436-X447-X458</f>
        <v>8026307.57151014</v>
      </c>
      <c r="Z425" s="39" t="n">
        <f aca="false">Y425-Y436-Y447-Y458</f>
        <v>7292402.99492248</v>
      </c>
      <c r="AA425" s="39" t="n">
        <f aca="false">Z425-Z436-Z447-Z458</f>
        <v>6639318.8792539</v>
      </c>
      <c r="AB425" s="39" t="n">
        <f aca="false">AA425-AA436-AA447-AA458</f>
        <v>6044722.8727087</v>
      </c>
      <c r="AC425" s="39" t="n">
        <f aca="false">AB425-AB436-AB447-AB458</f>
        <v>5503376.96868594</v>
      </c>
      <c r="AD425" s="39" t="n">
        <f aca="false">AC425-AC436-AC447-AC458</f>
        <v>0</v>
      </c>
      <c r="AE425" s="39" t="n">
        <f aca="false">AD425-AD436-AD447-AD458</f>
        <v>0</v>
      </c>
      <c r="AF425" s="39" t="n">
        <f aca="false">AE425-AE436-AE447-AE458</f>
        <v>0</v>
      </c>
      <c r="AG425" s="39" t="n">
        <f aca="false">AF425-AF436-AF447-AF458</f>
        <v>0</v>
      </c>
      <c r="AH425" s="39" t="n">
        <f aca="false">AG425-AG436-AG447-AG458</f>
        <v>0</v>
      </c>
      <c r="AI425" s="39" t="n">
        <f aca="false">AH425-AH436-AH447-AH458</f>
        <v>0</v>
      </c>
      <c r="AJ425" s="39" t="n">
        <f aca="false">AI425-AI436-AI447-AI458</f>
        <v>0</v>
      </c>
      <c r="AK425" s="39" t="n">
        <f aca="false">AJ425-AJ436-AJ447-AJ458</f>
        <v>0</v>
      </c>
      <c r="AL425" s="39" t="n">
        <f aca="false">AK425-AK436-AK447-AK458</f>
        <v>0</v>
      </c>
      <c r="AM425" s="39" t="n">
        <f aca="false">AL425-AL436-AL447-AL458</f>
        <v>0</v>
      </c>
      <c r="AN425" s="39" t="n">
        <f aca="false">AM425-AM436-AM447-AM458</f>
        <v>0</v>
      </c>
    </row>
    <row r="426" customFormat="false" ht="15" hidden="false" customHeight="false" outlineLevel="0" collapsed="false">
      <c r="B426" s="37" t="n">
        <v>5</v>
      </c>
      <c r="C426" s="38" t="n">
        <f aca="false">'Inputs &amp; Assumptions'!$C$144</f>
        <v>4</v>
      </c>
      <c r="D426" s="38" t="n">
        <f aca="false">'Inputs &amp; Assumptions'!$D$144</f>
        <v>3</v>
      </c>
      <c r="E426" s="39" t="n">
        <f aca="false">'Inputs &amp; Assumptions'!$G$144</f>
        <v>60000000</v>
      </c>
      <c r="F426" s="39" t="n">
        <f aca="false">E426-E437-E448-E459</f>
        <v>53864259.3848036</v>
      </c>
      <c r="G426" s="39" t="n">
        <f aca="false">F426-F437-F448-F459</f>
        <v>48355973.9845566</v>
      </c>
      <c r="H426" s="39" t="n">
        <f aca="false">G426-G437-G448-G459</f>
        <v>43410978.7584829</v>
      </c>
      <c r="I426" s="39" t="n">
        <f aca="false">H426-H437-H448-H459</f>
        <v>38971670.333252</v>
      </c>
      <c r="J426" s="39" t="n">
        <f aca="false">I426-I437-I448-I459</f>
        <v>35072139.3906097</v>
      </c>
      <c r="K426" s="39" t="n">
        <f aca="false">J426-J437-J448-J459</f>
        <v>31562798.0765513</v>
      </c>
      <c r="L426" s="39" t="n">
        <f aca="false">K426-K437-K448-K459</f>
        <v>28404603.760439</v>
      </c>
      <c r="M426" s="39" t="n">
        <f aca="false">L426-L437-L448-L459</f>
        <v>25562420.4429121</v>
      </c>
      <c r="N426" s="39" t="n">
        <f aca="false">M426-M437-M448-M459</f>
        <v>23093738.5447369</v>
      </c>
      <c r="O426" s="39" t="n">
        <f aca="false">N426-N437-N448-N459</f>
        <v>20863468.7456032</v>
      </c>
      <c r="P426" s="39" t="n">
        <f aca="false">O426-O437-O448-O459</f>
        <v>18848586.479644</v>
      </c>
      <c r="Q426" s="39" t="n">
        <f aca="false">P426-P437-P448-P459</f>
        <v>17028290.770464</v>
      </c>
      <c r="R426" s="39" t="n">
        <f aca="false">Q426-Q437-Q448-Q459</f>
        <v>15436120.6166886</v>
      </c>
      <c r="S426" s="39" t="n">
        <f aca="false">R426-R437-R448-R459</f>
        <v>13992820.7067177</v>
      </c>
      <c r="T426" s="39" t="n">
        <f aca="false">S426-S437-S448-S459</f>
        <v>12684471.4544834</v>
      </c>
      <c r="U426" s="39" t="n">
        <f aca="false">T426-T437-T448-T459</f>
        <v>11498454.7756236</v>
      </c>
      <c r="V426" s="39" t="n">
        <f aca="false">U426-U437-U448-U459</f>
        <v>10447066.1379055</v>
      </c>
      <c r="W426" s="39" t="n">
        <f aca="false">V426-V437-V448-V459</f>
        <v>9491813.7279757</v>
      </c>
      <c r="X426" s="39" t="n">
        <f aca="false">W426-W437-W448-W459</f>
        <v>8623907.10054898</v>
      </c>
      <c r="Y426" s="39" t="n">
        <f aca="false">X426-X437-X448-X459</f>
        <v>7835359.58567111</v>
      </c>
      <c r="Z426" s="39" t="n">
        <f aca="false">Y426-Y437-Y448-Y459</f>
        <v>7133650.02717355</v>
      </c>
      <c r="AA426" s="39" t="n">
        <f aca="false">Z426-Z437-Z448-Z459</f>
        <v>6494783.31578506</v>
      </c>
      <c r="AB426" s="39" t="n">
        <f aca="false">AA426-AA437-AA448-AA459</f>
        <v>5913131.44860193</v>
      </c>
      <c r="AC426" s="39" t="n">
        <f aca="false">AB426-AB437-AB448-AB459</f>
        <v>0</v>
      </c>
      <c r="AD426" s="39" t="n">
        <f aca="false">AC426-AC437-AC448-AC459</f>
        <v>0</v>
      </c>
      <c r="AE426" s="39" t="n">
        <f aca="false">AD426-AD437-AD448-AD459</f>
        <v>0</v>
      </c>
      <c r="AF426" s="39" t="n">
        <f aca="false">AE426-AE437-AE448-AE459</f>
        <v>0</v>
      </c>
      <c r="AG426" s="39" t="n">
        <f aca="false">AF426-AF437-AF448-AF459</f>
        <v>0</v>
      </c>
      <c r="AH426" s="39" t="n">
        <f aca="false">AG426-AG437-AG448-AG459</f>
        <v>0</v>
      </c>
      <c r="AI426" s="39" t="n">
        <f aca="false">AH426-AH437-AH448-AH459</f>
        <v>0</v>
      </c>
      <c r="AJ426" s="39" t="n">
        <f aca="false">AI426-AI437-AI448-AI459</f>
        <v>0</v>
      </c>
      <c r="AK426" s="39" t="n">
        <f aca="false">AJ426-AJ437-AJ448-AJ459</f>
        <v>0</v>
      </c>
      <c r="AL426" s="39" t="n">
        <f aca="false">AK426-AK437-AK448-AK459</f>
        <v>0</v>
      </c>
      <c r="AM426" s="39" t="n">
        <f aca="false">AL426-AL437-AL448-AL459</f>
        <v>0</v>
      </c>
      <c r="AN426" s="39" t="n">
        <f aca="false">AM426-AM437-AM448-AM459</f>
        <v>0</v>
      </c>
    </row>
    <row r="427" customFormat="false" ht="15" hidden="false" customHeight="false" outlineLevel="0" collapsed="false">
      <c r="B427" s="37" t="n">
        <v>6</v>
      </c>
      <c r="C427" s="38" t="n">
        <f aca="false">'Inputs &amp; Assumptions'!$C$145</f>
        <v>5</v>
      </c>
      <c r="D427" s="38" t="n">
        <f aca="false">'Inputs &amp; Assumptions'!$D$145</f>
        <v>3</v>
      </c>
      <c r="E427" s="39" t="n">
        <f aca="false">'Inputs &amp; Assumptions'!$G$145</f>
        <v>58200000</v>
      </c>
      <c r="F427" s="39" t="n">
        <f aca="false">E427-E438-E449-E460</f>
        <v>52248331.6032595</v>
      </c>
      <c r="G427" s="39" t="n">
        <f aca="false">F427-F438-F449-F460</f>
        <v>46905294.7650199</v>
      </c>
      <c r="H427" s="39" t="n">
        <f aca="false">G427-G438-G449-G460</f>
        <v>42108649.3957284</v>
      </c>
      <c r="I427" s="39" t="n">
        <f aca="false">H427-H438-H449-H460</f>
        <v>37895230.2667204</v>
      </c>
      <c r="J427" s="39" t="n">
        <f aca="false">I427-I438-I449-I460</f>
        <v>34103408.6244865</v>
      </c>
      <c r="K427" s="39" t="n">
        <f aca="false">J427-J438-J449-J460</f>
        <v>30690999.1474596</v>
      </c>
      <c r="L427" s="39" t="n">
        <f aca="false">K427-K438-K449-K460</f>
        <v>27620037.6050694</v>
      </c>
      <c r="M427" s="39" t="n">
        <f aca="false">L427-L438-L449-L460</f>
        <v>24952642.0423201</v>
      </c>
      <c r="N427" s="39" t="n">
        <f aca="false">M427-M438-M449-M460</f>
        <v>22542849.2819243</v>
      </c>
      <c r="O427" s="39" t="n">
        <f aca="false">N427-N438-N449-N460</f>
        <v>20365781.4224912</v>
      </c>
      <c r="P427" s="39" t="n">
        <f aca="false">O427-O438-O449-O460</f>
        <v>18398963.1373378</v>
      </c>
      <c r="Q427" s="39" t="n">
        <f aca="false">P427-P438-P449-P460</f>
        <v>16678633.1075914</v>
      </c>
      <c r="R427" s="39" t="n">
        <f aca="false">Q427-Q438-Q449-Q460</f>
        <v>15119156.4579598</v>
      </c>
      <c r="S427" s="39" t="n">
        <f aca="false">R427-R438-R449-R460</f>
        <v>13705493.1615602</v>
      </c>
      <c r="T427" s="39" t="n">
        <f aca="false">S427-S438-S449-S460</f>
        <v>12424009.4560753</v>
      </c>
      <c r="U427" s="39" t="n">
        <f aca="false">T427-T438-T449-T460</f>
        <v>11287990.5185819</v>
      </c>
      <c r="V427" s="39" t="n">
        <f aca="false">U427-U438-U449-U460</f>
        <v>10255846.1821911</v>
      </c>
      <c r="W427" s="39" t="n">
        <f aca="false">V427-V438-V449-V460</f>
        <v>9318078.42499645</v>
      </c>
      <c r="X427" s="39" t="n">
        <f aca="false">W427-W438-W449-W460</f>
        <v>8466057.69937891</v>
      </c>
      <c r="Y427" s="39" t="n">
        <f aca="false">X427-X438-X449-X460</f>
        <v>7707864.84996456</v>
      </c>
      <c r="Z427" s="39" t="n">
        <f aca="false">Y427-Y438-Y449-Y460</f>
        <v>7017573.30920125</v>
      </c>
      <c r="AA427" s="39" t="n">
        <f aca="false">Z427-Z438-Z449-Z460</f>
        <v>6389102.05466825</v>
      </c>
      <c r="AB427" s="39" t="n">
        <f aca="false">AA427-AA438-AA449-AA460</f>
        <v>0</v>
      </c>
      <c r="AC427" s="39" t="n">
        <f aca="false">AB427-AB438-AB449-AB460</f>
        <v>0</v>
      </c>
      <c r="AD427" s="39" t="n">
        <f aca="false">AC427-AC438-AC449-AC460</f>
        <v>0</v>
      </c>
      <c r="AE427" s="39" t="n">
        <f aca="false">AD427-AD438-AD449-AD460</f>
        <v>0</v>
      </c>
      <c r="AF427" s="39" t="n">
        <f aca="false">AE427-AE438-AE449-AE460</f>
        <v>0</v>
      </c>
      <c r="AG427" s="39" t="n">
        <f aca="false">AF427-AF438-AF449-AF460</f>
        <v>0</v>
      </c>
      <c r="AH427" s="39" t="n">
        <f aca="false">AG427-AG438-AG449-AG460</f>
        <v>0</v>
      </c>
      <c r="AI427" s="39" t="n">
        <f aca="false">AH427-AH438-AH449-AH460</f>
        <v>0</v>
      </c>
      <c r="AJ427" s="39" t="n">
        <f aca="false">AI427-AI438-AI449-AI460</f>
        <v>0</v>
      </c>
      <c r="AK427" s="39" t="n">
        <f aca="false">AJ427-AJ438-AJ449-AJ460</f>
        <v>0</v>
      </c>
      <c r="AL427" s="39" t="n">
        <f aca="false">AK427-AK438-AK449-AK460</f>
        <v>0</v>
      </c>
      <c r="AM427" s="39" t="n">
        <f aca="false">AL427-AL438-AL449-AL460</f>
        <v>0</v>
      </c>
      <c r="AN427" s="39" t="n">
        <f aca="false">AM427-AM438-AM449-AM460</f>
        <v>0</v>
      </c>
    </row>
    <row r="428" customFormat="false" ht="15" hidden="false" customHeight="false" outlineLevel="0" collapsed="false">
      <c r="B428" s="37" t="n">
        <v>7</v>
      </c>
      <c r="C428" s="38" t="n">
        <f aca="false">'Inputs &amp; Assumptions'!$C$146</f>
        <v>6</v>
      </c>
      <c r="D428" s="38" t="n">
        <f aca="false">'Inputs &amp; Assumptions'!$D$146</f>
        <v>3</v>
      </c>
      <c r="E428" s="39" t="n">
        <f aca="false">'Inputs &amp; Assumptions'!$G$146</f>
        <v>56454000</v>
      </c>
      <c r="F428" s="39" t="n">
        <f aca="false">E428-E439-E450-E461</f>
        <v>50680881.6551617</v>
      </c>
      <c r="G428" s="39" t="n">
        <f aca="false">F428-F439-F450-F461</f>
        <v>45498135.9220694</v>
      </c>
      <c r="H428" s="39" t="n">
        <f aca="false">G428-G439-G450-G461</f>
        <v>40945562.5439334</v>
      </c>
      <c r="I428" s="39" t="n">
        <f aca="false">H428-H439-H450-H461</f>
        <v>36848522.6496047</v>
      </c>
      <c r="J428" s="39" t="n">
        <f aca="false">I428-I439-I450-I461</f>
        <v>33161435.2593528</v>
      </c>
      <c r="K428" s="39" t="n">
        <f aca="false">J428-J439-J450-J461</f>
        <v>29843280.2562315</v>
      </c>
      <c r="L428" s="39" t="n">
        <f aca="false">K428-K439-K450-K461</f>
        <v>26961175.8046885</v>
      </c>
      <c r="M428" s="39" t="n">
        <f aca="false">L428-L439-L450-L461</f>
        <v>24357409.5920484</v>
      </c>
      <c r="N428" s="39" t="n">
        <f aca="false">M428-M439-M450-M461</f>
        <v>22005101.1993194</v>
      </c>
      <c r="O428" s="39" t="n">
        <f aca="false">N428-N439-N450-N461</f>
        <v>19879966.174661</v>
      </c>
      <c r="P428" s="39" t="n">
        <f aca="false">O428-O439-O450-O461</f>
        <v>18021160.1894907</v>
      </c>
      <c r="Q428" s="39" t="n">
        <f aca="false">P428-P439-P450-P461</f>
        <v>16336155.2892995</v>
      </c>
      <c r="R428" s="39" t="n">
        <f aca="false">Q428-Q439-Q450-Q461</f>
        <v>14808700.8178162</v>
      </c>
      <c r="S428" s="39" t="n">
        <f aca="false">R428-R439-R450-R461</f>
        <v>13424065.5789576</v>
      </c>
      <c r="T428" s="39" t="n">
        <f aca="false">S428-S439-S450-S461</f>
        <v>12196604.1246046</v>
      </c>
      <c r="U428" s="39" t="n">
        <f aca="false">T428-T439-T450-T461</f>
        <v>11081378.5359855</v>
      </c>
      <c r="V428" s="39" t="n">
        <f aca="false">U428-U439-U450-U461</f>
        <v>10068126.2590198</v>
      </c>
      <c r="W428" s="39" t="n">
        <f aca="false">V428-V439-V450-V461</f>
        <v>9147523.12073676</v>
      </c>
      <c r="X428" s="39" t="n">
        <f aca="false">W428-W439-W450-W461</f>
        <v>8328300.42390776</v>
      </c>
      <c r="Y428" s="39" t="n">
        <f aca="false">X428-X439-X450-X461</f>
        <v>7582444.67222246</v>
      </c>
      <c r="Z428" s="39" t="n">
        <f aca="false">Y428-Y439-Y450-Y461</f>
        <v>6903385.35846646</v>
      </c>
      <c r="AA428" s="39" t="n">
        <f aca="false">Z428-Z439-Z450-Z461</f>
        <v>0</v>
      </c>
      <c r="AB428" s="39" t="n">
        <f aca="false">AA428-AA439-AA450-AA461</f>
        <v>0</v>
      </c>
      <c r="AC428" s="39" t="n">
        <f aca="false">AB428-AB439-AB450-AB461</f>
        <v>0</v>
      </c>
      <c r="AD428" s="39" t="n">
        <f aca="false">AC428-AC439-AC450-AC461</f>
        <v>0</v>
      </c>
      <c r="AE428" s="39" t="n">
        <f aca="false">AD428-AD439-AD450-AD461</f>
        <v>0</v>
      </c>
      <c r="AF428" s="39" t="n">
        <f aca="false">AE428-AE439-AE450-AE461</f>
        <v>0</v>
      </c>
      <c r="AG428" s="39" t="n">
        <f aca="false">AF428-AF439-AF450-AF461</f>
        <v>0</v>
      </c>
      <c r="AH428" s="39" t="n">
        <f aca="false">AG428-AG439-AG450-AG461</f>
        <v>0</v>
      </c>
      <c r="AI428" s="39" t="n">
        <f aca="false">AH428-AH439-AH450-AH461</f>
        <v>0</v>
      </c>
      <c r="AJ428" s="39" t="n">
        <f aca="false">AI428-AI439-AI450-AI461</f>
        <v>0</v>
      </c>
      <c r="AK428" s="39" t="n">
        <f aca="false">AJ428-AJ439-AJ450-AJ461</f>
        <v>0</v>
      </c>
      <c r="AL428" s="39" t="n">
        <f aca="false">AK428-AK439-AK450-AK461</f>
        <v>0</v>
      </c>
      <c r="AM428" s="39" t="n">
        <f aca="false">AL428-AL439-AL450-AL461</f>
        <v>0</v>
      </c>
      <c r="AN428" s="39" t="n">
        <f aca="false">AM428-AM439-AM450-AM461</f>
        <v>0</v>
      </c>
    </row>
    <row r="429" customFormat="false" ht="15" hidden="false" customHeight="false" outlineLevel="0" collapsed="false">
      <c r="B429" s="37" t="n">
        <v>8</v>
      </c>
      <c r="C429" s="38" t="n">
        <f aca="false">'Inputs &amp; Assumptions'!$C$147</f>
        <v>7</v>
      </c>
      <c r="D429" s="38" t="n">
        <f aca="false">'Inputs &amp; Assumptions'!$D$147</f>
        <v>3</v>
      </c>
      <c r="E429" s="39" t="n">
        <f aca="false">'Inputs &amp; Assumptions'!$G$147</f>
        <v>54760380</v>
      </c>
      <c r="F429" s="39" t="n">
        <f aca="false">E429-E440-E451-E462</f>
        <v>49160455.2055068</v>
      </c>
      <c r="G429" s="39" t="n">
        <f aca="false">F429-F440-F451-F462</f>
        <v>44241427.7532838</v>
      </c>
      <c r="H429" s="39" t="n">
        <f aca="false">G429-G440-G451-G462</f>
        <v>39814601.4203257</v>
      </c>
      <c r="I429" s="39" t="n">
        <f aca="false">H429-H440-H451-H462</f>
        <v>35830726.2392033</v>
      </c>
      <c r="J429" s="39" t="n">
        <f aca="false">I429-I440-I451-I462</f>
        <v>32245480.2265914</v>
      </c>
      <c r="K429" s="39" t="n">
        <f aca="false">J429-J440-J451-J462</f>
        <v>29131384.1451529</v>
      </c>
      <c r="L429" s="39" t="n">
        <f aca="false">K429-K440-K451-K462</f>
        <v>26318030.813901</v>
      </c>
      <c r="M429" s="39" t="n">
        <f aca="false">L429-L440-L451-L462</f>
        <v>23776376.1059287</v>
      </c>
      <c r="N429" s="39" t="n">
        <f aca="false">M429-M440-M451-M462</f>
        <v>21480180.8208226</v>
      </c>
      <c r="O429" s="39" t="n">
        <f aca="false">N429-N440-N451-N462</f>
        <v>19471752.4200149</v>
      </c>
      <c r="P429" s="39" t="n">
        <f aca="false">O429-O440-O451-O462</f>
        <v>17651115.0194235</v>
      </c>
      <c r="Q429" s="39" t="n">
        <f aca="false">P429-P440-P451-P462</f>
        <v>16000709.8851907</v>
      </c>
      <c r="R429" s="39" t="n">
        <f aca="false">Q429-Q440-Q451-Q462</f>
        <v>14504620.0508189</v>
      </c>
      <c r="S429" s="39" t="n">
        <f aca="false">R429-R440-R451-R462</f>
        <v>13178355.5210685</v>
      </c>
      <c r="T429" s="39" t="n">
        <f aca="false">S429-S440-S451-S462</f>
        <v>11973361.151909</v>
      </c>
      <c r="U429" s="39" t="n">
        <f aca="false">T429-T440-T451-T462</f>
        <v>10878548.3169619</v>
      </c>
      <c r="V429" s="39" t="n">
        <f aca="false">U429-U440-U451-U462</f>
        <v>9883842.30484897</v>
      </c>
      <c r="W429" s="39" t="n">
        <f aca="false">V429-V440-V451-V462</f>
        <v>8998677.23435514</v>
      </c>
      <c r="X429" s="39" t="n">
        <f aca="false">W429-W440-W451-W462</f>
        <v>8192784.69552018</v>
      </c>
      <c r="Y429" s="39" t="n">
        <f aca="false">X429-X440-X451-X462</f>
        <v>7459065.29582953</v>
      </c>
      <c r="Z429" s="39" t="n">
        <f aca="false">Y429-Y440-Y451-Y462</f>
        <v>0</v>
      </c>
      <c r="AA429" s="39" t="n">
        <f aca="false">Z429-Z440-Z451-Z462</f>
        <v>0</v>
      </c>
      <c r="AB429" s="39" t="n">
        <f aca="false">AA429-AA440-AA451-AA462</f>
        <v>0</v>
      </c>
      <c r="AC429" s="39" t="n">
        <f aca="false">AB429-AB440-AB451-AB462</f>
        <v>0</v>
      </c>
      <c r="AD429" s="39" t="n">
        <f aca="false">AC429-AC440-AC451-AC462</f>
        <v>0</v>
      </c>
      <c r="AE429" s="39" t="n">
        <f aca="false">AD429-AD440-AD451-AD462</f>
        <v>0</v>
      </c>
      <c r="AF429" s="39" t="n">
        <f aca="false">AE429-AE440-AE451-AE462</f>
        <v>0</v>
      </c>
      <c r="AG429" s="39" t="n">
        <f aca="false">AF429-AF440-AF451-AF462</f>
        <v>0</v>
      </c>
      <c r="AH429" s="39" t="n">
        <f aca="false">AG429-AG440-AG451-AG462</f>
        <v>0</v>
      </c>
      <c r="AI429" s="39" t="n">
        <f aca="false">AH429-AH440-AH451-AH462</f>
        <v>0</v>
      </c>
      <c r="AJ429" s="39" t="n">
        <f aca="false">AI429-AI440-AI451-AI462</f>
        <v>0</v>
      </c>
      <c r="AK429" s="39" t="n">
        <f aca="false">AJ429-AJ440-AJ451-AJ462</f>
        <v>0</v>
      </c>
      <c r="AL429" s="39" t="n">
        <f aca="false">AK429-AK440-AK451-AK462</f>
        <v>0</v>
      </c>
      <c r="AM429" s="39" t="n">
        <f aca="false">AL429-AL440-AL451-AL462</f>
        <v>0</v>
      </c>
      <c r="AN429" s="39" t="n">
        <f aca="false">AM429-AM440-AM451-AM462</f>
        <v>0</v>
      </c>
    </row>
    <row r="430" customFormat="false" ht="15" hidden="false" customHeight="false" outlineLevel="0" collapsed="false">
      <c r="B430" s="37" t="n">
        <v>9</v>
      </c>
      <c r="C430" s="38" t="n">
        <f aca="false">'Inputs &amp; Assumptions'!$C$148</f>
        <v>8</v>
      </c>
      <c r="D430" s="38" t="n">
        <f aca="false">'Inputs &amp; Assumptions'!$D$148</f>
        <v>3</v>
      </c>
      <c r="E430" s="39" t="n">
        <f aca="false">'Inputs &amp; Assumptions'!$G$148</f>
        <v>53117568.6</v>
      </c>
      <c r="F430" s="39" t="n">
        <f aca="false">E430-E441-E452-E463</f>
        <v>47802589.7812223</v>
      </c>
      <c r="G430" s="39" t="n">
        <f aca="false">F430-F441-F452-F463</f>
        <v>43019431.2356348</v>
      </c>
      <c r="H430" s="39" t="n">
        <f aca="false">G430-G441-G452-G463</f>
        <v>38714878.6772321</v>
      </c>
      <c r="I430" s="39" t="n">
        <f aca="false">H430-H441-H452-H463</f>
        <v>34841042.4764343</v>
      </c>
      <c r="J430" s="39" t="n">
        <f aca="false">I430-I441-I452-I463</f>
        <v>31476280.8699497</v>
      </c>
      <c r="K430" s="39" t="n">
        <f aca="false">J430-J441-J452-J463</f>
        <v>28436469.9498898</v>
      </c>
      <c r="L430" s="39" t="n">
        <f aca="false">K430-K441-K452-K463</f>
        <v>25690227.7162925</v>
      </c>
      <c r="M430" s="39" t="n">
        <f aca="false">L430-L441-L452-L463</f>
        <v>23209202.8749693</v>
      </c>
      <c r="N430" s="39" t="n">
        <f aca="false">M430-M441-M452-M463</f>
        <v>21039108.3770212</v>
      </c>
      <c r="O430" s="39" t="n">
        <f aca="false">N430-N441-N452-N463</f>
        <v>19071920.8964056</v>
      </c>
      <c r="P430" s="39" t="n">
        <f aca="false">O430-O441-O452-O463</f>
        <v>17288668.3295014</v>
      </c>
      <c r="Q430" s="39" t="n">
        <f aca="false">P430-P441-P452-P463</f>
        <v>15672152.4921926</v>
      </c>
      <c r="R430" s="39" t="n">
        <f aca="false">Q430-Q441-Q452-Q463</f>
        <v>14239131.8489486</v>
      </c>
      <c r="S430" s="39" t="n">
        <f aca="false">R430-R441-R452-R463</f>
        <v>12937142.86616</v>
      </c>
      <c r="T430" s="39" t="n">
        <f aca="false">S430-S441-S452-S463</f>
        <v>11754204.3514257</v>
      </c>
      <c r="U430" s="39" t="n">
        <f aca="false">T430-T441-T452-T463</f>
        <v>10679430.6412482</v>
      </c>
      <c r="V430" s="39" t="n">
        <f aca="false">U430-U441-U452-U463</f>
        <v>9723015.24277941</v>
      </c>
      <c r="W430" s="39" t="n">
        <f aca="false">V430-V441-V452-V463</f>
        <v>8852253.32577016</v>
      </c>
      <c r="X430" s="39" t="n">
        <f aca="false">W430-W441-W452-W463</f>
        <v>8059474.04040152</v>
      </c>
      <c r="Y430" s="39" t="n">
        <f aca="false">X430-X441-X452-X463</f>
        <v>0</v>
      </c>
      <c r="Z430" s="39" t="n">
        <f aca="false">Y430-Y441-Y452-Y463</f>
        <v>0</v>
      </c>
      <c r="AA430" s="39" t="n">
        <f aca="false">Z430-Z441-Z452-Z463</f>
        <v>0</v>
      </c>
      <c r="AB430" s="39" t="n">
        <f aca="false">AA430-AA441-AA452-AA463</f>
        <v>0</v>
      </c>
      <c r="AC430" s="39" t="n">
        <f aca="false">AB430-AB441-AB452-AB463</f>
        <v>0</v>
      </c>
      <c r="AD430" s="39" t="n">
        <f aca="false">AC430-AC441-AC452-AC463</f>
        <v>0</v>
      </c>
      <c r="AE430" s="39" t="n">
        <f aca="false">AD430-AD441-AD452-AD463</f>
        <v>0</v>
      </c>
      <c r="AF430" s="39" t="n">
        <f aca="false">AE430-AE441-AE452-AE463</f>
        <v>0</v>
      </c>
      <c r="AG430" s="39" t="n">
        <f aca="false">AF430-AF441-AF452-AF463</f>
        <v>0</v>
      </c>
      <c r="AH430" s="39" t="n">
        <f aca="false">AG430-AG441-AG452-AG463</f>
        <v>0</v>
      </c>
      <c r="AI430" s="39" t="n">
        <f aca="false">AH430-AH441-AH452-AH463</f>
        <v>0</v>
      </c>
      <c r="AJ430" s="39" t="n">
        <f aca="false">AI430-AI441-AI452-AI463</f>
        <v>0</v>
      </c>
      <c r="AK430" s="39" t="n">
        <f aca="false">AJ430-AJ441-AJ452-AJ463</f>
        <v>0</v>
      </c>
      <c r="AL430" s="39" t="n">
        <f aca="false">AK430-AK441-AK452-AK463</f>
        <v>0</v>
      </c>
      <c r="AM430" s="39" t="n">
        <f aca="false">AL430-AL441-AL452-AL463</f>
        <v>0</v>
      </c>
      <c r="AN430" s="39" t="n">
        <f aca="false">AM430-AM441-AM452-AM463</f>
        <v>0</v>
      </c>
    </row>
    <row r="431" customFormat="false" ht="15" hidden="false" customHeight="false" outlineLevel="0" collapsed="false">
      <c r="B431" s="37" t="n">
        <v>10</v>
      </c>
      <c r="C431" s="38" t="n">
        <f aca="false">'Inputs &amp; Assumptions'!$C$149</f>
        <v>9</v>
      </c>
      <c r="D431" s="38" t="n">
        <f aca="false">'Inputs &amp; Assumptions'!$D$149</f>
        <v>3</v>
      </c>
      <c r="E431" s="39" t="n">
        <f aca="false">'Inputs &amp; Assumptions'!$G$149</f>
        <v>51524041.542</v>
      </c>
      <c r="F431" s="39" t="n">
        <f aca="false">E431-E442-E453-E464</f>
        <v>46368512.0877856</v>
      </c>
      <c r="G431" s="39" t="n">
        <f aca="false">F431-F442-F453-F464</f>
        <v>41728848.2985658</v>
      </c>
      <c r="H431" s="39" t="n">
        <f aca="false">G431-G442-G453-G464</f>
        <v>37553432.3169151</v>
      </c>
      <c r="I431" s="39" t="n">
        <f aca="false">H431-H442-H453-H464</f>
        <v>33926722.6012933</v>
      </c>
      <c r="J431" s="39" t="n">
        <f aca="false">I431-I442-I453-I464</f>
        <v>30650261.1199844</v>
      </c>
      <c r="K431" s="39" t="n">
        <f aca="false">J431-J442-J453-J464</f>
        <v>27690222.7711029</v>
      </c>
      <c r="L431" s="39" t="n">
        <f aca="false">K431-K442-K453-K464</f>
        <v>25016049.1002596</v>
      </c>
      <c r="M431" s="39" t="n">
        <f aca="false">L431-L442-L453-L464</f>
        <v>22677011.8310641</v>
      </c>
      <c r="N431" s="39" t="n">
        <f aca="false">M431-M442-M453-M464</f>
        <v>20556677.9760152</v>
      </c>
      <c r="O431" s="39" t="n">
        <f aca="false">N431-N442-N453-N464</f>
        <v>18634598.4452291</v>
      </c>
      <c r="P431" s="39" t="n">
        <f aca="false">O431-O442-O453-O464</f>
        <v>16892236.1687083</v>
      </c>
      <c r="Q431" s="39" t="n">
        <f aca="false">P431-P442-P453-P464</f>
        <v>15347654.264444</v>
      </c>
      <c r="R431" s="39" t="n">
        <f aca="false">Q431-Q442-Q453-Q464</f>
        <v>13944304.8906246</v>
      </c>
      <c r="S431" s="39" t="n">
        <f aca="false">R431-R442-R453-R464</f>
        <v>12669274.113971</v>
      </c>
      <c r="T431" s="39" t="n">
        <f aca="false">S431-S442-S453-S464</f>
        <v>11510828.8174948</v>
      </c>
      <c r="U431" s="39" t="n">
        <f aca="false">T431-T442-T453-T464</f>
        <v>10479956.0771759</v>
      </c>
      <c r="V431" s="39" t="n">
        <f aca="false">U431-U442-U453-U464</f>
        <v>9541404.97794652</v>
      </c>
      <c r="W431" s="39" t="n">
        <f aca="false">V431-V442-V453-V464</f>
        <v>8686907.49109662</v>
      </c>
      <c r="X431" s="39" t="n">
        <f aca="false">W431-W442-W453-W464</f>
        <v>0</v>
      </c>
      <c r="Y431" s="39" t="n">
        <f aca="false">X431-X442-X453-X464</f>
        <v>0</v>
      </c>
      <c r="Z431" s="39" t="n">
        <f aca="false">Y431-Y442-Y453-Y464</f>
        <v>0</v>
      </c>
      <c r="AA431" s="39" t="n">
        <f aca="false">Z431-Z442-Z453-Z464</f>
        <v>0</v>
      </c>
      <c r="AB431" s="39" t="n">
        <f aca="false">AA431-AA442-AA453-AA464</f>
        <v>0</v>
      </c>
      <c r="AC431" s="39" t="n">
        <f aca="false">AB431-AB442-AB453-AB464</f>
        <v>0</v>
      </c>
      <c r="AD431" s="39" t="n">
        <f aca="false">AC431-AC442-AC453-AC464</f>
        <v>0</v>
      </c>
      <c r="AE431" s="39" t="n">
        <f aca="false">AD431-AD442-AD453-AD464</f>
        <v>0</v>
      </c>
      <c r="AF431" s="39" t="n">
        <f aca="false">AE431-AE442-AE453-AE464</f>
        <v>0</v>
      </c>
      <c r="AG431" s="39" t="n">
        <f aca="false">AF431-AF442-AF453-AF464</f>
        <v>0</v>
      </c>
      <c r="AH431" s="39" t="n">
        <f aca="false">AG431-AG442-AG453-AG464</f>
        <v>0</v>
      </c>
      <c r="AI431" s="39" t="n">
        <f aca="false">AH431-AH442-AH453-AH464</f>
        <v>0</v>
      </c>
      <c r="AJ431" s="39" t="n">
        <f aca="false">AI431-AI442-AI453-AI464</f>
        <v>0</v>
      </c>
      <c r="AK431" s="39" t="n">
        <f aca="false">AJ431-AJ442-AJ453-AJ464</f>
        <v>0</v>
      </c>
      <c r="AL431" s="39" t="n">
        <f aca="false">AK431-AK442-AK453-AK464</f>
        <v>0</v>
      </c>
      <c r="AM431" s="39" t="n">
        <f aca="false">AL431-AL442-AL453-AL464</f>
        <v>0</v>
      </c>
      <c r="AN431" s="39" t="n">
        <f aca="false">AM431-AM442-AM453-AM464</f>
        <v>0</v>
      </c>
    </row>
    <row r="432" customFormat="false" ht="15" hidden="false" customHeight="false" outlineLevel="0" collapsed="false">
      <c r="B432" s="37" t="n">
        <v>11</v>
      </c>
      <c r="C432" s="38" t="n">
        <f aca="false">'Inputs &amp; Assumptions'!$C$150</f>
        <v>10</v>
      </c>
      <c r="D432" s="38" t="n">
        <f aca="false">'Inputs &amp; Assumptions'!$D$150</f>
        <v>2</v>
      </c>
      <c r="E432" s="39" t="n">
        <f aca="false">'Inputs &amp; Assumptions'!$G$150</f>
        <v>33318880.19716</v>
      </c>
      <c r="F432" s="39" t="n">
        <f aca="false">E432-E443-E454-E465</f>
        <v>29984971.1501014</v>
      </c>
      <c r="G432" s="39" t="n">
        <f aca="false">F432-F443-F454-F465</f>
        <v>26984655.2330726</v>
      </c>
      <c r="H432" s="39" t="n">
        <f aca="false">G432-G443-G454-G465</f>
        <v>24378621.5027707</v>
      </c>
      <c r="I432" s="39" t="n">
        <f aca="false">H432-H443-H454-H465</f>
        <v>22024264.5771125</v>
      </c>
      <c r="J432" s="39" t="n">
        <f aca="false">I432-I443-I454-I465</f>
        <v>19897278.855883</v>
      </c>
      <c r="K432" s="39" t="n">
        <f aca="false">J432-J443-J454-J465</f>
        <v>17975706.0437871</v>
      </c>
      <c r="L432" s="39" t="n">
        <f aca="false">K432-K443-K454-K465</f>
        <v>16294951.1728637</v>
      </c>
      <c r="M432" s="39" t="n">
        <f aca="false">L432-L443-L454-L465</f>
        <v>14771349.3466803</v>
      </c>
      <c r="N432" s="39" t="n">
        <f aca="false">M432-M443-M454-M465</f>
        <v>13390206.5251373</v>
      </c>
      <c r="O432" s="39" t="n">
        <f aca="false">N432-N443-N454-N465</f>
        <v>12138202.5824285</v>
      </c>
      <c r="P432" s="39" t="n">
        <f aca="false">O432-O443-O454-O465</f>
        <v>11028317.0781135</v>
      </c>
      <c r="Q432" s="39" t="n">
        <f aca="false">P432-P443-P454-P465</f>
        <v>10019916.6021068</v>
      </c>
      <c r="R432" s="39" t="n">
        <f aca="false">Q432-Q443-Q454-Q465</f>
        <v>9103721.62878991</v>
      </c>
      <c r="S432" s="39" t="n">
        <f aca="false">R432-R443-R454-R465</f>
        <v>8271301.12810233</v>
      </c>
      <c r="T432" s="39" t="n">
        <f aca="false">S432-S443-S454-S465</f>
        <v>7530550.04969424</v>
      </c>
      <c r="U432" s="39" t="n">
        <f aca="false">T432-T443-T454-T465</f>
        <v>6856138.25112429</v>
      </c>
      <c r="V432" s="39" t="n">
        <f aca="false">U432-U443-U454-U465</f>
        <v>6242124.6002393</v>
      </c>
      <c r="W432" s="39" t="n">
        <f aca="false">V432-V443-V454-V465</f>
        <v>0</v>
      </c>
      <c r="X432" s="39" t="n">
        <f aca="false">W432-W443-W454-W465</f>
        <v>0</v>
      </c>
      <c r="Y432" s="39" t="n">
        <f aca="false">X432-X443-X454-X465</f>
        <v>0</v>
      </c>
      <c r="Z432" s="39" t="n">
        <f aca="false">Y432-Y443-Y454-Y465</f>
        <v>0</v>
      </c>
      <c r="AA432" s="39" t="n">
        <f aca="false">Z432-Z443-Z454-Z465</f>
        <v>0</v>
      </c>
      <c r="AB432" s="39" t="n">
        <f aca="false">AA432-AA443-AA454-AA465</f>
        <v>0</v>
      </c>
      <c r="AC432" s="39" t="n">
        <f aca="false">AB432-AB443-AB454-AB465</f>
        <v>0</v>
      </c>
      <c r="AD432" s="39" t="n">
        <f aca="false">AC432-AC443-AC454-AC465</f>
        <v>0</v>
      </c>
      <c r="AE432" s="39" t="n">
        <f aca="false">AD432-AD443-AD454-AD465</f>
        <v>0</v>
      </c>
      <c r="AF432" s="39" t="n">
        <f aca="false">AE432-AE443-AE454-AE465</f>
        <v>0</v>
      </c>
      <c r="AG432" s="39" t="n">
        <f aca="false">AF432-AF443-AF454-AF465</f>
        <v>0</v>
      </c>
      <c r="AH432" s="39" t="n">
        <f aca="false">AG432-AG443-AG454-AG465</f>
        <v>0</v>
      </c>
      <c r="AI432" s="39" t="n">
        <f aca="false">AH432-AH443-AH454-AH465</f>
        <v>0</v>
      </c>
      <c r="AJ432" s="39" t="n">
        <f aca="false">AI432-AI443-AI454-AI465</f>
        <v>0</v>
      </c>
      <c r="AK432" s="39" t="n">
        <f aca="false">AJ432-AJ443-AJ454-AJ465</f>
        <v>0</v>
      </c>
      <c r="AL432" s="39" t="n">
        <f aca="false">AK432-AK443-AK454-AK465</f>
        <v>0</v>
      </c>
      <c r="AM432" s="39" t="n">
        <f aca="false">AL432-AL443-AL454-AL465</f>
        <v>0</v>
      </c>
      <c r="AN432" s="39" t="n">
        <f aca="false">AM432-AM443-AM454-AM465</f>
        <v>0</v>
      </c>
    </row>
    <row r="433" customFormat="false" ht="15" hidden="false" customHeight="false" outlineLevel="0" collapsed="false">
      <c r="A433" s="14" t="s">
        <v>128</v>
      </c>
      <c r="B433" s="37" t="n">
        <v>1</v>
      </c>
      <c r="C433" s="38" t="n">
        <f aca="false">'Inputs &amp; Assumptions'!$C$140</f>
        <v>0</v>
      </c>
      <c r="D433" s="38" t="n">
        <f aca="false">'Inputs &amp; Assumptions'!$D$140</f>
        <v>1</v>
      </c>
      <c r="E433" s="39" t="n">
        <f aca="false">IF(1&lt;='Inputs &amp; Assumptions'!$E$140,'Inputs &amp; Assumptions'!$D$61*INDEX('Inputs &amp; Assumptions'!$C$26:$I$26,CEILING(('Inputs &amp; Assumptions'!$C$140+1)/4,1))*E422,0)</f>
        <v>318000</v>
      </c>
      <c r="F433" s="39" t="n">
        <f aca="false">IF(2&lt;='Inputs &amp; Assumptions'!$E$140,'Inputs &amp; Assumptions'!$D$61*INDEX('Inputs &amp; Assumptions'!$C$26:$I$26,CEILING(('Inputs &amp; Assumptions'!$C$140+2)/4,1))*F422,0)</f>
        <v>295963.972939568</v>
      </c>
      <c r="G433" s="39" t="n">
        <f aca="false">IF(3&lt;='Inputs &amp; Assumptions'!$E$140,'Inputs &amp; Assumptions'!$D$61*INDEX('Inputs &amp; Assumptions'!$C$26:$I$26,CEILING(('Inputs &amp; Assumptions'!$C$140+3)/4,1))*G422,0)</f>
        <v>275454.94741564</v>
      </c>
      <c r="H433" s="39" t="n">
        <f aca="false">IF(4&lt;='Inputs &amp; Assumptions'!$E$140,'Inputs &amp; Assumptions'!$D$61*INDEX('Inputs &amp; Assumptions'!$C$26:$I$26,CEILING(('Inputs &amp; Assumptions'!$C$140+4)/4,1))*H422,0)</f>
        <v>256367.108814442</v>
      </c>
      <c r="I433" s="39" t="n">
        <f aca="false">IF(5&lt;='Inputs &amp; Assumptions'!$E$140,'Inputs &amp; Assumptions'!$D$61*INDEX('Inputs &amp; Assumptions'!$C$26:$I$26,CEILING(('Inputs &amp; Assumptions'!$C$140+5)/4,1))*I422,0)</f>
        <v>321137.249395417</v>
      </c>
      <c r="J433" s="39" t="n">
        <f aca="false">IF(6&lt;='Inputs &amp; Assumptions'!$E$140,'Inputs &amp; Assumptions'!$D$61*INDEX('Inputs &amp; Assumptions'!$C$26:$I$26,CEILING(('Inputs &amp; Assumptions'!$C$140+6)/4,1))*J422,0)</f>
        <v>288297.001659285</v>
      </c>
      <c r="K433" s="39" t="n">
        <f aca="false">IF(7&lt;='Inputs &amp; Assumptions'!$E$140,'Inputs &amp; Assumptions'!$D$61*INDEX('Inputs &amp; Assumptions'!$C$26:$I$26,CEILING(('Inputs &amp; Assumptions'!$C$140+7)/4,1))*K422,0)</f>
        <v>258815.074620615</v>
      </c>
      <c r="L433" s="39" t="n">
        <f aca="false">IF(8&lt;='Inputs &amp; Assumptions'!$E$140,'Inputs &amp; Assumptions'!$D$61*INDEX('Inputs &amp; Assumptions'!$C$26:$I$26,CEILING(('Inputs &amp; Assumptions'!$C$140+8)/4,1))*L422,0)</f>
        <v>232348.038534368</v>
      </c>
      <c r="M433" s="39" t="n">
        <f aca="false">IF(9&lt;='Inputs &amp; Assumptions'!$E$140,'Inputs &amp; Assumptions'!$D$61*INDEX('Inputs &amp; Assumptions'!$C$26:$I$26,CEILING(('Inputs &amp; Assumptions'!$C$140+9)/4,1))*M422,0)</f>
        <v>185194.583557745</v>
      </c>
      <c r="N433" s="39" t="n">
        <f aca="false">IF(10&lt;='Inputs &amp; Assumptions'!$E$140,'Inputs &amp; Assumptions'!$D$61*INDEX('Inputs &amp; Assumptions'!$C$26:$I$26,CEILING(('Inputs &amp; Assumptions'!$C$140+10)/4,1))*N422,0)</f>
        <v>166663.891831736</v>
      </c>
      <c r="O433" s="39" t="n">
        <f aca="false">IF(11&lt;='Inputs &amp; Assumptions'!$E$140,'Inputs &amp; Assumptions'!$D$61*INDEX('Inputs &amp; Assumptions'!$C$26:$I$26,CEILING(('Inputs &amp; Assumptions'!$C$140+11)/4,1))*O422,0)</f>
        <v>149987.393296734</v>
      </c>
      <c r="P433" s="39" t="n">
        <f aca="false">IF(12&lt;='Inputs &amp; Assumptions'!$E$140,'Inputs &amp; Assumptions'!$D$61*INDEX('Inputs &amp; Assumptions'!$C$26:$I$26,CEILING(('Inputs &amp; Assumptions'!$C$140+12)/4,1))*P422,0)</f>
        <v>134979.55616362</v>
      </c>
      <c r="Q433" s="39" t="n">
        <f aca="false">IF(13&lt;='Inputs &amp; Assumptions'!$E$140,'Inputs &amp; Assumptions'!$D$61*INDEX('Inputs &amp; Assumptions'!$C$26:$I$26,CEILING(('Inputs &amp; Assumptions'!$C$140+13)/4,1))*Q422,0)</f>
        <v>97178.730460806</v>
      </c>
      <c r="R433" s="39" t="n">
        <f aca="false">IF(14&lt;='Inputs &amp; Assumptions'!$E$140,'Inputs &amp; Assumptions'!$D$61*INDEX('Inputs &amp; Assumptions'!$C$26:$I$26,CEILING(('Inputs &amp; Assumptions'!$C$140+14)/4,1))*R422,0)</f>
        <v>87793.7282341188</v>
      </c>
      <c r="S433" s="39" t="n">
        <f aca="false">IF(15&lt;='Inputs &amp; Assumptions'!$E$140,'Inputs &amp; Assumptions'!$D$61*INDEX('Inputs &amp; Assumptions'!$C$26:$I$26,CEILING(('Inputs &amp; Assumptions'!$C$140+15)/4,1))*S422,0)</f>
        <v>79315.0793460405</v>
      </c>
      <c r="T433" s="39" t="n">
        <f aca="false">IF(16&lt;='Inputs &amp; Assumptions'!$E$140,'Inputs &amp; Assumptions'!$D$61*INDEX('Inputs &amp; Assumptions'!$C$26:$I$26,CEILING(('Inputs &amp; Assumptions'!$C$140+16)/4,1))*T422,0)</f>
        <v>71655.2530369009</v>
      </c>
      <c r="U433" s="39" t="n">
        <f aca="false">IF(17&lt;='Inputs &amp; Assumptions'!$E$140,'Inputs &amp; Assumptions'!$D$61*INDEX('Inputs &amp; Assumptions'!$C$26:$I$26,CEILING(('Inputs &amp; Assumptions'!$C$140+17)/4,1))*U422,0)</f>
        <v>50467.8806465703</v>
      </c>
      <c r="V433" s="39" t="n">
        <f aca="false">IF(18&lt;='Inputs &amp; Assumptions'!$E$140,'Inputs &amp; Assumptions'!$D$61*INDEX('Inputs &amp; Assumptions'!$C$26:$I$26,CEILING(('Inputs &amp; Assumptions'!$C$140+18)/4,1))*V422,0)</f>
        <v>45749.059810533</v>
      </c>
      <c r="W433" s="39" t="n">
        <f aca="false">IF(19&lt;='Inputs &amp; Assumptions'!$E$140,'Inputs &amp; Assumptions'!$D$61*INDEX('Inputs &amp; Assumptions'!$C$26:$I$26,CEILING(('Inputs &amp; Assumptions'!$C$140+19)/4,1))*W422,0)</f>
        <v>41471.4556413607</v>
      </c>
      <c r="X433" s="39" t="n">
        <f aca="false">IF(20&lt;='Inputs &amp; Assumptions'!$E$140,'Inputs &amp; Assumptions'!$D$61*INDEX('Inputs &amp; Assumptions'!$C$26:$I$26,CEILING(('Inputs &amp; Assumptions'!$C$140+20)/4,1))*X422,0)</f>
        <v>37593.8137337933</v>
      </c>
      <c r="Y433" s="39" t="n">
        <f aca="false">IF(21&lt;='Inputs &amp; Assumptions'!$E$140,'Inputs &amp; Assumptions'!$D$61*INDEX('Inputs &amp; Assumptions'!$C$26:$I$26,CEILING(('Inputs &amp; Assumptions'!$C$140+21)/4,1))*Y422,0)</f>
        <v>27608.0907584401</v>
      </c>
      <c r="Z433" s="39" t="n">
        <f aca="false">IF(22&lt;='Inputs &amp; Assumptions'!$E$140,'Inputs &amp; Assumptions'!$D$61*INDEX('Inputs &amp; Assumptions'!$C$26:$I$26,CEILING(('Inputs &amp; Assumptions'!$C$140+22)/4,1))*Z422,0)</f>
        <v>25083.6791310578</v>
      </c>
      <c r="AA433" s="39" t="n">
        <f aca="false">IF(23&lt;='Inputs &amp; Assumptions'!$E$140,'Inputs &amp; Assumptions'!$D$61*INDEX('Inputs &amp; Assumptions'!$C$26:$I$26,CEILING(('Inputs &amp; Assumptions'!$C$140+23)/4,1))*AA422,0)</f>
        <v>22790.093101875</v>
      </c>
      <c r="AB433" s="39" t="n">
        <f aca="false">IF(24&lt;='Inputs &amp; Assumptions'!$E$140,'Inputs &amp; Assumptions'!$D$61*INDEX('Inputs &amp; Assumptions'!$C$26:$I$26,CEILING(('Inputs &amp; Assumptions'!$C$140+24)/4,1))*AB422,0)</f>
        <v>20706.2265817713</v>
      </c>
      <c r="AC433" s="39" t="n">
        <f aca="false">IF(25&lt;='Inputs &amp; Assumptions'!$E$140,'Inputs &amp; Assumptions'!$D$61*INDEX('Inputs &amp; Assumptions'!$C$26:$I$26,CEILING(('Inputs &amp; Assumptions'!$C$140+25)/4,1))*AC422,0)</f>
        <v>14795.5646273494</v>
      </c>
      <c r="AD433" s="39" t="n">
        <f aca="false">IF(26&lt;='Inputs &amp; Assumptions'!$E$140,'Inputs &amp; Assumptions'!$D$61*INDEX('Inputs &amp; Assumptions'!$C$26:$I$26,CEILING(('Inputs &amp; Assumptions'!$C$140+26)/4,1))*AD422,0)</f>
        <v>13470.5215315142</v>
      </c>
      <c r="AE433" s="39" t="n">
        <f aca="false">IF(27&lt;='Inputs &amp; Assumptions'!$E$140,'Inputs &amp; Assumptions'!$D$61*INDEX('Inputs &amp; Assumptions'!$C$26:$I$26,CEILING(('Inputs &amp; Assumptions'!$C$140+27)/4,1))*AE422,0)</f>
        <v>12264.1450259743</v>
      </c>
      <c r="AF433" s="39" t="n">
        <f aca="false">IF(28&lt;='Inputs &amp; Assumptions'!$E$140,'Inputs &amp; Assumptions'!$D$61*INDEX('Inputs &amp; Assumptions'!$C$26:$I$26,CEILING(('Inputs &amp; Assumptions'!$C$140+28)/4,1))*AF422,0)</f>
        <v>11165.8077132536</v>
      </c>
      <c r="AG433" s="39" t="n">
        <f aca="false">IF(29&lt;='Inputs &amp; Assumptions'!$E$140,'Inputs &amp; Assumptions'!$D$61*INDEX('Inputs &amp; Assumptions'!$C$26:$I$26,CEILING(('Inputs &amp; Assumptions'!$C$140+29)/4,1))*AG422,0)</f>
        <v>0</v>
      </c>
      <c r="AH433" s="39" t="n">
        <f aca="false">IF(30&lt;='Inputs &amp; Assumptions'!$E$140,'Inputs &amp; Assumptions'!$D$61*INDEX('Inputs &amp; Assumptions'!$C$26:$I$26,CEILING(('Inputs &amp; Assumptions'!$C$140+30)/4,1))*AH422,0)</f>
        <v>0</v>
      </c>
      <c r="AI433" s="39" t="n">
        <f aca="false">IF(31&lt;='Inputs &amp; Assumptions'!$E$140,'Inputs &amp; Assumptions'!$D$61*INDEX('Inputs &amp; Assumptions'!$C$26:$I$26,CEILING(('Inputs &amp; Assumptions'!$C$140+31)/4,1))*AI422,0)</f>
        <v>0</v>
      </c>
      <c r="AJ433" s="39" t="n">
        <f aca="false">IF(32&lt;='Inputs &amp; Assumptions'!$E$140,'Inputs &amp; Assumptions'!$D$61*INDEX('Inputs &amp; Assumptions'!$C$26:$I$26,CEILING(('Inputs &amp; Assumptions'!$C$140+32)/4,1))*AJ422,0)</f>
        <v>0</v>
      </c>
      <c r="AK433" s="39" t="n">
        <f aca="false">IF(33&lt;='Inputs &amp; Assumptions'!$E$140,'Inputs &amp; Assumptions'!$D$61*INDEX('Inputs &amp; Assumptions'!$C$26:$I$26,CEILING(('Inputs &amp; Assumptions'!$C$140+33)/4,1))*AK422,0)</f>
        <v>0</v>
      </c>
      <c r="AL433" s="39" t="n">
        <f aca="false">IF(34&lt;='Inputs &amp; Assumptions'!$E$140,'Inputs &amp; Assumptions'!$D$61*INDEX('Inputs &amp; Assumptions'!$C$26:$I$26,CEILING(('Inputs &amp; Assumptions'!$C$140+34)/4,1))*AL422,0)</f>
        <v>0</v>
      </c>
      <c r="AM433" s="39" t="n">
        <f aca="false">IF(35&lt;='Inputs &amp; Assumptions'!$E$140,'Inputs &amp; Assumptions'!$D$61*INDEX('Inputs &amp; Assumptions'!$C$26:$I$26,CEILING(('Inputs &amp; Assumptions'!$C$140+35)/4,1))*AM422,0)</f>
        <v>0</v>
      </c>
      <c r="AN433" s="39" t="n">
        <f aca="false">IF(36&lt;='Inputs &amp; Assumptions'!$E$140,'Inputs &amp; Assumptions'!$D$61*INDEX('Inputs &amp; Assumptions'!$C$26:$I$26,CEILING(('Inputs &amp; Assumptions'!$C$140+36)/4,1))*AN422,0)</f>
        <v>0</v>
      </c>
    </row>
    <row r="434" customFormat="false" ht="15" hidden="false" customHeight="false" outlineLevel="0" collapsed="false">
      <c r="B434" s="37" t="n">
        <v>2</v>
      </c>
      <c r="C434" s="38" t="n">
        <f aca="false">'Inputs &amp; Assumptions'!$C$141</f>
        <v>1</v>
      </c>
      <c r="D434" s="38" t="n">
        <f aca="false">'Inputs &amp; Assumptions'!$D$141</f>
        <v>3</v>
      </c>
      <c r="E434" s="39" t="n">
        <f aca="false">IF(1&lt;='Inputs &amp; Assumptions'!$E$141,'Inputs &amp; Assumptions'!$D$61*INDEX('Inputs &amp; Assumptions'!$C$26:$I$26,CEILING(('Inputs &amp; Assumptions'!$C$141+1)/4,1))*E423,0)</f>
        <v>954000</v>
      </c>
      <c r="F434" s="39" t="n">
        <f aca="false">IF(2&lt;='Inputs &amp; Assumptions'!$E$141,'Inputs &amp; Assumptions'!$D$61*INDEX('Inputs &amp; Assumptions'!$C$26:$I$26,CEILING(('Inputs &amp; Assumptions'!$C$141+2)/4,1))*F423,0)</f>
        <v>887891.918818704</v>
      </c>
      <c r="G434" s="39" t="n">
        <f aca="false">IF(3&lt;='Inputs &amp; Assumptions'!$E$141,'Inputs &amp; Assumptions'!$D$61*INDEX('Inputs &amp; Assumptions'!$C$26:$I$26,CEILING(('Inputs &amp; Assumptions'!$C$141+3)/4,1))*G423,0)</f>
        <v>826364.842246919</v>
      </c>
      <c r="H434" s="39" t="n">
        <f aca="false">IF(4&lt;='Inputs &amp; Assumptions'!$E$141,'Inputs &amp; Assumptions'!$D$61*INDEX('Inputs &amp; Assumptions'!$C$26:$I$26,CEILING(('Inputs &amp; Assumptions'!$C$141+4)/4,1))*H423,0)</f>
        <v>1035142.66577907</v>
      </c>
      <c r="I434" s="39" t="n">
        <f aca="false">IF(5&lt;='Inputs &amp; Assumptions'!$E$141,'Inputs &amp; Assumptions'!$D$61*INDEX('Inputs &amp; Assumptions'!$C$26:$I$26,CEILING(('Inputs &amp; Assumptions'!$C$141+5)/4,1))*I423,0)</f>
        <v>929286.550830011</v>
      </c>
      <c r="J434" s="39" t="n">
        <f aca="false">IF(6&lt;='Inputs &amp; Assumptions'!$E$141,'Inputs &amp; Assumptions'!$D$61*INDEX('Inputs &amp; Assumptions'!$C$26:$I$26,CEILING(('Inputs &amp; Assumptions'!$C$141+6)/4,1))*J423,0)</f>
        <v>834255.530278619</v>
      </c>
      <c r="K434" s="39" t="n">
        <f aca="false">IF(7&lt;='Inputs &amp; Assumptions'!$E$141,'Inputs &amp; Assumptions'!$D$61*INDEX('Inputs &amp; Assumptions'!$C$26:$I$26,CEILING(('Inputs &amp; Assumptions'!$C$141+7)/4,1))*K423,0)</f>
        <v>748942.60460224</v>
      </c>
      <c r="L434" s="39" t="n">
        <f aca="false">IF(8&lt;='Inputs &amp; Assumptions'!$E$141,'Inputs &amp; Assumptions'!$D$61*INDEX('Inputs &amp; Assumptions'!$C$26:$I$26,CEILING(('Inputs &amp; Assumptions'!$C$141+8)/4,1))*L423,0)</f>
        <v>596949.794122962</v>
      </c>
      <c r="M434" s="39" t="n">
        <f aca="false">IF(9&lt;='Inputs &amp; Assumptions'!$E$141,'Inputs &amp; Assumptions'!$D$61*INDEX('Inputs &amp; Assumptions'!$C$26:$I$26,CEILING(('Inputs &amp; Assumptions'!$C$141+9)/4,1))*M423,0)</f>
        <v>537218.605454863</v>
      </c>
      <c r="N434" s="39" t="n">
        <f aca="false">IF(10&lt;='Inputs &amp; Assumptions'!$E$141,'Inputs &amp; Assumptions'!$D$61*INDEX('Inputs &amp; Assumptions'!$C$26:$I$26,CEILING(('Inputs &amp; Assumptions'!$C$141+10)/4,1))*N423,0)</f>
        <v>483464.158775504</v>
      </c>
      <c r="O434" s="39" t="n">
        <f aca="false">IF(11&lt;='Inputs &amp; Assumptions'!$E$141,'Inputs &amp; Assumptions'!$D$61*INDEX('Inputs &amp; Assumptions'!$C$26:$I$26,CEILING(('Inputs &amp; Assumptions'!$C$141+11)/4,1))*O423,0)</f>
        <v>435088.417354049</v>
      </c>
      <c r="P434" s="39" t="n">
        <f aca="false">IF(12&lt;='Inputs &amp; Assumptions'!$E$141,'Inputs &amp; Assumptions'!$D$61*INDEX('Inputs &amp; Assumptions'!$C$26:$I$26,CEILING(('Inputs &amp; Assumptions'!$C$141+12)/4,1))*P423,0)</f>
        <v>313242.547526346</v>
      </c>
      <c r="Q434" s="39" t="n">
        <f aca="false">IF(13&lt;='Inputs &amp; Assumptions'!$E$141,'Inputs &amp; Assumptions'!$D$61*INDEX('Inputs &amp; Assumptions'!$C$26:$I$26,CEILING(('Inputs &amp; Assumptions'!$C$141+13)/4,1))*Q423,0)</f>
        <v>282991.257021851</v>
      </c>
      <c r="R434" s="39" t="n">
        <f aca="false">IF(14&lt;='Inputs &amp; Assumptions'!$E$141,'Inputs &amp; Assumptions'!$D$61*INDEX('Inputs &amp; Assumptions'!$C$26:$I$26,CEILING(('Inputs &amp; Assumptions'!$C$141+14)/4,1))*R423,0)</f>
        <v>255661.474417269</v>
      </c>
      <c r="S434" s="39" t="n">
        <f aca="false">IF(15&lt;='Inputs &amp; Assumptions'!$E$141,'Inputs &amp; Assumptions'!$D$61*INDEX('Inputs &amp; Assumptions'!$C$26:$I$26,CEILING(('Inputs &amp; Assumptions'!$C$141+15)/4,1))*S423,0)</f>
        <v>230971.056099323</v>
      </c>
      <c r="T434" s="39" t="n">
        <f aca="false">IF(16&lt;='Inputs &amp; Assumptions'!$E$141,'Inputs &amp; Assumptions'!$D$61*INDEX('Inputs &amp; Assumptions'!$C$26:$I$26,CEILING(('Inputs &amp; Assumptions'!$C$141+16)/4,1))*T423,0)</f>
        <v>162676.415168474</v>
      </c>
      <c r="U434" s="39" t="n">
        <f aca="false">IF(17&lt;='Inputs &amp; Assumptions'!$E$141,'Inputs &amp; Assumptions'!$D$61*INDEX('Inputs &amp; Assumptions'!$C$26:$I$26,CEILING(('Inputs &amp; Assumptions'!$C$141+17)/4,1))*U423,0)</f>
        <v>147465.931835427</v>
      </c>
      <c r="V434" s="39" t="n">
        <f aca="false">IF(18&lt;='Inputs &amp; Assumptions'!$E$141,'Inputs &amp; Assumptions'!$D$61*INDEX('Inputs &amp; Assumptions'!$C$26:$I$26,CEILING(('Inputs &amp; Assumptions'!$C$141+18)/4,1))*V423,0)</f>
        <v>133677.650995503</v>
      </c>
      <c r="W434" s="39" t="n">
        <f aca="false">IF(19&lt;='Inputs &amp; Assumptions'!$E$141,'Inputs &amp; Assumptions'!$D$61*INDEX('Inputs &amp; Assumptions'!$C$26:$I$26,CEILING(('Inputs &amp; Assumptions'!$C$141+19)/4,1))*W423,0)</f>
        <v>121178.594630374</v>
      </c>
      <c r="X434" s="39" t="n">
        <f aca="false">IF(20&lt;='Inputs &amp; Assumptions'!$E$141,'Inputs &amp; Assumptions'!$D$61*INDEX('Inputs &amp; Assumptions'!$C$26:$I$26,CEILING(('Inputs &amp; Assumptions'!$C$141+20)/4,1))*X423,0)</f>
        <v>88990.9617104977</v>
      </c>
      <c r="Y434" s="39" t="n">
        <f aca="false">IF(21&lt;='Inputs &amp; Assumptions'!$E$141,'Inputs &amp; Assumptions'!$D$61*INDEX('Inputs &amp; Assumptions'!$C$26:$I$26,CEILING(('Inputs &amp; Assumptions'!$C$141+21)/4,1))*Y423,0)</f>
        <v>80853.8608714896</v>
      </c>
      <c r="Z434" s="39" t="n">
        <f aca="false">IF(22&lt;='Inputs &amp; Assumptions'!$E$141,'Inputs &amp; Assumptions'!$D$61*INDEX('Inputs &amp; Assumptions'!$C$26:$I$26,CEILING(('Inputs &amp; Assumptions'!$C$141+22)/4,1))*Z423,0)</f>
        <v>73460.7952557393</v>
      </c>
      <c r="AA434" s="39" t="n">
        <f aca="false">IF(23&lt;='Inputs &amp; Assumptions'!$E$141,'Inputs &amp; Assumptions'!$D$61*INDEX('Inputs &amp; Assumptions'!$C$26:$I$26,CEILING(('Inputs &amp; Assumptions'!$C$141+23)/4,1))*AA423,0)</f>
        <v>66743.7322279873</v>
      </c>
      <c r="AB434" s="39" t="n">
        <f aca="false">IF(24&lt;='Inputs &amp; Assumptions'!$E$141,'Inputs &amp; Assumptions'!$D$61*INDEX('Inputs &amp; Assumptions'!$C$26:$I$26,CEILING(('Inputs &amp; Assumptions'!$C$141+24)/4,1))*AB423,0)</f>
        <v>47691.509592532</v>
      </c>
      <c r="AC434" s="39" t="n">
        <f aca="false">IF(25&lt;='Inputs &amp; Assumptions'!$E$141,'Inputs &amp; Assumptions'!$D$61*INDEX('Inputs &amp; Assumptions'!$C$26:$I$26,CEILING(('Inputs &amp; Assumptions'!$C$141+25)/4,1))*AC423,0)</f>
        <v>43420.4116583086</v>
      </c>
      <c r="AD434" s="39" t="n">
        <f aca="false">IF(26&lt;='Inputs &amp; Assumptions'!$E$141,'Inputs &amp; Assumptions'!$D$61*INDEX('Inputs &amp; Assumptions'!$C$26:$I$26,CEILING(('Inputs &amp; Assumptions'!$C$141+26)/4,1))*AD423,0)</f>
        <v>39531.8194933423</v>
      </c>
      <c r="AE434" s="39" t="n">
        <f aca="false">IF(27&lt;='Inputs &amp; Assumptions'!$E$141,'Inputs &amp; Assumptions'!$D$61*INDEX('Inputs &amp; Assumptions'!$C$26:$I$26,CEILING(('Inputs &amp; Assumptions'!$C$141+27)/4,1))*AE423,0)</f>
        <v>35991.477113395</v>
      </c>
      <c r="AF434" s="39" t="n">
        <f aca="false">IF(28&lt;='Inputs &amp; Assumptions'!$E$141,'Inputs &amp; Assumptions'!$D$61*INDEX('Inputs &amp; Assumptions'!$C$26:$I$26,CEILING(('Inputs &amp; Assumptions'!$C$141+28)/4,1))*AF423,0)</f>
        <v>0</v>
      </c>
      <c r="AG434" s="39" t="n">
        <f aca="false">IF(29&lt;='Inputs &amp; Assumptions'!$E$141,'Inputs &amp; Assumptions'!$D$61*INDEX('Inputs &amp; Assumptions'!$C$26:$I$26,CEILING(('Inputs &amp; Assumptions'!$C$141+29)/4,1))*AG423,0)</f>
        <v>0</v>
      </c>
      <c r="AH434" s="39" t="n">
        <f aca="false">IF(30&lt;='Inputs &amp; Assumptions'!$E$141,'Inputs &amp; Assumptions'!$D$61*INDEX('Inputs &amp; Assumptions'!$C$26:$I$26,CEILING(('Inputs &amp; Assumptions'!$C$141+30)/4,1))*AH423,0)</f>
        <v>0</v>
      </c>
      <c r="AI434" s="39" t="n">
        <f aca="false">IF(31&lt;='Inputs &amp; Assumptions'!$E$141,'Inputs &amp; Assumptions'!$D$61*INDEX('Inputs &amp; Assumptions'!$C$26:$I$26,CEILING(('Inputs &amp; Assumptions'!$C$141+31)/4,1))*AI423,0)</f>
        <v>0</v>
      </c>
      <c r="AJ434" s="39" t="n">
        <f aca="false">IF(32&lt;='Inputs &amp; Assumptions'!$E$141,'Inputs &amp; Assumptions'!$D$61*INDEX('Inputs &amp; Assumptions'!$C$26:$I$26,CEILING(('Inputs &amp; Assumptions'!$C$141+32)/4,1))*AJ423,0)</f>
        <v>0</v>
      </c>
      <c r="AK434" s="39" t="n">
        <f aca="false">IF(33&lt;='Inputs &amp; Assumptions'!$E$141,'Inputs &amp; Assumptions'!$D$61*INDEX('Inputs &amp; Assumptions'!$C$26:$I$26,CEILING(('Inputs &amp; Assumptions'!$C$141+33)/4,1))*AK423,0)</f>
        <v>0</v>
      </c>
      <c r="AL434" s="39" t="n">
        <f aca="false">IF(34&lt;='Inputs &amp; Assumptions'!$E$141,'Inputs &amp; Assumptions'!$D$61*INDEX('Inputs &amp; Assumptions'!$C$26:$I$26,CEILING(('Inputs &amp; Assumptions'!$C$141+34)/4,1))*AL423,0)</f>
        <v>0</v>
      </c>
      <c r="AM434" s="39" t="n">
        <f aca="false">IF(35&lt;='Inputs &amp; Assumptions'!$E$141,'Inputs &amp; Assumptions'!$D$61*INDEX('Inputs &amp; Assumptions'!$C$26:$I$26,CEILING(('Inputs &amp; Assumptions'!$C$141+35)/4,1))*AM423,0)</f>
        <v>0</v>
      </c>
      <c r="AN434" s="39" t="n">
        <f aca="false">IF(36&lt;='Inputs &amp; Assumptions'!$E$141,'Inputs &amp; Assumptions'!$D$61*INDEX('Inputs &amp; Assumptions'!$C$26:$I$26,CEILING(('Inputs &amp; Assumptions'!$C$141+36)/4,1))*AN423,0)</f>
        <v>0</v>
      </c>
    </row>
    <row r="435" customFormat="false" ht="15" hidden="false" customHeight="false" outlineLevel="0" collapsed="false">
      <c r="B435" s="37" t="n">
        <v>3</v>
      </c>
      <c r="C435" s="38" t="n">
        <f aca="false">'Inputs &amp; Assumptions'!$C$142</f>
        <v>2</v>
      </c>
      <c r="D435" s="38" t="n">
        <f aca="false">'Inputs &amp; Assumptions'!$D$142</f>
        <v>3</v>
      </c>
      <c r="E435" s="39" t="n">
        <f aca="false">IF(1&lt;='Inputs &amp; Assumptions'!$E$142,'Inputs &amp; Assumptions'!$D$61*INDEX('Inputs &amp; Assumptions'!$C$26:$I$26,CEILING(('Inputs &amp; Assumptions'!$C$142+1)/4,1))*E424,0)</f>
        <v>954000</v>
      </c>
      <c r="F435" s="39" t="n">
        <f aca="false">IF(2&lt;='Inputs &amp; Assumptions'!$E$142,'Inputs &amp; Assumptions'!$D$61*INDEX('Inputs &amp; Assumptions'!$C$26:$I$26,CEILING(('Inputs &amp; Assumptions'!$C$142+2)/4,1))*F424,0)</f>
        <v>887891.918818704</v>
      </c>
      <c r="G435" s="39" t="n">
        <f aca="false">IF(3&lt;='Inputs &amp; Assumptions'!$E$142,'Inputs &amp; Assumptions'!$D$61*INDEX('Inputs &amp; Assumptions'!$C$26:$I$26,CEILING(('Inputs &amp; Assumptions'!$C$142+3)/4,1))*G424,0)</f>
        <v>1112214.31598013</v>
      </c>
      <c r="H435" s="39" t="n">
        <f aca="false">IF(4&lt;='Inputs &amp; Assumptions'!$E$142,'Inputs &amp; Assumptions'!$D$61*INDEX('Inputs &amp; Assumptions'!$C$26:$I$26,CEILING(('Inputs &amp; Assumptions'!$C$142+4)/4,1))*H424,0)</f>
        <v>998476.673457426</v>
      </c>
      <c r="I435" s="39" t="n">
        <f aca="false">IF(5&lt;='Inputs &amp; Assumptions'!$E$142,'Inputs &amp; Assumptions'!$D$61*INDEX('Inputs &amp; Assumptions'!$C$26:$I$26,CEILING(('Inputs &amp; Assumptions'!$C$142+5)/4,1))*I424,0)</f>
        <v>896370.10881311</v>
      </c>
      <c r="J435" s="39" t="n">
        <f aca="false">IF(6&lt;='Inputs &amp; Assumptions'!$E$142,'Inputs &amp; Assumptions'!$D$61*INDEX('Inputs &amp; Assumptions'!$C$26:$I$26,CEILING(('Inputs &amp; Assumptions'!$C$142+6)/4,1))*J424,0)</f>
        <v>804705.200764899</v>
      </c>
      <c r="K435" s="39" t="n">
        <f aca="false">IF(7&lt;='Inputs &amp; Assumptions'!$E$142,'Inputs &amp; Assumptions'!$D$61*INDEX('Inputs &amp; Assumptions'!$C$26:$I$26,CEILING(('Inputs &amp; Assumptions'!$C$142+7)/4,1))*K424,0)</f>
        <v>641395.750454609</v>
      </c>
      <c r="L435" s="39" t="n">
        <f aca="false">IF(8&lt;='Inputs &amp; Assumptions'!$E$142,'Inputs &amp; Assumptions'!$D$61*INDEX('Inputs &amp; Assumptions'!$C$26:$I$26,CEILING(('Inputs &amp; Assumptions'!$C$142+8)/4,1))*L424,0)</f>
        <v>577217.270189601</v>
      </c>
      <c r="M435" s="39" t="n">
        <f aca="false">IF(9&lt;='Inputs &amp; Assumptions'!$E$142,'Inputs &amp; Assumptions'!$D$61*INDEX('Inputs &amp; Assumptions'!$C$26:$I$26,CEILING(('Inputs &amp; Assumptions'!$C$142+9)/4,1))*M424,0)</f>
        <v>519460.530832928</v>
      </c>
      <c r="N435" s="39" t="n">
        <f aca="false">IF(10&lt;='Inputs &amp; Assumptions'!$E$142,'Inputs &amp; Assumptions'!$D$61*INDEX('Inputs &amp; Assumptions'!$C$26:$I$26,CEILING(('Inputs &amp; Assumptions'!$C$142+10)/4,1))*N424,0)</f>
        <v>467482.96876944</v>
      </c>
      <c r="O435" s="39" t="n">
        <f aca="false">IF(11&lt;='Inputs &amp; Assumptions'!$E$142,'Inputs &amp; Assumptions'!$D$61*INDEX('Inputs &amp; Assumptions'!$C$26:$I$26,CEILING(('Inputs &amp; Assumptions'!$C$142+11)/4,1))*O424,0)</f>
        <v>336565.052577252</v>
      </c>
      <c r="P435" s="39" t="n">
        <f aca="false">IF(12&lt;='Inputs &amp; Assumptions'!$E$142,'Inputs &amp; Assumptions'!$D$61*INDEX('Inputs &amp; Assumptions'!$C$26:$I$26,CEILING(('Inputs &amp; Assumptions'!$C$142+12)/4,1))*P424,0)</f>
        <v>304061.399227546</v>
      </c>
      <c r="Q435" s="39" t="n">
        <f aca="false">IF(13&lt;='Inputs &amp; Assumptions'!$E$142,'Inputs &amp; Assumptions'!$D$61*INDEX('Inputs &amp; Assumptions'!$C$26:$I$26,CEILING(('Inputs &amp; Assumptions'!$C$142+13)/4,1))*Q424,0)</f>
        <v>274696.774939198</v>
      </c>
      <c r="R435" s="39" t="n">
        <f aca="false">IF(14&lt;='Inputs &amp; Assumptions'!$E$142,'Inputs &amp; Assumptions'!$D$61*INDEX('Inputs &amp; Assumptions'!$C$26:$I$26,CEILING(('Inputs &amp; Assumptions'!$C$142+14)/4,1))*R424,0)</f>
        <v>248168.029068126</v>
      </c>
      <c r="S435" s="39" t="n">
        <f aca="false">IF(15&lt;='Inputs &amp; Assumptions'!$E$142,'Inputs &amp; Assumptions'!$D$61*INDEX('Inputs &amp; Assumptions'!$C$26:$I$26,CEILING(('Inputs &amp; Assumptions'!$C$142+15)/4,1))*S424,0)</f>
        <v>174788.503849884</v>
      </c>
      <c r="T435" s="39" t="n">
        <f aca="false">IF(16&lt;='Inputs &amp; Assumptions'!$E$142,'Inputs &amp; Assumptions'!$D$61*INDEX('Inputs &amp; Assumptions'!$C$26:$I$26,CEILING(('Inputs &amp; Assumptions'!$C$142+16)/4,1))*T424,0)</f>
        <v>158445.522466483</v>
      </c>
      <c r="U435" s="39" t="n">
        <f aca="false">IF(17&lt;='Inputs &amp; Assumptions'!$E$142,'Inputs &amp; Assumptions'!$D$61*INDEX('Inputs &amp; Assumptions'!$C$26:$I$26,CEILING(('Inputs &amp; Assumptions'!$C$142+17)/4,1))*U424,0)</f>
        <v>143630.633804371</v>
      </c>
      <c r="V435" s="39" t="n">
        <f aca="false">IF(18&lt;='Inputs &amp; Assumptions'!$E$142,'Inputs &amp; Assumptions'!$D$61*INDEX('Inputs &amp; Assumptions'!$C$26:$I$26,CEILING(('Inputs &amp; Assumptions'!$C$142+18)/4,1))*V424,0)</f>
        <v>130200.958953633</v>
      </c>
      <c r="W435" s="39" t="n">
        <f aca="false">IF(19&lt;='Inputs &amp; Assumptions'!$E$142,'Inputs &amp; Assumptions'!$D$61*INDEX('Inputs &amp; Assumptions'!$C$26:$I$26,CEILING(('Inputs &amp; Assumptions'!$C$142+19)/4,1))*W424,0)</f>
        <v>95616.7926212984</v>
      </c>
      <c r="X435" s="39" t="n">
        <f aca="false">IF(20&lt;='Inputs &amp; Assumptions'!$E$142,'Inputs &amp; Assumptions'!$D$61*INDEX('Inputs &amp; Assumptions'!$C$26:$I$26,CEILING(('Inputs &amp; Assumptions'!$C$142+20)/4,1))*X424,0)</f>
        <v>86873.8431294935</v>
      </c>
      <c r="Y435" s="39" t="n">
        <f aca="false">IF(21&lt;='Inputs &amp; Assumptions'!$E$142,'Inputs &amp; Assumptions'!$D$61*INDEX('Inputs &amp; Assumptions'!$C$26:$I$26,CEILING(('Inputs &amp; Assumptions'!$C$142+21)/4,1))*Y424,0)</f>
        <v>78930.3260775425</v>
      </c>
      <c r="Z435" s="39" t="n">
        <f aca="false">IF(22&lt;='Inputs &amp; Assumptions'!$E$142,'Inputs &amp; Assumptions'!$D$61*INDEX('Inputs &amp; Assumptions'!$C$26:$I$26,CEILING(('Inputs &amp; Assumptions'!$C$142+22)/4,1))*Z424,0)</f>
        <v>71713.1434535572</v>
      </c>
      <c r="AA435" s="39" t="n">
        <f aca="false">IF(23&lt;='Inputs &amp; Assumptions'!$E$142,'Inputs &amp; Assumptions'!$D$61*INDEX('Inputs &amp; Assumptions'!$C$26:$I$26,CEILING(('Inputs &amp; Assumptions'!$C$142+23)/4,1))*AA424,0)</f>
        <v>51242.3856856452</v>
      </c>
      <c r="AB435" s="39" t="n">
        <f aca="false">IF(24&lt;='Inputs &amp; Assumptions'!$E$142,'Inputs &amp; Assumptions'!$D$61*INDEX('Inputs &amp; Assumptions'!$C$26:$I$26,CEILING(('Inputs &amp; Assumptions'!$C$142+24)/4,1))*AB424,0)</f>
        <v>46653.2827296567</v>
      </c>
      <c r="AC435" s="39" t="n">
        <f aca="false">IF(25&lt;='Inputs &amp; Assumptions'!$E$142,'Inputs &amp; Assumptions'!$D$61*INDEX('Inputs &amp; Assumptions'!$C$26:$I$26,CEILING(('Inputs &amp; Assumptions'!$C$142+25)/4,1))*AC424,0)</f>
        <v>42475.1650480436</v>
      </c>
      <c r="AD435" s="39" t="n">
        <f aca="false">IF(26&lt;='Inputs &amp; Assumptions'!$E$142,'Inputs &amp; Assumptions'!$D$61*INDEX('Inputs &amp; Assumptions'!$C$26:$I$26,CEILING(('Inputs &amp; Assumptions'!$C$142+26)/4,1))*AD424,0)</f>
        <v>38671.2261238518</v>
      </c>
      <c r="AE435" s="39" t="n">
        <f aca="false">IF(27&lt;='Inputs &amp; Assumptions'!$E$142,'Inputs &amp; Assumptions'!$D$61*INDEX('Inputs &amp; Assumptions'!$C$26:$I$26,CEILING(('Inputs &amp; Assumptions'!$C$142+27)/4,1))*AE424,0)</f>
        <v>0</v>
      </c>
      <c r="AF435" s="39" t="n">
        <f aca="false">IF(28&lt;='Inputs &amp; Assumptions'!$E$142,'Inputs &amp; Assumptions'!$D$61*INDEX('Inputs &amp; Assumptions'!$C$26:$I$26,CEILING(('Inputs &amp; Assumptions'!$C$142+28)/4,1))*AF424,0)</f>
        <v>0</v>
      </c>
      <c r="AG435" s="39" t="n">
        <f aca="false">IF(29&lt;='Inputs &amp; Assumptions'!$E$142,'Inputs &amp; Assumptions'!$D$61*INDEX('Inputs &amp; Assumptions'!$C$26:$I$26,CEILING(('Inputs &amp; Assumptions'!$C$142+29)/4,1))*AG424,0)</f>
        <v>0</v>
      </c>
      <c r="AH435" s="39" t="n">
        <f aca="false">IF(30&lt;='Inputs &amp; Assumptions'!$E$142,'Inputs &amp; Assumptions'!$D$61*INDEX('Inputs &amp; Assumptions'!$C$26:$I$26,CEILING(('Inputs &amp; Assumptions'!$C$142+30)/4,1))*AH424,0)</f>
        <v>0</v>
      </c>
      <c r="AI435" s="39" t="n">
        <f aca="false">IF(31&lt;='Inputs &amp; Assumptions'!$E$142,'Inputs &amp; Assumptions'!$D$61*INDEX('Inputs &amp; Assumptions'!$C$26:$I$26,CEILING(('Inputs &amp; Assumptions'!$C$142+31)/4,1))*AI424,0)</f>
        <v>0</v>
      </c>
      <c r="AJ435" s="39" t="n">
        <f aca="false">IF(32&lt;='Inputs &amp; Assumptions'!$E$142,'Inputs &amp; Assumptions'!$D$61*INDEX('Inputs &amp; Assumptions'!$C$26:$I$26,CEILING(('Inputs &amp; Assumptions'!$C$142+32)/4,1))*AJ424,0)</f>
        <v>0</v>
      </c>
      <c r="AK435" s="39" t="n">
        <f aca="false">IF(33&lt;='Inputs &amp; Assumptions'!$E$142,'Inputs &amp; Assumptions'!$D$61*INDEX('Inputs &amp; Assumptions'!$C$26:$I$26,CEILING(('Inputs &amp; Assumptions'!$C$142+33)/4,1))*AK424,0)</f>
        <v>0</v>
      </c>
      <c r="AL435" s="39" t="n">
        <f aca="false">IF(34&lt;='Inputs &amp; Assumptions'!$E$142,'Inputs &amp; Assumptions'!$D$61*INDEX('Inputs &amp; Assumptions'!$C$26:$I$26,CEILING(('Inputs &amp; Assumptions'!$C$142+34)/4,1))*AL424,0)</f>
        <v>0</v>
      </c>
      <c r="AM435" s="39" t="n">
        <f aca="false">IF(35&lt;='Inputs &amp; Assumptions'!$E$142,'Inputs &amp; Assumptions'!$D$61*INDEX('Inputs &amp; Assumptions'!$C$26:$I$26,CEILING(('Inputs &amp; Assumptions'!$C$142+35)/4,1))*AM424,0)</f>
        <v>0</v>
      </c>
      <c r="AN435" s="39" t="n">
        <f aca="false">IF(36&lt;='Inputs &amp; Assumptions'!$E$142,'Inputs &amp; Assumptions'!$D$61*INDEX('Inputs &amp; Assumptions'!$C$26:$I$26,CEILING(('Inputs &amp; Assumptions'!$C$142+36)/4,1))*AN424,0)</f>
        <v>0</v>
      </c>
    </row>
    <row r="436" customFormat="false" ht="15" hidden="false" customHeight="false" outlineLevel="0" collapsed="false">
      <c r="B436" s="37" t="n">
        <v>4</v>
      </c>
      <c r="C436" s="38" t="n">
        <f aca="false">'Inputs &amp; Assumptions'!$C$143</f>
        <v>3</v>
      </c>
      <c r="D436" s="38" t="n">
        <f aca="false">'Inputs &amp; Assumptions'!$D$143</f>
        <v>3</v>
      </c>
      <c r="E436" s="39" t="n">
        <f aca="false">IF(1&lt;='Inputs &amp; Assumptions'!$E$143,'Inputs &amp; Assumptions'!$D$61*INDEX('Inputs &amp; Assumptions'!$C$26:$I$26,CEILING(('Inputs &amp; Assumptions'!$C$143+1)/4,1))*E425,0)</f>
        <v>954000</v>
      </c>
      <c r="F436" s="39" t="n">
        <f aca="false">IF(2&lt;='Inputs &amp; Assumptions'!$E$143,'Inputs &amp; Assumptions'!$D$61*INDEX('Inputs &amp; Assumptions'!$C$26:$I$26,CEILING(('Inputs &amp; Assumptions'!$C$143+2)/4,1))*F425,0)</f>
        <v>1195024.34356731</v>
      </c>
      <c r="G436" s="39" t="n">
        <f aca="false">IF(3&lt;='Inputs &amp; Assumptions'!$E$143,'Inputs &amp; Assumptions'!$D$61*INDEX('Inputs &amp; Assumptions'!$C$26:$I$26,CEILING(('Inputs &amp; Assumptions'!$C$143+3)/4,1))*G425,0)</f>
        <v>1072818.35355107</v>
      </c>
      <c r="H436" s="39" t="n">
        <f aca="false">IF(4&lt;='Inputs &amp; Assumptions'!$E$143,'Inputs &amp; Assumptions'!$D$61*INDEX('Inputs &amp; Assumptions'!$C$26:$I$26,CEILING(('Inputs &amp; Assumptions'!$C$143+4)/4,1))*H425,0)</f>
        <v>963109.434474214</v>
      </c>
      <c r="I436" s="39" t="n">
        <f aca="false">IF(5&lt;='Inputs &amp; Assumptions'!$E$143,'Inputs &amp; Assumptions'!$D$61*INDEX('Inputs &amp; Assumptions'!$C$26:$I$26,CEILING(('Inputs &amp; Assumptions'!$C$143+5)/4,1))*I425,0)</f>
        <v>864619.606574509</v>
      </c>
      <c r="J436" s="39" t="n">
        <f aca="false">IF(6&lt;='Inputs &amp; Assumptions'!$E$143,'Inputs &amp; Assumptions'!$D$61*INDEX('Inputs &amp; Assumptions'!$C$26:$I$26,CEILING(('Inputs &amp; Assumptions'!$C$143+6)/4,1))*J425,0)</f>
        <v>689150.934888323</v>
      </c>
      <c r="K436" s="39" t="n">
        <f aca="false">IF(7&lt;='Inputs &amp; Assumptions'!$E$143,'Inputs &amp; Assumptions'!$D$61*INDEX('Inputs &amp; Assumptions'!$C$26:$I$26,CEILING(('Inputs &amp; Assumptions'!$C$143+7)/4,1))*K425,0)</f>
        <v>620194.039487951</v>
      </c>
      <c r="L436" s="39" t="n">
        <f aca="false">IF(8&lt;='Inputs &amp; Assumptions'!$E$143,'Inputs &amp; Assumptions'!$D$61*INDEX('Inputs &amp; Assumptions'!$C$26:$I$26,CEILING(('Inputs &amp; Assumptions'!$C$143+8)/4,1))*L425,0)</f>
        <v>558137.016354353</v>
      </c>
      <c r="M436" s="39" t="n">
        <f aca="false">IF(9&lt;='Inputs &amp; Assumptions'!$E$143,'Inputs &amp; Assumptions'!$D$61*INDEX('Inputs &amp; Assumptions'!$C$26:$I$26,CEILING(('Inputs &amp; Assumptions'!$C$143+9)/4,1))*M425,0)</f>
        <v>502289.459734467</v>
      </c>
      <c r="N436" s="39" t="n">
        <f aca="false">IF(10&lt;='Inputs &amp; Assumptions'!$E$143,'Inputs &amp; Assumptions'!$D$61*INDEX('Inputs &amp; Assumptions'!$C$26:$I$26,CEILING(('Inputs &amp; Assumptions'!$C$143+10)/4,1))*N425,0)</f>
        <v>361624.037062848</v>
      </c>
      <c r="O436" s="39" t="n">
        <f aca="false">IF(11&lt;='Inputs &amp; Assumptions'!$E$143,'Inputs &amp; Assumptions'!$D$61*INDEX('Inputs &amp; Assumptions'!$C$26:$I$26,CEILING(('Inputs &amp; Assumptions'!$C$143+11)/4,1))*O425,0)</f>
        <v>326700.320968129</v>
      </c>
      <c r="P436" s="39" t="n">
        <f aca="false">IF(12&lt;='Inputs &amp; Assumptions'!$E$143,'Inputs &amp; Assumptions'!$D$61*INDEX('Inputs &amp; Assumptions'!$C$26:$I$26,CEILING(('Inputs &amp; Assumptions'!$C$143+12)/4,1))*P425,0)</f>
        <v>295149.350655938</v>
      </c>
      <c r="Q436" s="39" t="n">
        <f aca="false">IF(13&lt;='Inputs &amp; Assumptions'!$E$143,'Inputs &amp; Assumptions'!$D$61*INDEX('Inputs &amp; Assumptions'!$C$26:$I$26,CEILING(('Inputs &amp; Assumptions'!$C$143+13)/4,1))*Q425,0)</f>
        <v>266645.404370815</v>
      </c>
      <c r="R436" s="39" t="n">
        <f aca="false">IF(14&lt;='Inputs &amp; Assumptions'!$E$143,'Inputs &amp; Assumptions'!$D$61*INDEX('Inputs &amp; Assumptions'!$C$26:$I$26,CEILING(('Inputs &amp; Assumptions'!$C$143+14)/4,1))*R425,0)</f>
        <v>187802.3992995</v>
      </c>
      <c r="S436" s="39" t="n">
        <f aca="false">IF(15&lt;='Inputs &amp; Assumptions'!$E$143,'Inputs &amp; Assumptions'!$D$61*INDEX('Inputs &amp; Assumptions'!$C$26:$I$26,CEILING(('Inputs &amp; Assumptions'!$C$143+15)/4,1))*S425,0)</f>
        <v>170242.599610695</v>
      </c>
      <c r="T436" s="39" t="n">
        <f aca="false">IF(16&lt;='Inputs &amp; Assumptions'!$E$143,'Inputs &amp; Assumptions'!$D$61*INDEX('Inputs &amp; Assumptions'!$C$26:$I$26,CEILING(('Inputs &amp; Assumptions'!$C$143+16)/4,1))*T425,0)</f>
        <v>154324.666938824</v>
      </c>
      <c r="U436" s="39" t="n">
        <f aca="false">IF(17&lt;='Inputs &amp; Assumptions'!$E$143,'Inputs &amp; Assumptions'!$D$61*INDEX('Inputs &amp; Assumptions'!$C$26:$I$26,CEILING(('Inputs &amp; Assumptions'!$C$143+17)/4,1))*U425,0)</f>
        <v>139895.084310513</v>
      </c>
      <c r="V436" s="39" t="n">
        <f aca="false">IF(18&lt;='Inputs &amp; Assumptions'!$E$143,'Inputs &amp; Assumptions'!$D$61*INDEX('Inputs &amp; Assumptions'!$C$26:$I$26,CEILING(('Inputs &amp; Assumptions'!$C$143+18)/4,1))*V425,0)</f>
        <v>102735.950431985</v>
      </c>
      <c r="W436" s="39" t="n">
        <f aca="false">IF(19&lt;='Inputs &amp; Assumptions'!$E$143,'Inputs &amp; Assumptions'!$D$61*INDEX('Inputs &amp; Assumptions'!$C$26:$I$26,CEILING(('Inputs &amp; Assumptions'!$C$143+19)/4,1))*W425,0)</f>
        <v>93342.0437656436</v>
      </c>
      <c r="X436" s="39" t="n">
        <f aca="false">IF(20&lt;='Inputs &amp; Assumptions'!$E$143,'Inputs &amp; Assumptions'!$D$61*INDEX('Inputs &amp; Assumptions'!$C$26:$I$26,CEILING(('Inputs &amp; Assumptions'!$C$143+20)/4,1))*X425,0)</f>
        <v>84807.0913610271</v>
      </c>
      <c r="Y436" s="39" t="n">
        <f aca="false">IF(21&lt;='Inputs &amp; Assumptions'!$E$143,'Inputs &amp; Assumptions'!$D$61*INDEX('Inputs &amp; Assumptions'!$C$26:$I$26,CEILING(('Inputs &amp; Assumptions'!$C$143+21)/4,1))*Y425,0)</f>
        <v>77052.5526864974</v>
      </c>
      <c r="Z436" s="39" t="n">
        <f aca="false">IF(22&lt;='Inputs &amp; Assumptions'!$E$143,'Inputs &amp; Assumptions'!$D$61*INDEX('Inputs &amp; Assumptions'!$C$26:$I$26,CEILING(('Inputs &amp; Assumptions'!$C$143+22)/4,1))*Z425,0)</f>
        <v>55057.6426116647</v>
      </c>
      <c r="AA436" s="39" t="n">
        <f aca="false">IF(23&lt;='Inputs &amp; Assumptions'!$E$143,'Inputs &amp; Assumptions'!$D$61*INDEX('Inputs &amp; Assumptions'!$C$26:$I$26,CEILING(('Inputs &amp; Assumptions'!$C$143+23)/4,1))*AA425,0)</f>
        <v>50126.857538367</v>
      </c>
      <c r="AB436" s="39" t="n">
        <f aca="false">IF(24&lt;='Inputs &amp; Assumptions'!$E$143,'Inputs &amp; Assumptions'!$D$61*INDEX('Inputs &amp; Assumptions'!$C$26:$I$26,CEILING(('Inputs &amp; Assumptions'!$C$143+24)/4,1))*AB425,0)</f>
        <v>45637.6576889507</v>
      </c>
      <c r="AC436" s="39" t="n">
        <f aca="false">IF(25&lt;='Inputs &amp; Assumptions'!$E$143,'Inputs &amp; Assumptions'!$D$61*INDEX('Inputs &amp; Assumptions'!$C$26:$I$26,CEILING(('Inputs &amp; Assumptions'!$C$143+25)/4,1))*AC425,0)</f>
        <v>41550.4961135788</v>
      </c>
      <c r="AD436" s="39" t="n">
        <f aca="false">IF(26&lt;='Inputs &amp; Assumptions'!$E$143,'Inputs &amp; Assumptions'!$D$61*INDEX('Inputs &amp; Assumptions'!$C$26:$I$26,CEILING(('Inputs &amp; Assumptions'!$C$143+26)/4,1))*AD425,0)</f>
        <v>0</v>
      </c>
      <c r="AE436" s="39" t="n">
        <f aca="false">IF(27&lt;='Inputs &amp; Assumptions'!$E$143,'Inputs &amp; Assumptions'!$D$61*INDEX('Inputs &amp; Assumptions'!$C$26:$I$26,CEILING(('Inputs &amp; Assumptions'!$C$143+27)/4,1))*AE425,0)</f>
        <v>0</v>
      </c>
      <c r="AF436" s="39" t="n">
        <f aca="false">IF(28&lt;='Inputs &amp; Assumptions'!$E$143,'Inputs &amp; Assumptions'!$D$61*INDEX('Inputs &amp; Assumptions'!$C$26:$I$26,CEILING(('Inputs &amp; Assumptions'!$C$143+28)/4,1))*AF425,0)</f>
        <v>0</v>
      </c>
      <c r="AG436" s="39" t="n">
        <f aca="false">IF(29&lt;='Inputs &amp; Assumptions'!$E$143,'Inputs &amp; Assumptions'!$D$61*INDEX('Inputs &amp; Assumptions'!$C$26:$I$26,CEILING(('Inputs &amp; Assumptions'!$C$143+29)/4,1))*AG425,0)</f>
        <v>0</v>
      </c>
      <c r="AH436" s="39" t="n">
        <f aca="false">IF(30&lt;='Inputs &amp; Assumptions'!$E$143,'Inputs &amp; Assumptions'!$D$61*INDEX('Inputs &amp; Assumptions'!$C$26:$I$26,CEILING(('Inputs &amp; Assumptions'!$C$143+30)/4,1))*AH425,0)</f>
        <v>0</v>
      </c>
      <c r="AI436" s="39" t="n">
        <f aca="false">IF(31&lt;='Inputs &amp; Assumptions'!$E$143,'Inputs &amp; Assumptions'!$D$61*INDEX('Inputs &amp; Assumptions'!$C$26:$I$26,CEILING(('Inputs &amp; Assumptions'!$C$143+31)/4,1))*AI425,0)</f>
        <v>0</v>
      </c>
      <c r="AJ436" s="39" t="n">
        <f aca="false">IF(32&lt;='Inputs &amp; Assumptions'!$E$143,'Inputs &amp; Assumptions'!$D$61*INDEX('Inputs &amp; Assumptions'!$C$26:$I$26,CEILING(('Inputs &amp; Assumptions'!$C$143+32)/4,1))*AJ425,0)</f>
        <v>0</v>
      </c>
      <c r="AK436" s="39" t="n">
        <f aca="false">IF(33&lt;='Inputs &amp; Assumptions'!$E$143,'Inputs &amp; Assumptions'!$D$61*INDEX('Inputs &amp; Assumptions'!$C$26:$I$26,CEILING(('Inputs &amp; Assumptions'!$C$143+33)/4,1))*AK425,0)</f>
        <v>0</v>
      </c>
      <c r="AL436" s="39" t="n">
        <f aca="false">IF(34&lt;='Inputs &amp; Assumptions'!$E$143,'Inputs &amp; Assumptions'!$D$61*INDEX('Inputs &amp; Assumptions'!$C$26:$I$26,CEILING(('Inputs &amp; Assumptions'!$C$143+34)/4,1))*AL425,0)</f>
        <v>0</v>
      </c>
      <c r="AM436" s="39" t="n">
        <f aca="false">IF(35&lt;='Inputs &amp; Assumptions'!$E$143,'Inputs &amp; Assumptions'!$D$61*INDEX('Inputs &amp; Assumptions'!$C$26:$I$26,CEILING(('Inputs &amp; Assumptions'!$C$143+35)/4,1))*AM425,0)</f>
        <v>0</v>
      </c>
      <c r="AN436" s="39" t="n">
        <f aca="false">IF(36&lt;='Inputs &amp; Assumptions'!$E$143,'Inputs &amp; Assumptions'!$D$61*INDEX('Inputs &amp; Assumptions'!$C$26:$I$26,CEILING(('Inputs &amp; Assumptions'!$C$143+36)/4,1))*AN425,0)</f>
        <v>0</v>
      </c>
    </row>
    <row r="437" customFormat="false" ht="15" hidden="false" customHeight="false" outlineLevel="0" collapsed="false">
      <c r="B437" s="37" t="n">
        <v>5</v>
      </c>
      <c r="C437" s="38" t="n">
        <f aca="false">'Inputs &amp; Assumptions'!$C$144</f>
        <v>4</v>
      </c>
      <c r="D437" s="38" t="n">
        <f aca="false">'Inputs &amp; Assumptions'!$D$144</f>
        <v>3</v>
      </c>
      <c r="E437" s="39" t="n">
        <f aca="false">IF(1&lt;='Inputs &amp; Assumptions'!$E$144,'Inputs &amp; Assumptions'!$D$61*INDEX('Inputs &amp; Assumptions'!$C$26:$I$26,CEILING(('Inputs &amp; Assumptions'!$C$144+1)/4,1))*E426,0)</f>
        <v>1284000</v>
      </c>
      <c r="F437" s="39" t="n">
        <f aca="false">IF(2&lt;='Inputs &amp; Assumptions'!$E$144,'Inputs &amp; Assumptions'!$D$61*INDEX('Inputs &amp; Assumptions'!$C$26:$I$26,CEILING(('Inputs &amp; Assumptions'!$C$144+2)/4,1))*F426,0)</f>
        <v>1152695.1508348</v>
      </c>
      <c r="G437" s="39" t="n">
        <f aca="false">IF(3&lt;='Inputs &amp; Assumptions'!$E$144,'Inputs &amp; Assumptions'!$D$61*INDEX('Inputs &amp; Assumptions'!$C$26:$I$26,CEILING(('Inputs &amp; Assumptions'!$C$144+3)/4,1))*G426,0)</f>
        <v>1034817.84326951</v>
      </c>
      <c r="H437" s="39" t="n">
        <f aca="false">IF(4&lt;='Inputs &amp; Assumptions'!$E$144,'Inputs &amp; Assumptions'!$D$61*INDEX('Inputs &amp; Assumptions'!$C$26:$I$26,CEILING(('Inputs &amp; Assumptions'!$C$144+4)/4,1))*H426,0)</f>
        <v>928994.945431533</v>
      </c>
      <c r="I437" s="39" t="n">
        <f aca="false">IF(5&lt;='Inputs &amp; Assumptions'!$E$144,'Inputs &amp; Assumptions'!$D$61*INDEX('Inputs &amp; Assumptions'!$C$26:$I$26,CEILING(('Inputs &amp; Assumptions'!$C$144+5)/4,1))*I426,0)</f>
        <v>740461.736331788</v>
      </c>
      <c r="J437" s="39" t="n">
        <f aca="false">IF(6&lt;='Inputs &amp; Assumptions'!$E$144,'Inputs &amp; Assumptions'!$D$61*INDEX('Inputs &amp; Assumptions'!$C$26:$I$26,CEILING(('Inputs &amp; Assumptions'!$C$144+6)/4,1))*J426,0)</f>
        <v>666370.648421585</v>
      </c>
      <c r="K437" s="39" t="n">
        <f aca="false">IF(7&lt;='Inputs &amp; Assumptions'!$E$144,'Inputs &amp; Assumptions'!$D$61*INDEX('Inputs &amp; Assumptions'!$C$26:$I$26,CEILING(('Inputs &amp; Assumptions'!$C$144+7)/4,1))*K426,0)</f>
        <v>599693.163454476</v>
      </c>
      <c r="L437" s="39" t="n">
        <f aca="false">IF(8&lt;='Inputs &amp; Assumptions'!$E$144,'Inputs &amp; Assumptions'!$D$61*INDEX('Inputs &amp; Assumptions'!$C$26:$I$26,CEILING(('Inputs &amp; Assumptions'!$C$144+8)/4,1))*L426,0)</f>
        <v>539687.471448341</v>
      </c>
      <c r="M437" s="39" t="n">
        <f aca="false">IF(9&lt;='Inputs &amp; Assumptions'!$E$144,'Inputs &amp; Assumptions'!$D$61*INDEX('Inputs &amp; Assumptions'!$C$26:$I$26,CEILING(('Inputs &amp; Assumptions'!$C$144+9)/4,1))*M426,0)</f>
        <v>388548.790732264</v>
      </c>
      <c r="N437" s="39" t="n">
        <f aca="false">IF(10&lt;='Inputs &amp; Assumptions'!$E$144,'Inputs &amp; Assumptions'!$D$61*INDEX('Inputs &amp; Assumptions'!$C$26:$I$26,CEILING(('Inputs &amp; Assumptions'!$C$144+10)/4,1))*N426,0)</f>
        <v>351024.82588</v>
      </c>
      <c r="O437" s="39" t="n">
        <f aca="false">IF(11&lt;='Inputs &amp; Assumptions'!$E$144,'Inputs &amp; Assumptions'!$D$61*INDEX('Inputs &amp; Assumptions'!$C$26:$I$26,CEILING(('Inputs &amp; Assumptions'!$C$144+11)/4,1))*O426,0)</f>
        <v>317124.724933168</v>
      </c>
      <c r="P437" s="39" t="n">
        <f aca="false">IF(12&lt;='Inputs &amp; Assumptions'!$E$144,'Inputs &amp; Assumptions'!$D$61*INDEX('Inputs &amp; Assumptions'!$C$26:$I$26,CEILING(('Inputs &amp; Assumptions'!$C$144+12)/4,1))*P426,0)</f>
        <v>286498.514490589</v>
      </c>
      <c r="Q437" s="39" t="n">
        <f aca="false">IF(13&lt;='Inputs &amp; Assumptions'!$E$144,'Inputs &amp; Assumptions'!$D$61*INDEX('Inputs &amp; Assumptions'!$C$26:$I$26,CEILING(('Inputs &amp; Assumptions'!$C$144+13)/4,1))*Q426,0)</f>
        <v>201785.245629998</v>
      </c>
      <c r="R437" s="39" t="n">
        <f aca="false">IF(14&lt;='Inputs &amp; Assumptions'!$E$144,'Inputs &amp; Assumptions'!$D$61*INDEX('Inputs &amp; Assumptions'!$C$26:$I$26,CEILING(('Inputs &amp; Assumptions'!$C$144+14)/4,1))*R426,0)</f>
        <v>182918.02930776</v>
      </c>
      <c r="S437" s="39" t="n">
        <f aca="false">IF(15&lt;='Inputs &amp; Assumptions'!$E$144,'Inputs &amp; Assumptions'!$D$61*INDEX('Inputs &amp; Assumptions'!$C$26:$I$26,CEILING(('Inputs &amp; Assumptions'!$C$144+15)/4,1))*S426,0)</f>
        <v>165814.925374605</v>
      </c>
      <c r="T437" s="39" t="n">
        <f aca="false">IF(16&lt;='Inputs &amp; Assumptions'!$E$144,'Inputs &amp; Assumptions'!$D$61*INDEX('Inputs &amp; Assumptions'!$C$26:$I$26,CEILING(('Inputs &amp; Assumptions'!$C$144+16)/4,1))*T426,0)</f>
        <v>150310.986735628</v>
      </c>
      <c r="U437" s="39" t="n">
        <f aca="false">IF(17&lt;='Inputs &amp; Assumptions'!$E$144,'Inputs &amp; Assumptions'!$D$61*INDEX('Inputs &amp; Assumptions'!$C$26:$I$26,CEILING(('Inputs &amp; Assumptions'!$C$144+17)/4,1))*U426,0)</f>
        <v>110385.165845987</v>
      </c>
      <c r="V437" s="39" t="n">
        <f aca="false">IF(18&lt;='Inputs &amp; Assumptions'!$E$144,'Inputs &amp; Assumptions'!$D$61*INDEX('Inputs &amp; Assumptions'!$C$26:$I$26,CEILING(('Inputs &amp; Assumptions'!$C$144+18)/4,1))*V426,0)</f>
        <v>100291.834923893</v>
      </c>
      <c r="W437" s="39" t="n">
        <f aca="false">IF(19&lt;='Inputs &amp; Assumptions'!$E$144,'Inputs &amp; Assumptions'!$D$61*INDEX('Inputs &amp; Assumptions'!$C$26:$I$26,CEILING(('Inputs &amp; Assumptions'!$C$144+19)/4,1))*W426,0)</f>
        <v>91121.4117885669</v>
      </c>
      <c r="X437" s="39" t="n">
        <f aca="false">IF(20&lt;='Inputs &amp; Assumptions'!$E$144,'Inputs &amp; Assumptions'!$D$61*INDEX('Inputs &amp; Assumptions'!$C$26:$I$26,CEILING(('Inputs &amp; Assumptions'!$C$144+20)/4,1))*X426,0)</f>
        <v>82789.5081652703</v>
      </c>
      <c r="Y437" s="39" t="n">
        <f aca="false">IF(21&lt;='Inputs &amp; Assumptions'!$E$144,'Inputs &amp; Assumptions'!$D$61*INDEX('Inputs &amp; Assumptions'!$C$26:$I$26,CEILING(('Inputs &amp; Assumptions'!$C$144+21)/4,1))*Y426,0)</f>
        <v>59156.9648718169</v>
      </c>
      <c r="Z437" s="39" t="n">
        <f aca="false">IF(22&lt;='Inputs &amp; Assumptions'!$E$144,'Inputs &amp; Assumptions'!$D$61*INDEX('Inputs &amp; Assumptions'!$C$26:$I$26,CEILING(('Inputs &amp; Assumptions'!$C$144+22)/4,1))*Z426,0)</f>
        <v>53859.0577051603</v>
      </c>
      <c r="AA437" s="39" t="n">
        <f aca="false">IF(23&lt;='Inputs &amp; Assumptions'!$E$144,'Inputs &amp; Assumptions'!$D$61*INDEX('Inputs &amp; Assumptions'!$C$26:$I$26,CEILING(('Inputs &amp; Assumptions'!$C$144+23)/4,1))*AA426,0)</f>
        <v>49035.6140341772</v>
      </c>
      <c r="AB437" s="39" t="n">
        <f aca="false">IF(24&lt;='Inputs &amp; Assumptions'!$E$144,'Inputs &amp; Assumptions'!$D$61*INDEX('Inputs &amp; Assumptions'!$C$26:$I$26,CEILING(('Inputs &amp; Assumptions'!$C$144+24)/4,1))*AB426,0)</f>
        <v>44644.1424369446</v>
      </c>
      <c r="AC437" s="39" t="n">
        <f aca="false">IF(25&lt;='Inputs &amp; Assumptions'!$E$144,'Inputs &amp; Assumptions'!$D$61*INDEX('Inputs &amp; Assumptions'!$C$26:$I$26,CEILING(('Inputs &amp; Assumptions'!$C$144+25)/4,1))*AC426,0)</f>
        <v>0</v>
      </c>
      <c r="AD437" s="39" t="n">
        <f aca="false">IF(26&lt;='Inputs &amp; Assumptions'!$E$144,'Inputs &amp; Assumptions'!$D$61*INDEX('Inputs &amp; Assumptions'!$C$26:$I$26,CEILING(('Inputs &amp; Assumptions'!$C$144+26)/4,1))*AD426,0)</f>
        <v>0</v>
      </c>
      <c r="AE437" s="39" t="n">
        <f aca="false">IF(27&lt;='Inputs &amp; Assumptions'!$E$144,'Inputs &amp; Assumptions'!$D$61*INDEX('Inputs &amp; Assumptions'!$C$26:$I$26,CEILING(('Inputs &amp; Assumptions'!$C$144+27)/4,1))*AE426,0)</f>
        <v>0</v>
      </c>
      <c r="AF437" s="39" t="n">
        <f aca="false">IF(28&lt;='Inputs &amp; Assumptions'!$E$144,'Inputs &amp; Assumptions'!$D$61*INDEX('Inputs &amp; Assumptions'!$C$26:$I$26,CEILING(('Inputs &amp; Assumptions'!$C$144+28)/4,1))*AF426,0)</f>
        <v>0</v>
      </c>
      <c r="AG437" s="39" t="n">
        <f aca="false">IF(29&lt;='Inputs &amp; Assumptions'!$E$144,'Inputs &amp; Assumptions'!$D$61*INDEX('Inputs &amp; Assumptions'!$C$26:$I$26,CEILING(('Inputs &amp; Assumptions'!$C$144+29)/4,1))*AG426,0)</f>
        <v>0</v>
      </c>
      <c r="AH437" s="39" t="n">
        <f aca="false">IF(30&lt;='Inputs &amp; Assumptions'!$E$144,'Inputs &amp; Assumptions'!$D$61*INDEX('Inputs &amp; Assumptions'!$C$26:$I$26,CEILING(('Inputs &amp; Assumptions'!$C$144+30)/4,1))*AH426,0)</f>
        <v>0</v>
      </c>
      <c r="AI437" s="39" t="n">
        <f aca="false">IF(31&lt;='Inputs &amp; Assumptions'!$E$144,'Inputs &amp; Assumptions'!$D$61*INDEX('Inputs &amp; Assumptions'!$C$26:$I$26,CEILING(('Inputs &amp; Assumptions'!$C$144+31)/4,1))*AI426,0)</f>
        <v>0</v>
      </c>
      <c r="AJ437" s="39" t="n">
        <f aca="false">IF(32&lt;='Inputs &amp; Assumptions'!$E$144,'Inputs &amp; Assumptions'!$D$61*INDEX('Inputs &amp; Assumptions'!$C$26:$I$26,CEILING(('Inputs &amp; Assumptions'!$C$144+32)/4,1))*AJ426,0)</f>
        <v>0</v>
      </c>
      <c r="AK437" s="39" t="n">
        <f aca="false">IF(33&lt;='Inputs &amp; Assumptions'!$E$144,'Inputs &amp; Assumptions'!$D$61*INDEX('Inputs &amp; Assumptions'!$C$26:$I$26,CEILING(('Inputs &amp; Assumptions'!$C$144+33)/4,1))*AK426,0)</f>
        <v>0</v>
      </c>
      <c r="AL437" s="39" t="n">
        <f aca="false">IF(34&lt;='Inputs &amp; Assumptions'!$E$144,'Inputs &amp; Assumptions'!$D$61*INDEX('Inputs &amp; Assumptions'!$C$26:$I$26,CEILING(('Inputs &amp; Assumptions'!$C$144+34)/4,1))*AL426,0)</f>
        <v>0</v>
      </c>
      <c r="AM437" s="39" t="n">
        <f aca="false">IF(35&lt;='Inputs &amp; Assumptions'!$E$144,'Inputs &amp; Assumptions'!$D$61*INDEX('Inputs &amp; Assumptions'!$C$26:$I$26,CEILING(('Inputs &amp; Assumptions'!$C$144+35)/4,1))*AM426,0)</f>
        <v>0</v>
      </c>
      <c r="AN437" s="39" t="n">
        <f aca="false">IF(36&lt;='Inputs &amp; Assumptions'!$E$144,'Inputs &amp; Assumptions'!$D$61*INDEX('Inputs &amp; Assumptions'!$C$26:$I$26,CEILING(('Inputs &amp; Assumptions'!$C$144+36)/4,1))*AN426,0)</f>
        <v>0</v>
      </c>
    </row>
    <row r="438" customFormat="false" ht="15" hidden="false" customHeight="false" outlineLevel="0" collapsed="false">
      <c r="B438" s="37" t="n">
        <v>6</v>
      </c>
      <c r="C438" s="38" t="n">
        <f aca="false">'Inputs &amp; Assumptions'!$C$145</f>
        <v>5</v>
      </c>
      <c r="D438" s="38" t="n">
        <f aca="false">'Inputs &amp; Assumptions'!$D$145</f>
        <v>3</v>
      </c>
      <c r="E438" s="39" t="n">
        <f aca="false">IF(1&lt;='Inputs &amp; Assumptions'!$E$145,'Inputs &amp; Assumptions'!$D$61*INDEX('Inputs &amp; Assumptions'!$C$26:$I$26,CEILING(('Inputs &amp; Assumptions'!$C$145+1)/4,1))*E427,0)</f>
        <v>1245480</v>
      </c>
      <c r="F438" s="39" t="n">
        <f aca="false">IF(2&lt;='Inputs &amp; Assumptions'!$E$145,'Inputs &amp; Assumptions'!$D$61*INDEX('Inputs &amp; Assumptions'!$C$26:$I$26,CEILING(('Inputs &amp; Assumptions'!$C$145+2)/4,1))*F427,0)</f>
        <v>1118114.29630975</v>
      </c>
      <c r="G438" s="39" t="n">
        <f aca="false">IF(3&lt;='Inputs &amp; Assumptions'!$E$145,'Inputs &amp; Assumptions'!$D$61*INDEX('Inputs &amp; Assumptions'!$C$26:$I$26,CEILING(('Inputs &amp; Assumptions'!$C$145+3)/4,1))*G427,0)</f>
        <v>1003773.30797143</v>
      </c>
      <c r="H438" s="39" t="n">
        <f aca="false">IF(4&lt;='Inputs &amp; Assumptions'!$E$145,'Inputs &amp; Assumptions'!$D$61*INDEX('Inputs &amp; Assumptions'!$C$26:$I$26,CEILING(('Inputs &amp; Assumptions'!$C$145+4)/4,1))*H427,0)</f>
        <v>800064.338518839</v>
      </c>
      <c r="I438" s="39" t="n">
        <f aca="false">IF(5&lt;='Inputs &amp; Assumptions'!$E$145,'Inputs &amp; Assumptions'!$D$61*INDEX('Inputs &amp; Assumptions'!$C$26:$I$26,CEILING(('Inputs &amp; Assumptions'!$C$145+5)/4,1))*I427,0)</f>
        <v>720009.375067688</v>
      </c>
      <c r="J438" s="39" t="n">
        <f aca="false">IF(6&lt;='Inputs &amp; Assumptions'!$E$145,'Inputs &amp; Assumptions'!$D$61*INDEX('Inputs &amp; Assumptions'!$C$26:$I$26,CEILING(('Inputs &amp; Assumptions'!$C$145+6)/4,1))*J427,0)</f>
        <v>647964.763865244</v>
      </c>
      <c r="K438" s="39" t="n">
        <f aca="false">IF(7&lt;='Inputs &amp; Assumptions'!$E$145,'Inputs &amp; Assumptions'!$D$61*INDEX('Inputs &amp; Assumptions'!$C$26:$I$26,CEILING(('Inputs &amp; Assumptions'!$C$145+7)/4,1))*K427,0)</f>
        <v>583128.983801732</v>
      </c>
      <c r="L438" s="39" t="n">
        <f aca="false">IF(8&lt;='Inputs &amp; Assumptions'!$E$145,'Inputs &amp; Assumptions'!$D$61*INDEX('Inputs &amp; Assumptions'!$C$26:$I$26,CEILING(('Inputs &amp; Assumptions'!$C$145+8)/4,1))*L427,0)</f>
        <v>419824.571597055</v>
      </c>
      <c r="M438" s="39" t="n">
        <f aca="false">IF(9&lt;='Inputs &amp; Assumptions'!$E$145,'Inputs &amp; Assumptions'!$D$61*INDEX('Inputs &amp; Assumptions'!$C$26:$I$26,CEILING(('Inputs &amp; Assumptions'!$C$145+9)/4,1))*M427,0)</f>
        <v>379280.159043266</v>
      </c>
      <c r="N438" s="39" t="n">
        <f aca="false">IF(10&lt;='Inputs &amp; Assumptions'!$E$145,'Inputs &amp; Assumptions'!$D$61*INDEX('Inputs &amp; Assumptions'!$C$26:$I$26,CEILING(('Inputs &amp; Assumptions'!$C$145+10)/4,1))*N427,0)</f>
        <v>342651.30908525</v>
      </c>
      <c r="O438" s="39" t="n">
        <f aca="false">IF(11&lt;='Inputs &amp; Assumptions'!$E$145,'Inputs &amp; Assumptions'!$D$61*INDEX('Inputs &amp; Assumptions'!$C$26:$I$26,CEILING(('Inputs &amp; Assumptions'!$C$145+11)/4,1))*O427,0)</f>
        <v>309559.877621867</v>
      </c>
      <c r="P438" s="39" t="n">
        <f aca="false">IF(12&lt;='Inputs &amp; Assumptions'!$E$145,'Inputs &amp; Assumptions'!$D$61*INDEX('Inputs &amp; Assumptions'!$C$26:$I$26,CEILING(('Inputs &amp; Assumptions'!$C$145+12)/4,1))*P427,0)</f>
        <v>218027.713177453</v>
      </c>
      <c r="Q438" s="39" t="n">
        <f aca="false">IF(13&lt;='Inputs &amp; Assumptions'!$E$145,'Inputs &amp; Assumptions'!$D$61*INDEX('Inputs &amp; Assumptions'!$C$26:$I$26,CEILING(('Inputs &amp; Assumptions'!$C$145+13)/4,1))*Q427,0)</f>
        <v>197641.802324959</v>
      </c>
      <c r="R438" s="39" t="n">
        <f aca="false">IF(14&lt;='Inputs &amp; Assumptions'!$E$145,'Inputs &amp; Assumptions'!$D$61*INDEX('Inputs &amp; Assumptions'!$C$26:$I$26,CEILING(('Inputs &amp; Assumptions'!$C$145+14)/4,1))*R427,0)</f>
        <v>179162.004026823</v>
      </c>
      <c r="S438" s="39" t="n">
        <f aca="false">IF(15&lt;='Inputs &amp; Assumptions'!$E$145,'Inputs &amp; Assumptions'!$D$61*INDEX('Inputs &amp; Assumptions'!$C$26:$I$26,CEILING(('Inputs &amp; Assumptions'!$C$145+15)/4,1))*S427,0)</f>
        <v>162410.093964489</v>
      </c>
      <c r="T438" s="39" t="n">
        <f aca="false">IF(16&lt;='Inputs &amp; Assumptions'!$E$145,'Inputs &amp; Assumptions'!$D$61*INDEX('Inputs &amp; Assumptions'!$C$26:$I$26,CEILING(('Inputs &amp; Assumptions'!$C$145+16)/4,1))*T427,0)</f>
        <v>119270.490778323</v>
      </c>
      <c r="U438" s="39" t="n">
        <f aca="false">IF(17&lt;='Inputs &amp; Assumptions'!$E$145,'Inputs &amp; Assumptions'!$D$61*INDEX('Inputs &amp; Assumptions'!$C$26:$I$26,CEILING(('Inputs &amp; Assumptions'!$C$145+17)/4,1))*U427,0)</f>
        <v>108364.708978387</v>
      </c>
      <c r="V438" s="39" t="n">
        <f aca="false">IF(18&lt;='Inputs &amp; Assumptions'!$E$145,'Inputs &amp; Assumptions'!$D$61*INDEX('Inputs &amp; Assumptions'!$C$26:$I$26,CEILING(('Inputs &amp; Assumptions'!$C$145+18)/4,1))*V427,0)</f>
        <v>98456.1233490342</v>
      </c>
      <c r="W438" s="39" t="n">
        <f aca="false">IF(19&lt;='Inputs &amp; Assumptions'!$E$145,'Inputs &amp; Assumptions'!$D$61*INDEX('Inputs &amp; Assumptions'!$C$26:$I$26,CEILING(('Inputs &amp; Assumptions'!$C$145+19)/4,1))*W427,0)</f>
        <v>89453.552879966</v>
      </c>
      <c r="X438" s="39" t="n">
        <f aca="false">IF(20&lt;='Inputs &amp; Assumptions'!$E$145,'Inputs &amp; Assumptions'!$D$61*INDEX('Inputs &amp; Assumptions'!$C$26:$I$26,CEILING(('Inputs &amp; Assumptions'!$C$145+20)/4,1))*X427,0)</f>
        <v>63918.7356303108</v>
      </c>
      <c r="Y438" s="39" t="n">
        <f aca="false">IF(21&lt;='Inputs &amp; Assumptions'!$E$145,'Inputs &amp; Assumptions'!$D$61*INDEX('Inputs &amp; Assumptions'!$C$26:$I$26,CEILING(('Inputs &amp; Assumptions'!$C$145+21)/4,1))*Y427,0)</f>
        <v>58194.3796172324</v>
      </c>
      <c r="Z438" s="39" t="n">
        <f aca="false">IF(22&lt;='Inputs &amp; Assumptions'!$E$145,'Inputs &amp; Assumptions'!$D$61*INDEX('Inputs &amp; Assumptions'!$C$26:$I$26,CEILING(('Inputs &amp; Assumptions'!$C$145+22)/4,1))*Z427,0)</f>
        <v>52982.6784844694</v>
      </c>
      <c r="AA438" s="39" t="n">
        <f aca="false">IF(23&lt;='Inputs &amp; Assumptions'!$E$145,'Inputs &amp; Assumptions'!$D$61*INDEX('Inputs &amp; Assumptions'!$C$26:$I$26,CEILING(('Inputs &amp; Assumptions'!$C$145+23)/4,1))*AA427,0)</f>
        <v>48237.7205127453</v>
      </c>
      <c r="AB438" s="39" t="n">
        <f aca="false">IF(24&lt;='Inputs &amp; Assumptions'!$E$145,'Inputs &amp; Assumptions'!$D$61*INDEX('Inputs &amp; Assumptions'!$C$26:$I$26,CEILING(('Inputs &amp; Assumptions'!$C$145+24)/4,1))*AB427,0)</f>
        <v>0</v>
      </c>
      <c r="AC438" s="39" t="n">
        <f aca="false">IF(25&lt;='Inputs &amp; Assumptions'!$E$145,'Inputs &amp; Assumptions'!$D$61*INDEX('Inputs &amp; Assumptions'!$C$26:$I$26,CEILING(('Inputs &amp; Assumptions'!$C$145+25)/4,1))*AC427,0)</f>
        <v>0</v>
      </c>
      <c r="AD438" s="39" t="n">
        <f aca="false">IF(26&lt;='Inputs &amp; Assumptions'!$E$145,'Inputs &amp; Assumptions'!$D$61*INDEX('Inputs &amp; Assumptions'!$C$26:$I$26,CEILING(('Inputs &amp; Assumptions'!$C$145+26)/4,1))*AD427,0)</f>
        <v>0</v>
      </c>
      <c r="AE438" s="39" t="n">
        <f aca="false">IF(27&lt;='Inputs &amp; Assumptions'!$E$145,'Inputs &amp; Assumptions'!$D$61*INDEX('Inputs &amp; Assumptions'!$C$26:$I$26,CEILING(('Inputs &amp; Assumptions'!$C$145+27)/4,1))*AE427,0)</f>
        <v>0</v>
      </c>
      <c r="AF438" s="39" t="n">
        <f aca="false">IF(28&lt;='Inputs &amp; Assumptions'!$E$145,'Inputs &amp; Assumptions'!$D$61*INDEX('Inputs &amp; Assumptions'!$C$26:$I$26,CEILING(('Inputs &amp; Assumptions'!$C$145+28)/4,1))*AF427,0)</f>
        <v>0</v>
      </c>
      <c r="AG438" s="39" t="n">
        <f aca="false">IF(29&lt;='Inputs &amp; Assumptions'!$E$145,'Inputs &amp; Assumptions'!$D$61*INDEX('Inputs &amp; Assumptions'!$C$26:$I$26,CEILING(('Inputs &amp; Assumptions'!$C$145+29)/4,1))*AG427,0)</f>
        <v>0</v>
      </c>
      <c r="AH438" s="39" t="n">
        <f aca="false">IF(30&lt;='Inputs &amp; Assumptions'!$E$145,'Inputs &amp; Assumptions'!$D$61*INDEX('Inputs &amp; Assumptions'!$C$26:$I$26,CEILING(('Inputs &amp; Assumptions'!$C$145+30)/4,1))*AH427,0)</f>
        <v>0</v>
      </c>
      <c r="AI438" s="39" t="n">
        <f aca="false">IF(31&lt;='Inputs &amp; Assumptions'!$E$145,'Inputs &amp; Assumptions'!$D$61*INDEX('Inputs &amp; Assumptions'!$C$26:$I$26,CEILING(('Inputs &amp; Assumptions'!$C$145+31)/4,1))*AI427,0)</f>
        <v>0</v>
      </c>
      <c r="AJ438" s="39" t="n">
        <f aca="false">IF(32&lt;='Inputs &amp; Assumptions'!$E$145,'Inputs &amp; Assumptions'!$D$61*INDEX('Inputs &amp; Assumptions'!$C$26:$I$26,CEILING(('Inputs &amp; Assumptions'!$C$145+32)/4,1))*AJ427,0)</f>
        <v>0</v>
      </c>
      <c r="AK438" s="39" t="n">
        <f aca="false">IF(33&lt;='Inputs &amp; Assumptions'!$E$145,'Inputs &amp; Assumptions'!$D$61*INDEX('Inputs &amp; Assumptions'!$C$26:$I$26,CEILING(('Inputs &amp; Assumptions'!$C$145+33)/4,1))*AK427,0)</f>
        <v>0</v>
      </c>
      <c r="AL438" s="39" t="n">
        <f aca="false">IF(34&lt;='Inputs &amp; Assumptions'!$E$145,'Inputs &amp; Assumptions'!$D$61*INDEX('Inputs &amp; Assumptions'!$C$26:$I$26,CEILING(('Inputs &amp; Assumptions'!$C$145+34)/4,1))*AL427,0)</f>
        <v>0</v>
      </c>
      <c r="AM438" s="39" t="n">
        <f aca="false">IF(35&lt;='Inputs &amp; Assumptions'!$E$145,'Inputs &amp; Assumptions'!$D$61*INDEX('Inputs &amp; Assumptions'!$C$26:$I$26,CEILING(('Inputs &amp; Assumptions'!$C$145+35)/4,1))*AM427,0)</f>
        <v>0</v>
      </c>
      <c r="AN438" s="39" t="n">
        <f aca="false">IF(36&lt;='Inputs &amp; Assumptions'!$E$145,'Inputs &amp; Assumptions'!$D$61*INDEX('Inputs &amp; Assumptions'!$C$26:$I$26,CEILING(('Inputs &amp; Assumptions'!$C$145+36)/4,1))*AN427,0)</f>
        <v>0</v>
      </c>
    </row>
    <row r="439" customFormat="false" ht="15" hidden="false" customHeight="false" outlineLevel="0" collapsed="false">
      <c r="B439" s="37" t="n">
        <v>7</v>
      </c>
      <c r="C439" s="38" t="n">
        <f aca="false">'Inputs &amp; Assumptions'!$C$146</f>
        <v>6</v>
      </c>
      <c r="D439" s="38" t="n">
        <f aca="false">'Inputs &amp; Assumptions'!$D$146</f>
        <v>3</v>
      </c>
      <c r="E439" s="39" t="n">
        <f aca="false">IF(1&lt;='Inputs &amp; Assumptions'!$E$146,'Inputs &amp; Assumptions'!$D$61*INDEX('Inputs &amp; Assumptions'!$C$26:$I$26,CEILING(('Inputs &amp; Assumptions'!$C$146+1)/4,1))*E428,0)</f>
        <v>1208115.6</v>
      </c>
      <c r="F439" s="39" t="n">
        <f aca="false">IF(2&lt;='Inputs &amp; Assumptions'!$E$146,'Inputs &amp; Assumptions'!$D$61*INDEX('Inputs &amp; Assumptions'!$C$26:$I$26,CEILING(('Inputs &amp; Assumptions'!$C$146+2)/4,1))*F428,0)</f>
        <v>1084570.86742046</v>
      </c>
      <c r="G439" s="39" t="n">
        <f aca="false">IF(3&lt;='Inputs &amp; Assumptions'!$E$146,'Inputs &amp; Assumptions'!$D$61*INDEX('Inputs &amp; Assumptions'!$C$26:$I$26,CEILING(('Inputs &amp; Assumptions'!$C$146+3)/4,1))*G428,0)</f>
        <v>864464.582519318</v>
      </c>
      <c r="H439" s="39" t="n">
        <f aca="false">IF(4&lt;='Inputs &amp; Assumptions'!$E$146,'Inputs &amp; Assumptions'!$D$61*INDEX('Inputs &amp; Assumptions'!$C$26:$I$26,CEILING(('Inputs &amp; Assumptions'!$C$146+4)/4,1))*H428,0)</f>
        <v>777965.688334735</v>
      </c>
      <c r="I439" s="39" t="n">
        <f aca="false">IF(5&lt;='Inputs &amp; Assumptions'!$E$146,'Inputs &amp; Assumptions'!$D$61*INDEX('Inputs &amp; Assumptions'!$C$26:$I$26,CEILING(('Inputs &amp; Assumptions'!$C$146+5)/4,1))*I428,0)</f>
        <v>700121.930342489</v>
      </c>
      <c r="J439" s="39" t="n">
        <f aca="false">IF(6&lt;='Inputs &amp; Assumptions'!$E$146,'Inputs &amp; Assumptions'!$D$61*INDEX('Inputs &amp; Assumptions'!$C$26:$I$26,CEILING(('Inputs &amp; Assumptions'!$C$146+6)/4,1))*J428,0)</f>
        <v>630067.269927703</v>
      </c>
      <c r="K439" s="39" t="n">
        <f aca="false">IF(7&lt;='Inputs &amp; Assumptions'!$E$146,'Inputs &amp; Assumptions'!$D$61*INDEX('Inputs &amp; Assumptions'!$C$26:$I$26,CEILING(('Inputs &amp; Assumptions'!$C$146+7)/4,1))*K428,0)</f>
        <v>453617.859894718</v>
      </c>
      <c r="L439" s="39" t="n">
        <f aca="false">IF(8&lt;='Inputs &amp; Assumptions'!$E$146,'Inputs &amp; Assumptions'!$D$61*INDEX('Inputs &amp; Assumptions'!$C$26:$I$26,CEILING(('Inputs &amp; Assumptions'!$C$146+8)/4,1))*L428,0)</f>
        <v>409809.872231265</v>
      </c>
      <c r="M439" s="39" t="n">
        <f aca="false">IF(9&lt;='Inputs &amp; Assumptions'!$E$146,'Inputs &amp; Assumptions'!$D$61*INDEX('Inputs &amp; Assumptions'!$C$26:$I$26,CEILING(('Inputs &amp; Assumptions'!$C$146+9)/4,1))*M428,0)</f>
        <v>370232.625799136</v>
      </c>
      <c r="N439" s="39" t="n">
        <f aca="false">IF(10&lt;='Inputs &amp; Assumptions'!$E$146,'Inputs &amp; Assumptions'!$D$61*INDEX('Inputs &amp; Assumptions'!$C$26:$I$26,CEILING(('Inputs &amp; Assumptions'!$C$146+10)/4,1))*N428,0)</f>
        <v>334477.538229654</v>
      </c>
      <c r="O439" s="39" t="n">
        <f aca="false">IF(11&lt;='Inputs &amp; Assumptions'!$E$146,'Inputs &amp; Assumptions'!$D$61*INDEX('Inputs &amp; Assumptions'!$C$26:$I$26,CEILING(('Inputs &amp; Assumptions'!$C$146+11)/4,1))*O428,0)</f>
        <v>235577.599169733</v>
      </c>
      <c r="P439" s="39" t="n">
        <f aca="false">IF(12&lt;='Inputs &amp; Assumptions'!$E$146,'Inputs &amp; Assumptions'!$D$61*INDEX('Inputs &amp; Assumptions'!$C$26:$I$26,CEILING(('Inputs &amp; Assumptions'!$C$146+12)/4,1))*P428,0)</f>
        <v>213550.748245465</v>
      </c>
      <c r="Q439" s="39" t="n">
        <f aca="false">IF(13&lt;='Inputs &amp; Assumptions'!$E$146,'Inputs &amp; Assumptions'!$D$61*INDEX('Inputs &amp; Assumptions'!$C$26:$I$26,CEILING(('Inputs &amp; Assumptions'!$C$146+13)/4,1))*Q428,0)</f>
        <v>193583.440178199</v>
      </c>
      <c r="R439" s="39" t="n">
        <f aca="false">IF(14&lt;='Inputs &amp; Assumptions'!$E$146,'Inputs &amp; Assumptions'!$D$61*INDEX('Inputs &amp; Assumptions'!$C$26:$I$26,CEILING(('Inputs &amp; Assumptions'!$C$146+14)/4,1))*R428,0)</f>
        <v>175483.104691122</v>
      </c>
      <c r="S439" s="39" t="n">
        <f aca="false">IF(15&lt;='Inputs &amp; Assumptions'!$E$146,'Inputs &amp; Assumptions'!$D$61*INDEX('Inputs &amp; Assumptions'!$C$26:$I$26,CEILING(('Inputs &amp; Assumptions'!$C$146+15)/4,1))*S428,0)</f>
        <v>128871.029557993</v>
      </c>
      <c r="T439" s="39" t="n">
        <f aca="false">IF(16&lt;='Inputs &amp; Assumptions'!$E$146,'Inputs &amp; Assumptions'!$D$61*INDEX('Inputs &amp; Assumptions'!$C$26:$I$26,CEILING(('Inputs &amp; Assumptions'!$C$146+16)/4,1))*T428,0)</f>
        <v>117087.399596205</v>
      </c>
      <c r="U439" s="39" t="n">
        <f aca="false">IF(17&lt;='Inputs &amp; Assumptions'!$E$146,'Inputs &amp; Assumptions'!$D$61*INDEX('Inputs &amp; Assumptions'!$C$26:$I$26,CEILING(('Inputs &amp; Assumptions'!$C$146+17)/4,1))*U428,0)</f>
        <v>106381.233945461</v>
      </c>
      <c r="V439" s="39" t="n">
        <f aca="false">IF(18&lt;='Inputs &amp; Assumptions'!$E$146,'Inputs &amp; Assumptions'!$D$61*INDEX('Inputs &amp; Assumptions'!$C$26:$I$26,CEILING(('Inputs &amp; Assumptions'!$C$146+18)/4,1))*V428,0)</f>
        <v>96654.01208659</v>
      </c>
      <c r="W439" s="39" t="n">
        <f aca="false">IF(19&lt;='Inputs &amp; Assumptions'!$E$146,'Inputs &amp; Assumptions'!$D$61*INDEX('Inputs &amp; Assumptions'!$C$26:$I$26,CEILING(('Inputs &amp; Assumptions'!$C$146+19)/4,1))*W428,0)</f>
        <v>69063.7995615625</v>
      </c>
      <c r="X439" s="39" t="n">
        <f aca="false">IF(20&lt;='Inputs &amp; Assumptions'!$E$146,'Inputs &amp; Assumptions'!$D$61*INDEX('Inputs &amp; Assumptions'!$C$26:$I$26,CEILING(('Inputs &amp; Assumptions'!$C$146+20)/4,1))*X428,0)</f>
        <v>62878.6682005036</v>
      </c>
      <c r="Y439" s="39" t="n">
        <f aca="false">IF(21&lt;='Inputs &amp; Assumptions'!$E$146,'Inputs &amp; Assumptions'!$D$61*INDEX('Inputs &amp; Assumptions'!$C$26:$I$26,CEILING(('Inputs &amp; Assumptions'!$C$146+21)/4,1))*Y428,0)</f>
        <v>57247.4572752796</v>
      </c>
      <c r="Z439" s="39" t="n">
        <f aca="false">IF(22&lt;='Inputs &amp; Assumptions'!$E$146,'Inputs &amp; Assumptions'!$D$61*INDEX('Inputs &amp; Assumptions'!$C$26:$I$26,CEILING(('Inputs &amp; Assumptions'!$C$146+22)/4,1))*Z428,0)</f>
        <v>52120.5594564218</v>
      </c>
      <c r="AA439" s="39" t="n">
        <f aca="false">IF(23&lt;='Inputs &amp; Assumptions'!$E$146,'Inputs &amp; Assumptions'!$D$61*INDEX('Inputs &amp; Assumptions'!$C$26:$I$26,CEILING(('Inputs &amp; Assumptions'!$C$146+23)/4,1))*AA428,0)</f>
        <v>0</v>
      </c>
      <c r="AB439" s="39" t="n">
        <f aca="false">IF(24&lt;='Inputs &amp; Assumptions'!$E$146,'Inputs &amp; Assumptions'!$D$61*INDEX('Inputs &amp; Assumptions'!$C$26:$I$26,CEILING(('Inputs &amp; Assumptions'!$C$146+24)/4,1))*AB428,0)</f>
        <v>0</v>
      </c>
      <c r="AC439" s="39" t="n">
        <f aca="false">IF(25&lt;='Inputs &amp; Assumptions'!$E$146,'Inputs &amp; Assumptions'!$D$61*INDEX('Inputs &amp; Assumptions'!$C$26:$I$26,CEILING(('Inputs &amp; Assumptions'!$C$146+25)/4,1))*AC428,0)</f>
        <v>0</v>
      </c>
      <c r="AD439" s="39" t="n">
        <f aca="false">IF(26&lt;='Inputs &amp; Assumptions'!$E$146,'Inputs &amp; Assumptions'!$D$61*INDEX('Inputs &amp; Assumptions'!$C$26:$I$26,CEILING(('Inputs &amp; Assumptions'!$C$146+26)/4,1))*AD428,0)</f>
        <v>0</v>
      </c>
      <c r="AE439" s="39" t="n">
        <f aca="false">IF(27&lt;='Inputs &amp; Assumptions'!$E$146,'Inputs &amp; Assumptions'!$D$61*INDEX('Inputs &amp; Assumptions'!$C$26:$I$26,CEILING(('Inputs &amp; Assumptions'!$C$146+27)/4,1))*AE428,0)</f>
        <v>0</v>
      </c>
      <c r="AF439" s="39" t="n">
        <f aca="false">IF(28&lt;='Inputs &amp; Assumptions'!$E$146,'Inputs &amp; Assumptions'!$D$61*INDEX('Inputs &amp; Assumptions'!$C$26:$I$26,CEILING(('Inputs &amp; Assumptions'!$C$146+28)/4,1))*AF428,0)</f>
        <v>0</v>
      </c>
      <c r="AG439" s="39" t="n">
        <f aca="false">IF(29&lt;='Inputs &amp; Assumptions'!$E$146,'Inputs &amp; Assumptions'!$D$61*INDEX('Inputs &amp; Assumptions'!$C$26:$I$26,CEILING(('Inputs &amp; Assumptions'!$C$146+29)/4,1))*AG428,0)</f>
        <v>0</v>
      </c>
      <c r="AH439" s="39" t="n">
        <f aca="false">IF(30&lt;='Inputs &amp; Assumptions'!$E$146,'Inputs &amp; Assumptions'!$D$61*INDEX('Inputs &amp; Assumptions'!$C$26:$I$26,CEILING(('Inputs &amp; Assumptions'!$C$146+30)/4,1))*AH428,0)</f>
        <v>0</v>
      </c>
      <c r="AI439" s="39" t="n">
        <f aca="false">IF(31&lt;='Inputs &amp; Assumptions'!$E$146,'Inputs &amp; Assumptions'!$D$61*INDEX('Inputs &amp; Assumptions'!$C$26:$I$26,CEILING(('Inputs &amp; Assumptions'!$C$146+31)/4,1))*AI428,0)</f>
        <v>0</v>
      </c>
      <c r="AJ439" s="39" t="n">
        <f aca="false">IF(32&lt;='Inputs &amp; Assumptions'!$E$146,'Inputs &amp; Assumptions'!$D$61*INDEX('Inputs &amp; Assumptions'!$C$26:$I$26,CEILING(('Inputs &amp; Assumptions'!$C$146+32)/4,1))*AJ428,0)</f>
        <v>0</v>
      </c>
      <c r="AK439" s="39" t="n">
        <f aca="false">IF(33&lt;='Inputs &amp; Assumptions'!$E$146,'Inputs &amp; Assumptions'!$D$61*INDEX('Inputs &amp; Assumptions'!$C$26:$I$26,CEILING(('Inputs &amp; Assumptions'!$C$146+33)/4,1))*AK428,0)</f>
        <v>0</v>
      </c>
      <c r="AL439" s="39" t="n">
        <f aca="false">IF(34&lt;='Inputs &amp; Assumptions'!$E$146,'Inputs &amp; Assumptions'!$D$61*INDEX('Inputs &amp; Assumptions'!$C$26:$I$26,CEILING(('Inputs &amp; Assumptions'!$C$146+34)/4,1))*AL428,0)</f>
        <v>0</v>
      </c>
      <c r="AM439" s="39" t="n">
        <f aca="false">IF(35&lt;='Inputs &amp; Assumptions'!$E$146,'Inputs &amp; Assumptions'!$D$61*INDEX('Inputs &amp; Assumptions'!$C$26:$I$26,CEILING(('Inputs &amp; Assumptions'!$C$146+35)/4,1))*AM428,0)</f>
        <v>0</v>
      </c>
      <c r="AN439" s="39" t="n">
        <f aca="false">IF(36&lt;='Inputs &amp; Assumptions'!$E$146,'Inputs &amp; Assumptions'!$D$61*INDEX('Inputs &amp; Assumptions'!$C$26:$I$26,CEILING(('Inputs &amp; Assumptions'!$C$146+36)/4,1))*AN428,0)</f>
        <v>0</v>
      </c>
    </row>
    <row r="440" customFormat="false" ht="15" hidden="false" customHeight="false" outlineLevel="0" collapsed="false">
      <c r="B440" s="37" t="n">
        <v>8</v>
      </c>
      <c r="C440" s="38" t="n">
        <f aca="false">'Inputs &amp; Assumptions'!$C$147</f>
        <v>7</v>
      </c>
      <c r="D440" s="38" t="n">
        <f aca="false">'Inputs &amp; Assumptions'!$D$147</f>
        <v>3</v>
      </c>
      <c r="E440" s="39" t="n">
        <f aca="false">IF(1&lt;='Inputs &amp; Assumptions'!$E$147,'Inputs &amp; Assumptions'!$D$61*INDEX('Inputs &amp; Assumptions'!$C$26:$I$26,CEILING(('Inputs &amp; Assumptions'!$C$147+1)/4,1))*E429,0)</f>
        <v>1171872.132</v>
      </c>
      <c r="F440" s="39" t="n">
        <f aca="false">IF(2&lt;='Inputs &amp; Assumptions'!$E$147,'Inputs &amp; Assumptions'!$D$61*INDEX('Inputs &amp; Assumptions'!$C$26:$I$26,CEILING(('Inputs &amp; Assumptions'!$C$147+2)/4,1))*F429,0)</f>
        <v>934048.64890463</v>
      </c>
      <c r="G440" s="39" t="n">
        <f aca="false">IF(3&lt;='Inputs &amp; Assumptions'!$E$147,'Inputs &amp; Assumptions'!$D$61*INDEX('Inputs &amp; Assumptions'!$C$26:$I$26,CEILING(('Inputs &amp; Assumptions'!$C$147+3)/4,1))*G429,0)</f>
        <v>840587.127312392</v>
      </c>
      <c r="H440" s="39" t="n">
        <f aca="false">IF(4&lt;='Inputs &amp; Assumptions'!$E$147,'Inputs &amp; Assumptions'!$D$61*INDEX('Inputs &amp; Assumptions'!$C$26:$I$26,CEILING(('Inputs &amp; Assumptions'!$C$147+4)/4,1))*H429,0)</f>
        <v>756477.426986189</v>
      </c>
      <c r="I440" s="39" t="n">
        <f aca="false">IF(5&lt;='Inputs &amp; Assumptions'!$E$147,'Inputs &amp; Assumptions'!$D$61*INDEX('Inputs &amp; Assumptions'!$C$26:$I$26,CEILING(('Inputs &amp; Assumptions'!$C$147+5)/4,1))*I429,0)</f>
        <v>680783.798544862</v>
      </c>
      <c r="J440" s="39" t="n">
        <f aca="false">IF(6&lt;='Inputs &amp; Assumptions'!$E$147,'Inputs &amp; Assumptions'!$D$61*INDEX('Inputs &amp; Assumptions'!$C$26:$I$26,CEILING(('Inputs &amp; Assumptions'!$C$147+6)/4,1))*J429,0)</f>
        <v>490131.299444189</v>
      </c>
      <c r="K440" s="39" t="n">
        <f aca="false">IF(7&lt;='Inputs &amp; Assumptions'!$E$147,'Inputs &amp; Assumptions'!$D$61*INDEX('Inputs &amp; Assumptions'!$C$26:$I$26,CEILING(('Inputs &amp; Assumptions'!$C$147+7)/4,1))*K429,0)</f>
        <v>442797.039006325</v>
      </c>
      <c r="L440" s="39" t="n">
        <f aca="false">IF(8&lt;='Inputs &amp; Assumptions'!$E$147,'Inputs &amp; Assumptions'!$D$61*INDEX('Inputs &amp; Assumptions'!$C$26:$I$26,CEILING(('Inputs &amp; Assumptions'!$C$147+8)/4,1))*L429,0)</f>
        <v>400034.068371295</v>
      </c>
      <c r="M440" s="39" t="n">
        <f aca="false">IF(9&lt;='Inputs &amp; Assumptions'!$E$147,'Inputs &amp; Assumptions'!$D$61*INDEX('Inputs &amp; Assumptions'!$C$26:$I$26,CEILING(('Inputs &amp; Assumptions'!$C$147+9)/4,1))*M429,0)</f>
        <v>361400.916810115</v>
      </c>
      <c r="N440" s="39" t="n">
        <f aca="false">IF(10&lt;='Inputs &amp; Assumptions'!$E$147,'Inputs &amp; Assumptions'!$D$61*INDEX('Inputs &amp; Assumptions'!$C$26:$I$26,CEILING(('Inputs &amp; Assumptions'!$C$147+10)/4,1))*N429,0)</f>
        <v>254540.142726748</v>
      </c>
      <c r="O440" s="39" t="n">
        <f aca="false">IF(11&lt;='Inputs &amp; Assumptions'!$E$147,'Inputs &amp; Assumptions'!$D$61*INDEX('Inputs &amp; Assumptions'!$C$26:$I$26,CEILING(('Inputs &amp; Assumptions'!$C$147+11)/4,1))*O429,0)</f>
        <v>230740.266177176</v>
      </c>
      <c r="P440" s="39" t="n">
        <f aca="false">IF(12&lt;='Inputs &amp; Assumptions'!$E$147,'Inputs &amp; Assumptions'!$D$61*INDEX('Inputs &amp; Assumptions'!$C$26:$I$26,CEILING(('Inputs &amp; Assumptions'!$C$147+12)/4,1))*P429,0)</f>
        <v>209165.712980169</v>
      </c>
      <c r="Q440" s="39" t="n">
        <f aca="false">IF(13&lt;='Inputs &amp; Assumptions'!$E$147,'Inputs &amp; Assumptions'!$D$61*INDEX('Inputs &amp; Assumptions'!$C$26:$I$26,CEILING(('Inputs &amp; Assumptions'!$C$147+13)/4,1))*Q429,0)</f>
        <v>189608.41213951</v>
      </c>
      <c r="R440" s="39" t="n">
        <f aca="false">IF(14&lt;='Inputs &amp; Assumptions'!$E$147,'Inputs &amp; Assumptions'!$D$61*INDEX('Inputs &amp; Assumptions'!$C$26:$I$26,CEILING(('Inputs &amp; Assumptions'!$C$147+14)/4,1))*R429,0)</f>
        <v>139244.352487861</v>
      </c>
      <c r="S440" s="39" t="n">
        <f aca="false">IF(15&lt;='Inputs &amp; Assumptions'!$E$147,'Inputs &amp; Assumptions'!$D$61*INDEX('Inputs &amp; Assumptions'!$C$26:$I$26,CEILING(('Inputs &amp; Assumptions'!$C$147+15)/4,1))*S429,0)</f>
        <v>126512.213002257</v>
      </c>
      <c r="T440" s="39" t="n">
        <f aca="false">IF(16&lt;='Inputs &amp; Assumptions'!$E$147,'Inputs &amp; Assumptions'!$D$61*INDEX('Inputs &amp; Assumptions'!$C$26:$I$26,CEILING(('Inputs &amp; Assumptions'!$C$147+16)/4,1))*T429,0)</f>
        <v>114944.267058327</v>
      </c>
      <c r="U440" s="39" t="n">
        <f aca="false">IF(17&lt;='Inputs &amp; Assumptions'!$E$147,'Inputs &amp; Assumptions'!$D$61*INDEX('Inputs &amp; Assumptions'!$C$26:$I$26,CEILING(('Inputs &amp; Assumptions'!$C$147+17)/4,1))*U429,0)</f>
        <v>104434.063842834</v>
      </c>
      <c r="V440" s="39" t="n">
        <f aca="false">IF(18&lt;='Inputs &amp; Assumptions'!$E$147,'Inputs &amp; Assumptions'!$D$61*INDEX('Inputs &amp; Assumptions'!$C$26:$I$26,CEILING(('Inputs &amp; Assumptions'!$C$147+18)/4,1))*V429,0)</f>
        <v>74623.0094016097</v>
      </c>
      <c r="W440" s="39" t="n">
        <f aca="false">IF(19&lt;='Inputs &amp; Assumptions'!$E$147,'Inputs &amp; Assumptions'!$D$61*INDEX('Inputs &amp; Assumptions'!$C$26:$I$26,CEILING(('Inputs &amp; Assumptions'!$C$147+19)/4,1))*W429,0)</f>
        <v>67940.0131193813</v>
      </c>
      <c r="X440" s="39" t="n">
        <f aca="false">IF(20&lt;='Inputs &amp; Assumptions'!$E$147,'Inputs &amp; Assumptions'!$D$61*INDEX('Inputs &amp; Assumptions'!$C$26:$I$26,CEILING(('Inputs &amp; Assumptions'!$C$147+20)/4,1))*X429,0)</f>
        <v>61855.5244511774</v>
      </c>
      <c r="Y440" s="39" t="n">
        <f aca="false">IF(21&lt;='Inputs &amp; Assumptions'!$E$147,'Inputs &amp; Assumptions'!$D$61*INDEX('Inputs &amp; Assumptions'!$C$26:$I$26,CEILING(('Inputs &amp; Assumptions'!$C$147+21)/4,1))*Y429,0)</f>
        <v>56315.9429835129</v>
      </c>
      <c r="Z440" s="39" t="n">
        <f aca="false">IF(22&lt;='Inputs &amp; Assumptions'!$E$147,'Inputs &amp; Assumptions'!$D$61*INDEX('Inputs &amp; Assumptions'!$C$26:$I$26,CEILING(('Inputs &amp; Assumptions'!$C$147+22)/4,1))*Z429,0)</f>
        <v>0</v>
      </c>
      <c r="AA440" s="39" t="n">
        <f aca="false">IF(23&lt;='Inputs &amp; Assumptions'!$E$147,'Inputs &amp; Assumptions'!$D$61*INDEX('Inputs &amp; Assumptions'!$C$26:$I$26,CEILING(('Inputs &amp; Assumptions'!$C$147+23)/4,1))*AA429,0)</f>
        <v>0</v>
      </c>
      <c r="AB440" s="39" t="n">
        <f aca="false">IF(24&lt;='Inputs &amp; Assumptions'!$E$147,'Inputs &amp; Assumptions'!$D$61*INDEX('Inputs &amp; Assumptions'!$C$26:$I$26,CEILING(('Inputs &amp; Assumptions'!$C$147+24)/4,1))*AB429,0)</f>
        <v>0</v>
      </c>
      <c r="AC440" s="39" t="n">
        <f aca="false">IF(25&lt;='Inputs &amp; Assumptions'!$E$147,'Inputs &amp; Assumptions'!$D$61*INDEX('Inputs &amp; Assumptions'!$C$26:$I$26,CEILING(('Inputs &amp; Assumptions'!$C$147+25)/4,1))*AC429,0)</f>
        <v>0</v>
      </c>
      <c r="AD440" s="39" t="n">
        <f aca="false">IF(26&lt;='Inputs &amp; Assumptions'!$E$147,'Inputs &amp; Assumptions'!$D$61*INDEX('Inputs &amp; Assumptions'!$C$26:$I$26,CEILING(('Inputs &amp; Assumptions'!$C$147+26)/4,1))*AD429,0)</f>
        <v>0</v>
      </c>
      <c r="AE440" s="39" t="n">
        <f aca="false">IF(27&lt;='Inputs &amp; Assumptions'!$E$147,'Inputs &amp; Assumptions'!$D$61*INDEX('Inputs &amp; Assumptions'!$C$26:$I$26,CEILING(('Inputs &amp; Assumptions'!$C$147+27)/4,1))*AE429,0)</f>
        <v>0</v>
      </c>
      <c r="AF440" s="39" t="n">
        <f aca="false">IF(28&lt;='Inputs &amp; Assumptions'!$E$147,'Inputs &amp; Assumptions'!$D$61*INDEX('Inputs &amp; Assumptions'!$C$26:$I$26,CEILING(('Inputs &amp; Assumptions'!$C$147+28)/4,1))*AF429,0)</f>
        <v>0</v>
      </c>
      <c r="AG440" s="39" t="n">
        <f aca="false">IF(29&lt;='Inputs &amp; Assumptions'!$E$147,'Inputs &amp; Assumptions'!$D$61*INDEX('Inputs &amp; Assumptions'!$C$26:$I$26,CEILING(('Inputs &amp; Assumptions'!$C$147+29)/4,1))*AG429,0)</f>
        <v>0</v>
      </c>
      <c r="AH440" s="39" t="n">
        <f aca="false">IF(30&lt;='Inputs &amp; Assumptions'!$E$147,'Inputs &amp; Assumptions'!$D$61*INDEX('Inputs &amp; Assumptions'!$C$26:$I$26,CEILING(('Inputs &amp; Assumptions'!$C$147+30)/4,1))*AH429,0)</f>
        <v>0</v>
      </c>
      <c r="AI440" s="39" t="n">
        <f aca="false">IF(31&lt;='Inputs &amp; Assumptions'!$E$147,'Inputs &amp; Assumptions'!$D$61*INDEX('Inputs &amp; Assumptions'!$C$26:$I$26,CEILING(('Inputs &amp; Assumptions'!$C$147+31)/4,1))*AI429,0)</f>
        <v>0</v>
      </c>
      <c r="AJ440" s="39" t="n">
        <f aca="false">IF(32&lt;='Inputs &amp; Assumptions'!$E$147,'Inputs &amp; Assumptions'!$D$61*INDEX('Inputs &amp; Assumptions'!$C$26:$I$26,CEILING(('Inputs &amp; Assumptions'!$C$147+32)/4,1))*AJ429,0)</f>
        <v>0</v>
      </c>
      <c r="AK440" s="39" t="n">
        <f aca="false">IF(33&lt;='Inputs &amp; Assumptions'!$E$147,'Inputs &amp; Assumptions'!$D$61*INDEX('Inputs &amp; Assumptions'!$C$26:$I$26,CEILING(('Inputs &amp; Assumptions'!$C$147+33)/4,1))*AK429,0)</f>
        <v>0</v>
      </c>
      <c r="AL440" s="39" t="n">
        <f aca="false">IF(34&lt;='Inputs &amp; Assumptions'!$E$147,'Inputs &amp; Assumptions'!$D$61*INDEX('Inputs &amp; Assumptions'!$C$26:$I$26,CEILING(('Inputs &amp; Assumptions'!$C$147+34)/4,1))*AL429,0)</f>
        <v>0</v>
      </c>
      <c r="AM440" s="39" t="n">
        <f aca="false">IF(35&lt;='Inputs &amp; Assumptions'!$E$147,'Inputs &amp; Assumptions'!$D$61*INDEX('Inputs &amp; Assumptions'!$C$26:$I$26,CEILING(('Inputs &amp; Assumptions'!$C$147+35)/4,1))*AM429,0)</f>
        <v>0</v>
      </c>
      <c r="AN440" s="39" t="n">
        <f aca="false">IF(36&lt;='Inputs &amp; Assumptions'!$E$147,'Inputs &amp; Assumptions'!$D$61*INDEX('Inputs &amp; Assumptions'!$C$26:$I$26,CEILING(('Inputs &amp; Assumptions'!$C$147+36)/4,1))*AN429,0)</f>
        <v>0</v>
      </c>
    </row>
    <row r="441" customFormat="false" ht="15" hidden="false" customHeight="false" outlineLevel="0" collapsed="false">
      <c r="B441" s="37" t="n">
        <v>9</v>
      </c>
      <c r="C441" s="38" t="n">
        <f aca="false">'Inputs &amp; Assumptions'!$C$148</f>
        <v>8</v>
      </c>
      <c r="D441" s="38" t="n">
        <f aca="false">'Inputs &amp; Assumptions'!$D$148</f>
        <v>3</v>
      </c>
      <c r="E441" s="39" t="n">
        <f aca="false">IF(1&lt;='Inputs &amp; Assumptions'!$E$148,'Inputs &amp; Assumptions'!$D$61*INDEX('Inputs &amp; Assumptions'!$C$26:$I$26,CEILING(('Inputs &amp; Assumptions'!$C$148+1)/4,1))*E430,0)</f>
        <v>1009233.8034</v>
      </c>
      <c r="F441" s="39" t="n">
        <f aca="false">IF(2&lt;='Inputs &amp; Assumptions'!$E$148,'Inputs &amp; Assumptions'!$D$61*INDEX('Inputs &amp; Assumptions'!$C$26:$I$26,CEILING(('Inputs &amp; Assumptions'!$C$148+2)/4,1))*F430,0)</f>
        <v>908249.205843223</v>
      </c>
      <c r="G441" s="39" t="n">
        <f aca="false">IF(3&lt;='Inputs &amp; Assumptions'!$E$148,'Inputs &amp; Assumptions'!$D$61*INDEX('Inputs &amp; Assumptions'!$C$26:$I$26,CEILING(('Inputs &amp; Assumptions'!$C$148+3)/4,1))*G430,0)</f>
        <v>817369.193477062</v>
      </c>
      <c r="H441" s="39" t="n">
        <f aca="false">IF(4&lt;='Inputs &amp; Assumptions'!$E$148,'Inputs &amp; Assumptions'!$D$61*INDEX('Inputs &amp; Assumptions'!$C$26:$I$26,CEILING(('Inputs &amp; Assumptions'!$C$148+4)/4,1))*H430,0)</f>
        <v>735582.69486741</v>
      </c>
      <c r="I441" s="39" t="n">
        <f aca="false">IF(5&lt;='Inputs &amp; Assumptions'!$E$148,'Inputs &amp; Assumptions'!$D$61*INDEX('Inputs &amp; Assumptions'!$C$26:$I$26,CEILING(('Inputs &amp; Assumptions'!$C$148+5)/4,1))*I430,0)</f>
        <v>529583.845641802</v>
      </c>
      <c r="J441" s="39" t="n">
        <f aca="false">IF(6&lt;='Inputs &amp; Assumptions'!$E$148,'Inputs &amp; Assumptions'!$D$61*INDEX('Inputs &amp; Assumptions'!$C$26:$I$26,CEILING(('Inputs &amp; Assumptions'!$C$148+6)/4,1))*J430,0)</f>
        <v>478439.469223235</v>
      </c>
      <c r="K441" s="39" t="n">
        <f aca="false">IF(7&lt;='Inputs &amp; Assumptions'!$E$148,'Inputs &amp; Assumptions'!$D$61*INDEX('Inputs &amp; Assumptions'!$C$26:$I$26,CEILING(('Inputs &amp; Assumptions'!$C$148+7)/4,1))*K430,0)</f>
        <v>432234.343238325</v>
      </c>
      <c r="L441" s="39" t="n">
        <f aca="false">IF(8&lt;='Inputs &amp; Assumptions'!$E$148,'Inputs &amp; Assumptions'!$D$61*INDEX('Inputs &amp; Assumptions'!$C$26:$I$26,CEILING(('Inputs &amp; Assumptions'!$C$148+8)/4,1))*L430,0)</f>
        <v>390491.461287645</v>
      </c>
      <c r="M441" s="39" t="n">
        <f aca="false">IF(9&lt;='Inputs &amp; Assumptions'!$E$148,'Inputs &amp; Assumptions'!$D$61*INDEX('Inputs &amp; Assumptions'!$C$26:$I$26,CEILING(('Inputs &amp; Assumptions'!$C$148+9)/4,1))*M430,0)</f>
        <v>275029.054068386</v>
      </c>
      <c r="N441" s="39" t="n">
        <f aca="false">IF(10&lt;='Inputs &amp; Assumptions'!$E$148,'Inputs &amp; Assumptions'!$D$61*INDEX('Inputs &amp; Assumptions'!$C$26:$I$26,CEILING(('Inputs &amp; Assumptions'!$C$148+10)/4,1))*N430,0)</f>
        <v>249313.434267702</v>
      </c>
      <c r="O441" s="39" t="n">
        <f aca="false">IF(11&lt;='Inputs &amp; Assumptions'!$E$148,'Inputs &amp; Assumptions'!$D$61*INDEX('Inputs &amp; Assumptions'!$C$26:$I$26,CEILING(('Inputs &amp; Assumptions'!$C$148+11)/4,1))*O430,0)</f>
        <v>226002.262622407</v>
      </c>
      <c r="P441" s="39" t="n">
        <f aca="false">IF(12&lt;='Inputs &amp; Assumptions'!$E$148,'Inputs &amp; Assumptions'!$D$61*INDEX('Inputs &amp; Assumptions'!$C$26:$I$26,CEILING(('Inputs &amp; Assumptions'!$C$148+12)/4,1))*P430,0)</f>
        <v>204870.719704591</v>
      </c>
      <c r="Q441" s="39" t="n">
        <f aca="false">IF(13&lt;='Inputs &amp; Assumptions'!$E$148,'Inputs &amp; Assumptions'!$D$61*INDEX('Inputs &amp; Assumptions'!$C$26:$I$26,CEILING(('Inputs &amp; Assumptions'!$C$148+13)/4,1))*Q430,0)</f>
        <v>150452.663925049</v>
      </c>
      <c r="R441" s="39" t="n">
        <f aca="false">IF(14&lt;='Inputs &amp; Assumptions'!$E$148,'Inputs &amp; Assumptions'!$D$61*INDEX('Inputs &amp; Assumptions'!$C$26:$I$26,CEILING(('Inputs &amp; Assumptions'!$C$148+14)/4,1))*R430,0)</f>
        <v>136695.665749907</v>
      </c>
      <c r="S441" s="39" t="n">
        <f aca="false">IF(15&lt;='Inputs &amp; Assumptions'!$E$148,'Inputs &amp; Assumptions'!$D$61*INDEX('Inputs &amp; Assumptions'!$C$26:$I$26,CEILING(('Inputs &amp; Assumptions'!$C$148+15)/4,1))*S430,0)</f>
        <v>124196.571515136</v>
      </c>
      <c r="T441" s="39" t="n">
        <f aca="false">IF(16&lt;='Inputs &amp; Assumptions'!$E$148,'Inputs &amp; Assumptions'!$D$61*INDEX('Inputs &amp; Assumptions'!$C$26:$I$26,CEILING(('Inputs &amp; Assumptions'!$C$148+16)/4,1))*T430,0)</f>
        <v>112840.361773687</v>
      </c>
      <c r="U441" s="39" t="n">
        <f aca="false">IF(17&lt;='Inputs &amp; Assumptions'!$E$148,'Inputs &amp; Assumptions'!$D$61*INDEX('Inputs &amp; Assumptions'!$C$26:$I$26,CEILING(('Inputs &amp; Assumptions'!$C$148+17)/4,1))*U430,0)</f>
        <v>80629.7013414236</v>
      </c>
      <c r="V441" s="39" t="n">
        <f aca="false">IF(18&lt;='Inputs &amp; Assumptions'!$E$148,'Inputs &amp; Assumptions'!$D$61*INDEX('Inputs &amp; Assumptions'!$C$26:$I$26,CEILING(('Inputs &amp; Assumptions'!$C$148+18)/4,1))*V430,0)</f>
        <v>73408.7650829846</v>
      </c>
      <c r="W441" s="39" t="n">
        <f aca="false">IF(19&lt;='Inputs &amp; Assumptions'!$E$148,'Inputs &amp; Assumptions'!$D$61*INDEX('Inputs &amp; Assumptions'!$C$26:$I$26,CEILING(('Inputs &amp; Assumptions'!$C$148+19)/4,1))*W430,0)</f>
        <v>66834.5126095647</v>
      </c>
      <c r="X441" s="39" t="n">
        <f aca="false">IF(20&lt;='Inputs &amp; Assumptions'!$E$148,'Inputs &amp; Assumptions'!$D$61*INDEX('Inputs &amp; Assumptions'!$C$26:$I$26,CEILING(('Inputs &amp; Assumptions'!$C$148+20)/4,1))*X430,0)</f>
        <v>60849.0290050314</v>
      </c>
      <c r="Y441" s="39" t="n">
        <f aca="false">IF(21&lt;='Inputs &amp; Assumptions'!$E$148,'Inputs &amp; Assumptions'!$D$61*INDEX('Inputs &amp; Assumptions'!$C$26:$I$26,CEILING(('Inputs &amp; Assumptions'!$C$148+21)/4,1))*Y430,0)</f>
        <v>0</v>
      </c>
      <c r="Z441" s="39" t="n">
        <f aca="false">IF(22&lt;='Inputs &amp; Assumptions'!$E$148,'Inputs &amp; Assumptions'!$D$61*INDEX('Inputs &amp; Assumptions'!$C$26:$I$26,CEILING(('Inputs &amp; Assumptions'!$C$148+22)/4,1))*Z430,0)</f>
        <v>0</v>
      </c>
      <c r="AA441" s="39" t="n">
        <f aca="false">IF(23&lt;='Inputs &amp; Assumptions'!$E$148,'Inputs &amp; Assumptions'!$D$61*INDEX('Inputs &amp; Assumptions'!$C$26:$I$26,CEILING(('Inputs &amp; Assumptions'!$C$148+23)/4,1))*AA430,0)</f>
        <v>0</v>
      </c>
      <c r="AB441" s="39" t="n">
        <f aca="false">IF(24&lt;='Inputs &amp; Assumptions'!$E$148,'Inputs &amp; Assumptions'!$D$61*INDEX('Inputs &amp; Assumptions'!$C$26:$I$26,CEILING(('Inputs &amp; Assumptions'!$C$148+24)/4,1))*AB430,0)</f>
        <v>0</v>
      </c>
      <c r="AC441" s="39" t="n">
        <f aca="false">IF(25&lt;='Inputs &amp; Assumptions'!$E$148,'Inputs &amp; Assumptions'!$D$61*INDEX('Inputs &amp; Assumptions'!$C$26:$I$26,CEILING(('Inputs &amp; Assumptions'!$C$148+25)/4,1))*AC430,0)</f>
        <v>0</v>
      </c>
      <c r="AD441" s="39" t="n">
        <f aca="false">IF(26&lt;='Inputs &amp; Assumptions'!$E$148,'Inputs &amp; Assumptions'!$D$61*INDEX('Inputs &amp; Assumptions'!$C$26:$I$26,CEILING(('Inputs &amp; Assumptions'!$C$148+26)/4,1))*AD430,0)</f>
        <v>0</v>
      </c>
      <c r="AE441" s="39" t="n">
        <f aca="false">IF(27&lt;='Inputs &amp; Assumptions'!$E$148,'Inputs &amp; Assumptions'!$D$61*INDEX('Inputs &amp; Assumptions'!$C$26:$I$26,CEILING(('Inputs &amp; Assumptions'!$C$148+27)/4,1))*AE430,0)</f>
        <v>0</v>
      </c>
      <c r="AF441" s="39" t="n">
        <f aca="false">IF(28&lt;='Inputs &amp; Assumptions'!$E$148,'Inputs &amp; Assumptions'!$D$61*INDEX('Inputs &amp; Assumptions'!$C$26:$I$26,CEILING(('Inputs &amp; Assumptions'!$C$148+28)/4,1))*AF430,0)</f>
        <v>0</v>
      </c>
      <c r="AG441" s="39" t="n">
        <f aca="false">IF(29&lt;='Inputs &amp; Assumptions'!$E$148,'Inputs &amp; Assumptions'!$D$61*INDEX('Inputs &amp; Assumptions'!$C$26:$I$26,CEILING(('Inputs &amp; Assumptions'!$C$148+29)/4,1))*AG430,0)</f>
        <v>0</v>
      </c>
      <c r="AH441" s="39" t="n">
        <f aca="false">IF(30&lt;='Inputs &amp; Assumptions'!$E$148,'Inputs &amp; Assumptions'!$D$61*INDEX('Inputs &amp; Assumptions'!$C$26:$I$26,CEILING(('Inputs &amp; Assumptions'!$C$148+30)/4,1))*AH430,0)</f>
        <v>0</v>
      </c>
      <c r="AI441" s="39" t="n">
        <f aca="false">IF(31&lt;='Inputs &amp; Assumptions'!$E$148,'Inputs &amp; Assumptions'!$D$61*INDEX('Inputs &amp; Assumptions'!$C$26:$I$26,CEILING(('Inputs &amp; Assumptions'!$C$148+31)/4,1))*AI430,0)</f>
        <v>0</v>
      </c>
      <c r="AJ441" s="39" t="n">
        <f aca="false">IF(32&lt;='Inputs &amp; Assumptions'!$E$148,'Inputs &amp; Assumptions'!$D$61*INDEX('Inputs &amp; Assumptions'!$C$26:$I$26,CEILING(('Inputs &amp; Assumptions'!$C$148+32)/4,1))*AJ430,0)</f>
        <v>0</v>
      </c>
      <c r="AK441" s="39" t="n">
        <f aca="false">IF(33&lt;='Inputs &amp; Assumptions'!$E$148,'Inputs &amp; Assumptions'!$D$61*INDEX('Inputs &amp; Assumptions'!$C$26:$I$26,CEILING(('Inputs &amp; Assumptions'!$C$148+33)/4,1))*AK430,0)</f>
        <v>0</v>
      </c>
      <c r="AL441" s="39" t="n">
        <f aca="false">IF(34&lt;='Inputs &amp; Assumptions'!$E$148,'Inputs &amp; Assumptions'!$D$61*INDEX('Inputs &amp; Assumptions'!$C$26:$I$26,CEILING(('Inputs &amp; Assumptions'!$C$148+34)/4,1))*AL430,0)</f>
        <v>0</v>
      </c>
      <c r="AM441" s="39" t="n">
        <f aca="false">IF(35&lt;='Inputs &amp; Assumptions'!$E$148,'Inputs &amp; Assumptions'!$D$61*INDEX('Inputs &amp; Assumptions'!$C$26:$I$26,CEILING(('Inputs &amp; Assumptions'!$C$148+35)/4,1))*AM430,0)</f>
        <v>0</v>
      </c>
      <c r="AN441" s="39" t="n">
        <f aca="false">IF(36&lt;='Inputs &amp; Assumptions'!$E$148,'Inputs &amp; Assumptions'!$D$61*INDEX('Inputs &amp; Assumptions'!$C$26:$I$26,CEILING(('Inputs &amp; Assumptions'!$C$148+36)/4,1))*AN430,0)</f>
        <v>0</v>
      </c>
    </row>
    <row r="442" customFormat="false" ht="15" hidden="false" customHeight="false" outlineLevel="0" collapsed="false">
      <c r="B442" s="37" t="n">
        <v>10</v>
      </c>
      <c r="C442" s="38" t="n">
        <f aca="false">'Inputs &amp; Assumptions'!$C$149</f>
        <v>9</v>
      </c>
      <c r="D442" s="38" t="n">
        <f aca="false">'Inputs &amp; Assumptions'!$D$149</f>
        <v>3</v>
      </c>
      <c r="E442" s="39" t="n">
        <f aca="false">IF(1&lt;='Inputs &amp; Assumptions'!$E$149,'Inputs &amp; Assumptions'!$D$61*INDEX('Inputs &amp; Assumptions'!$C$26:$I$26,CEILING(('Inputs &amp; Assumptions'!$C$149+1)/4,1))*E431,0)</f>
        <v>978956.789298</v>
      </c>
      <c r="F442" s="39" t="n">
        <f aca="false">IF(2&lt;='Inputs &amp; Assumptions'!$E$149,'Inputs &amp; Assumptions'!$D$61*INDEX('Inputs &amp; Assumptions'!$C$26:$I$26,CEILING(('Inputs &amp; Assumptions'!$C$149+2)/4,1))*F431,0)</f>
        <v>881001.729667927</v>
      </c>
      <c r="G442" s="39" t="n">
        <f aca="false">IF(3&lt;='Inputs &amp; Assumptions'!$E$149,'Inputs &amp; Assumptions'!$D$61*INDEX('Inputs &amp; Assumptions'!$C$26:$I$26,CEILING(('Inputs &amp; Assumptions'!$C$149+3)/4,1))*G431,0)</f>
        <v>792848.11767275</v>
      </c>
      <c r="H442" s="39" t="n">
        <f aca="false">IF(4&lt;='Inputs &amp; Assumptions'!$E$149,'Inputs &amp; Assumptions'!$D$61*INDEX('Inputs &amp; Assumptions'!$C$26:$I$26,CEILING(('Inputs &amp; Assumptions'!$C$149+4)/4,1))*H431,0)</f>
        <v>570812.17121711</v>
      </c>
      <c r="I442" s="39" t="n">
        <f aca="false">IF(5&lt;='Inputs &amp; Assumptions'!$E$149,'Inputs &amp; Assumptions'!$D$61*INDEX('Inputs &amp; Assumptions'!$C$26:$I$26,CEILING(('Inputs &amp; Assumptions'!$C$149+5)/4,1))*I431,0)</f>
        <v>515686.183539658</v>
      </c>
      <c r="J442" s="39" t="n">
        <f aca="false">IF(6&lt;='Inputs &amp; Assumptions'!$E$149,'Inputs &amp; Assumptions'!$D$61*INDEX('Inputs &amp; Assumptions'!$C$26:$I$26,CEILING(('Inputs &amp; Assumptions'!$C$149+6)/4,1))*J431,0)</f>
        <v>465883.969023762</v>
      </c>
      <c r="K442" s="39" t="n">
        <f aca="false">IF(7&lt;='Inputs &amp; Assumptions'!$E$149,'Inputs &amp; Assumptions'!$D$61*INDEX('Inputs &amp; Assumptions'!$C$26:$I$26,CEILING(('Inputs &amp; Assumptions'!$C$149+7)/4,1))*K431,0)</f>
        <v>420891.386120764</v>
      </c>
      <c r="L442" s="39" t="n">
        <f aca="false">IF(8&lt;='Inputs &amp; Assumptions'!$E$149,'Inputs &amp; Assumptions'!$D$61*INDEX('Inputs &amp; Assumptions'!$C$26:$I$26,CEILING(('Inputs &amp; Assumptions'!$C$149+8)/4,1))*L431,0)</f>
        <v>296440.181838077</v>
      </c>
      <c r="M442" s="39" t="n">
        <f aca="false">IF(9&lt;='Inputs &amp; Assumptions'!$E$149,'Inputs &amp; Assumptions'!$D$61*INDEX('Inputs &amp; Assumptions'!$C$26:$I$26,CEILING(('Inputs &amp; Assumptions'!$C$149+9)/4,1))*M431,0)</f>
        <v>268722.59019811</v>
      </c>
      <c r="N442" s="39" t="n">
        <f aca="false">IF(10&lt;='Inputs &amp; Assumptions'!$E$149,'Inputs &amp; Assumptions'!$D$61*INDEX('Inputs &amp; Assumptions'!$C$26:$I$26,CEILING(('Inputs &amp; Assumptions'!$C$149+10)/4,1))*N431,0)</f>
        <v>243596.63401578</v>
      </c>
      <c r="O442" s="39" t="n">
        <f aca="false">IF(11&lt;='Inputs &amp; Assumptions'!$E$149,'Inputs &amp; Assumptions'!$D$61*INDEX('Inputs &amp; Assumptions'!$C$26:$I$26,CEILING(('Inputs &amp; Assumptions'!$C$149+11)/4,1))*O431,0)</f>
        <v>220819.991575965</v>
      </c>
      <c r="P442" s="39" t="n">
        <f aca="false">IF(12&lt;='Inputs &amp; Assumptions'!$E$149,'Inputs &amp; Assumptions'!$D$61*INDEX('Inputs &amp; Assumptions'!$C$26:$I$26,CEILING(('Inputs &amp; Assumptions'!$C$149+12)/4,1))*P431,0)</f>
        <v>162165.4672196</v>
      </c>
      <c r="Q442" s="39" t="n">
        <f aca="false">IF(13&lt;='Inputs &amp; Assumptions'!$E$149,'Inputs &amp; Assumptions'!$D$61*INDEX('Inputs &amp; Assumptions'!$C$26:$I$26,CEILING(('Inputs &amp; Assumptions'!$C$149+13)/4,1))*Q431,0)</f>
        <v>147337.480938662</v>
      </c>
      <c r="R442" s="39" t="n">
        <f aca="false">IF(14&lt;='Inputs &amp; Assumptions'!$E$149,'Inputs &amp; Assumptions'!$D$61*INDEX('Inputs &amp; Assumptions'!$C$26:$I$26,CEILING(('Inputs &amp; Assumptions'!$C$149+14)/4,1))*R431,0)</f>
        <v>133865.326949996</v>
      </c>
      <c r="S442" s="39" t="n">
        <f aca="false">IF(15&lt;='Inputs &amp; Assumptions'!$E$149,'Inputs &amp; Assumptions'!$D$61*INDEX('Inputs &amp; Assumptions'!$C$26:$I$26,CEILING(('Inputs &amp; Assumptions'!$C$149+15)/4,1))*S431,0)</f>
        <v>121625.031494122</v>
      </c>
      <c r="T442" s="39" t="n">
        <f aca="false">IF(16&lt;='Inputs &amp; Assumptions'!$E$149,'Inputs &amp; Assumptions'!$D$61*INDEX('Inputs &amp; Assumptions'!$C$26:$I$26,CEILING(('Inputs &amp; Assumptions'!$C$149+16)/4,1))*T431,0)</f>
        <v>86906.757572086</v>
      </c>
      <c r="U442" s="39" t="n">
        <f aca="false">IF(17&lt;='Inputs &amp; Assumptions'!$E$149,'Inputs &amp; Assumptions'!$D$61*INDEX('Inputs &amp; Assumptions'!$C$26:$I$26,CEILING(('Inputs &amp; Assumptions'!$C$149+17)/4,1))*U431,0)</f>
        <v>79123.6683826778</v>
      </c>
      <c r="V442" s="39" t="n">
        <f aca="false">IF(18&lt;='Inputs &amp; Assumptions'!$E$149,'Inputs &amp; Assumptions'!$D$61*INDEX('Inputs &amp; Assumptions'!$C$26:$I$26,CEILING(('Inputs &amp; Assumptions'!$C$149+18)/4,1))*V431,0)</f>
        <v>72037.6075834962</v>
      </c>
      <c r="W442" s="39" t="n">
        <f aca="false">IF(19&lt;='Inputs &amp; Assumptions'!$E$149,'Inputs &amp; Assumptions'!$D$61*INDEX('Inputs &amp; Assumptions'!$C$26:$I$26,CEILING(('Inputs &amp; Assumptions'!$C$149+19)/4,1))*W431,0)</f>
        <v>65586.1515577795</v>
      </c>
      <c r="X442" s="39" t="n">
        <f aca="false">IF(20&lt;='Inputs &amp; Assumptions'!$E$149,'Inputs &amp; Assumptions'!$D$61*INDEX('Inputs &amp; Assumptions'!$C$26:$I$26,CEILING(('Inputs &amp; Assumptions'!$C$149+20)/4,1))*X431,0)</f>
        <v>0</v>
      </c>
      <c r="Y442" s="39" t="n">
        <f aca="false">IF(21&lt;='Inputs &amp; Assumptions'!$E$149,'Inputs &amp; Assumptions'!$D$61*INDEX('Inputs &amp; Assumptions'!$C$26:$I$26,CEILING(('Inputs &amp; Assumptions'!$C$149+21)/4,1))*Y431,0)</f>
        <v>0</v>
      </c>
      <c r="Z442" s="39" t="n">
        <f aca="false">IF(22&lt;='Inputs &amp; Assumptions'!$E$149,'Inputs &amp; Assumptions'!$D$61*INDEX('Inputs &amp; Assumptions'!$C$26:$I$26,CEILING(('Inputs &amp; Assumptions'!$C$149+22)/4,1))*Z431,0)</f>
        <v>0</v>
      </c>
      <c r="AA442" s="39" t="n">
        <f aca="false">IF(23&lt;='Inputs &amp; Assumptions'!$E$149,'Inputs &amp; Assumptions'!$D$61*INDEX('Inputs &amp; Assumptions'!$C$26:$I$26,CEILING(('Inputs &amp; Assumptions'!$C$149+23)/4,1))*AA431,0)</f>
        <v>0</v>
      </c>
      <c r="AB442" s="39" t="n">
        <f aca="false">IF(24&lt;='Inputs &amp; Assumptions'!$E$149,'Inputs &amp; Assumptions'!$D$61*INDEX('Inputs &amp; Assumptions'!$C$26:$I$26,CEILING(('Inputs &amp; Assumptions'!$C$149+24)/4,1))*AB431,0)</f>
        <v>0</v>
      </c>
      <c r="AC442" s="39" t="n">
        <f aca="false">IF(25&lt;='Inputs &amp; Assumptions'!$E$149,'Inputs &amp; Assumptions'!$D$61*INDEX('Inputs &amp; Assumptions'!$C$26:$I$26,CEILING(('Inputs &amp; Assumptions'!$C$149+25)/4,1))*AC431,0)</f>
        <v>0</v>
      </c>
      <c r="AD442" s="39" t="n">
        <f aca="false">IF(26&lt;='Inputs &amp; Assumptions'!$E$149,'Inputs &amp; Assumptions'!$D$61*INDEX('Inputs &amp; Assumptions'!$C$26:$I$26,CEILING(('Inputs &amp; Assumptions'!$C$149+26)/4,1))*AD431,0)</f>
        <v>0</v>
      </c>
      <c r="AE442" s="39" t="n">
        <f aca="false">IF(27&lt;='Inputs &amp; Assumptions'!$E$149,'Inputs &amp; Assumptions'!$D$61*INDEX('Inputs &amp; Assumptions'!$C$26:$I$26,CEILING(('Inputs &amp; Assumptions'!$C$149+27)/4,1))*AE431,0)</f>
        <v>0</v>
      </c>
      <c r="AF442" s="39" t="n">
        <f aca="false">IF(28&lt;='Inputs &amp; Assumptions'!$E$149,'Inputs &amp; Assumptions'!$D$61*INDEX('Inputs &amp; Assumptions'!$C$26:$I$26,CEILING(('Inputs &amp; Assumptions'!$C$149+28)/4,1))*AF431,0)</f>
        <v>0</v>
      </c>
      <c r="AG442" s="39" t="n">
        <f aca="false">IF(29&lt;='Inputs &amp; Assumptions'!$E$149,'Inputs &amp; Assumptions'!$D$61*INDEX('Inputs &amp; Assumptions'!$C$26:$I$26,CEILING(('Inputs &amp; Assumptions'!$C$149+29)/4,1))*AG431,0)</f>
        <v>0</v>
      </c>
      <c r="AH442" s="39" t="n">
        <f aca="false">IF(30&lt;='Inputs &amp; Assumptions'!$E$149,'Inputs &amp; Assumptions'!$D$61*INDEX('Inputs &amp; Assumptions'!$C$26:$I$26,CEILING(('Inputs &amp; Assumptions'!$C$149+30)/4,1))*AH431,0)</f>
        <v>0</v>
      </c>
      <c r="AI442" s="39" t="n">
        <f aca="false">IF(31&lt;='Inputs &amp; Assumptions'!$E$149,'Inputs &amp; Assumptions'!$D$61*INDEX('Inputs &amp; Assumptions'!$C$26:$I$26,CEILING(('Inputs &amp; Assumptions'!$C$149+31)/4,1))*AI431,0)</f>
        <v>0</v>
      </c>
      <c r="AJ442" s="39" t="n">
        <f aca="false">IF(32&lt;='Inputs &amp; Assumptions'!$E$149,'Inputs &amp; Assumptions'!$D$61*INDEX('Inputs &amp; Assumptions'!$C$26:$I$26,CEILING(('Inputs &amp; Assumptions'!$C$149+32)/4,1))*AJ431,0)</f>
        <v>0</v>
      </c>
      <c r="AK442" s="39" t="n">
        <f aca="false">IF(33&lt;='Inputs &amp; Assumptions'!$E$149,'Inputs &amp; Assumptions'!$D$61*INDEX('Inputs &amp; Assumptions'!$C$26:$I$26,CEILING(('Inputs &amp; Assumptions'!$C$149+33)/4,1))*AK431,0)</f>
        <v>0</v>
      </c>
      <c r="AL442" s="39" t="n">
        <f aca="false">IF(34&lt;='Inputs &amp; Assumptions'!$E$149,'Inputs &amp; Assumptions'!$D$61*INDEX('Inputs &amp; Assumptions'!$C$26:$I$26,CEILING(('Inputs &amp; Assumptions'!$C$149+34)/4,1))*AL431,0)</f>
        <v>0</v>
      </c>
      <c r="AM442" s="39" t="n">
        <f aca="false">IF(35&lt;='Inputs &amp; Assumptions'!$E$149,'Inputs &amp; Assumptions'!$D$61*INDEX('Inputs &amp; Assumptions'!$C$26:$I$26,CEILING(('Inputs &amp; Assumptions'!$C$149+35)/4,1))*AM431,0)</f>
        <v>0</v>
      </c>
      <c r="AN442" s="39" t="n">
        <f aca="false">IF(36&lt;='Inputs &amp; Assumptions'!$E$149,'Inputs &amp; Assumptions'!$D$61*INDEX('Inputs &amp; Assumptions'!$C$26:$I$26,CEILING(('Inputs &amp; Assumptions'!$C$149+36)/4,1))*AN431,0)</f>
        <v>0</v>
      </c>
    </row>
    <row r="443" customFormat="false" ht="15" hidden="false" customHeight="false" outlineLevel="0" collapsed="false">
      <c r="B443" s="37" t="n">
        <v>11</v>
      </c>
      <c r="C443" s="38" t="n">
        <f aca="false">'Inputs &amp; Assumptions'!$C$150</f>
        <v>10</v>
      </c>
      <c r="D443" s="38" t="n">
        <f aca="false">'Inputs &amp; Assumptions'!$D$150</f>
        <v>2</v>
      </c>
      <c r="E443" s="39" t="n">
        <f aca="false">IF(1&lt;='Inputs &amp; Assumptions'!$E$150,'Inputs &amp; Assumptions'!$D$61*INDEX('Inputs &amp; Assumptions'!$C$26:$I$26,CEILING(('Inputs &amp; Assumptions'!$C$150+1)/4,1))*E432,0)</f>
        <v>633058.72374604</v>
      </c>
      <c r="F443" s="39" t="n">
        <f aca="false">IF(2&lt;='Inputs &amp; Assumptions'!$E$150,'Inputs &amp; Assumptions'!$D$61*INDEX('Inputs &amp; Assumptions'!$C$26:$I$26,CEILING(('Inputs &amp; Assumptions'!$C$150+2)/4,1))*F432,0)</f>
        <v>569714.451851926</v>
      </c>
      <c r="G443" s="39" t="n">
        <f aca="false">IF(3&lt;='Inputs &amp; Assumptions'!$E$150,'Inputs &amp; Assumptions'!$D$61*INDEX('Inputs &amp; Assumptions'!$C$26:$I$26,CEILING(('Inputs &amp; Assumptions'!$C$150+3)/4,1))*G432,0)</f>
        <v>410166.759542703</v>
      </c>
      <c r="H443" s="39" t="n">
        <f aca="false">IF(4&lt;='Inputs &amp; Assumptions'!$E$150,'Inputs &amp; Assumptions'!$D$61*INDEX('Inputs &amp; Assumptions'!$C$26:$I$26,CEILING(('Inputs &amp; Assumptions'!$C$150+4)/4,1))*H432,0)</f>
        <v>370555.046842114</v>
      </c>
      <c r="I443" s="39" t="n">
        <f aca="false">IF(5&lt;='Inputs &amp; Assumptions'!$E$150,'Inputs &amp; Assumptions'!$D$61*INDEX('Inputs &amp; Assumptions'!$C$26:$I$26,CEILING(('Inputs &amp; Assumptions'!$C$150+5)/4,1))*I432,0)</f>
        <v>334768.82157211</v>
      </c>
      <c r="J443" s="39" t="n">
        <f aca="false">IF(6&lt;='Inputs &amp; Assumptions'!$E$150,'Inputs &amp; Assumptions'!$D$61*INDEX('Inputs &amp; Assumptions'!$C$26:$I$26,CEILING(('Inputs &amp; Assumptions'!$C$150+6)/4,1))*J432,0)</f>
        <v>302438.638609421</v>
      </c>
      <c r="K443" s="39" t="n">
        <f aca="false">IF(7&lt;='Inputs &amp; Assumptions'!$E$150,'Inputs &amp; Assumptions'!$D$61*INDEX('Inputs &amp; Assumptions'!$C$26:$I$26,CEILING(('Inputs &amp; Assumptions'!$C$150+7)/4,1))*K432,0)</f>
        <v>213012.116618877</v>
      </c>
      <c r="L443" s="39" t="n">
        <f aca="false">IF(8&lt;='Inputs &amp; Assumptions'!$E$150,'Inputs &amp; Assumptions'!$D$61*INDEX('Inputs &amp; Assumptions'!$C$26:$I$26,CEILING(('Inputs &amp; Assumptions'!$C$150+8)/4,1))*L432,0)</f>
        <v>193095.171398435</v>
      </c>
      <c r="M443" s="39" t="n">
        <f aca="false">IF(9&lt;='Inputs &amp; Assumptions'!$E$150,'Inputs &amp; Assumptions'!$D$61*INDEX('Inputs &amp; Assumptions'!$C$26:$I$26,CEILING(('Inputs &amp; Assumptions'!$C$150+9)/4,1))*M432,0)</f>
        <v>175040.489758161</v>
      </c>
      <c r="N443" s="39" t="n">
        <f aca="false">IF(10&lt;='Inputs &amp; Assumptions'!$E$150,'Inputs &amp; Assumptions'!$D$61*INDEX('Inputs &amp; Assumptions'!$C$26:$I$26,CEILING(('Inputs &amp; Assumptions'!$C$150+10)/4,1))*N432,0)</f>
        <v>158673.947322876</v>
      </c>
      <c r="O443" s="39" t="n">
        <f aca="false">IF(11&lt;='Inputs &amp; Assumptions'!$E$150,'Inputs &amp; Assumptions'!$D$61*INDEX('Inputs &amp; Assumptions'!$C$26:$I$26,CEILING(('Inputs &amp; Assumptions'!$C$150+11)/4,1))*O432,0)</f>
        <v>116526.744791314</v>
      </c>
      <c r="P443" s="39" t="n">
        <f aca="false">IF(12&lt;='Inputs &amp; Assumptions'!$E$150,'Inputs &amp; Assumptions'!$D$61*INDEX('Inputs &amp; Assumptions'!$C$26:$I$26,CEILING(('Inputs &amp; Assumptions'!$C$150+12)/4,1))*P432,0)</f>
        <v>105871.84394989</v>
      </c>
      <c r="Q443" s="39" t="n">
        <f aca="false">IF(13&lt;='Inputs &amp; Assumptions'!$E$150,'Inputs &amp; Assumptions'!$D$61*INDEX('Inputs &amp; Assumptions'!$C$26:$I$26,CEILING(('Inputs &amp; Assumptions'!$C$150+13)/4,1))*Q432,0)</f>
        <v>96191.1993802254</v>
      </c>
      <c r="R443" s="39" t="n">
        <f aca="false">IF(14&lt;='Inputs &amp; Assumptions'!$E$150,'Inputs &amp; Assumptions'!$D$61*INDEX('Inputs &amp; Assumptions'!$C$26:$I$26,CEILING(('Inputs &amp; Assumptions'!$C$150+14)/4,1))*R432,0)</f>
        <v>87395.7276363832</v>
      </c>
      <c r="S443" s="39" t="n">
        <f aca="false">IF(15&lt;='Inputs &amp; Assumptions'!$E$150,'Inputs &amp; Assumptions'!$D$61*INDEX('Inputs &amp; Assumptions'!$C$26:$I$26,CEILING(('Inputs &amp; Assumptions'!$C$150+15)/4,1))*S432,0)</f>
        <v>62448.3235171726</v>
      </c>
      <c r="T443" s="39" t="n">
        <f aca="false">IF(16&lt;='Inputs &amp; Assumptions'!$E$150,'Inputs &amp; Assumptions'!$D$61*INDEX('Inputs &amp; Assumptions'!$C$26:$I$26,CEILING(('Inputs &amp; Assumptions'!$C$150+16)/4,1))*T432,0)</f>
        <v>56855.6528751915</v>
      </c>
      <c r="U443" s="39" t="n">
        <f aca="false">IF(17&lt;='Inputs &amp; Assumptions'!$E$150,'Inputs &amp; Assumptions'!$D$61*INDEX('Inputs &amp; Assumptions'!$C$26:$I$26,CEILING(('Inputs &amp; Assumptions'!$C$150+17)/4,1))*U432,0)</f>
        <v>51763.8437959884</v>
      </c>
      <c r="V443" s="39" t="n">
        <f aca="false">IF(18&lt;='Inputs &amp; Assumptions'!$E$150,'Inputs &amp; Assumptions'!$D$61*INDEX('Inputs &amp; Assumptions'!$C$26:$I$26,CEILING(('Inputs &amp; Assumptions'!$C$150+18)/4,1))*V432,0)</f>
        <v>47128.0407318067</v>
      </c>
      <c r="W443" s="39" t="n">
        <f aca="false">IF(19&lt;='Inputs &amp; Assumptions'!$E$150,'Inputs &amp; Assumptions'!$D$61*INDEX('Inputs &amp; Assumptions'!$C$26:$I$26,CEILING(('Inputs &amp; Assumptions'!$C$150+19)/4,1))*W432,0)</f>
        <v>0</v>
      </c>
      <c r="X443" s="39" t="n">
        <f aca="false">IF(20&lt;='Inputs &amp; Assumptions'!$E$150,'Inputs &amp; Assumptions'!$D$61*INDEX('Inputs &amp; Assumptions'!$C$26:$I$26,CEILING(('Inputs &amp; Assumptions'!$C$150+20)/4,1))*X432,0)</f>
        <v>0</v>
      </c>
      <c r="Y443" s="39" t="n">
        <f aca="false">IF(21&lt;='Inputs &amp; Assumptions'!$E$150,'Inputs &amp; Assumptions'!$D$61*INDEX('Inputs &amp; Assumptions'!$C$26:$I$26,CEILING(('Inputs &amp; Assumptions'!$C$150+21)/4,1))*Y432,0)</f>
        <v>0</v>
      </c>
      <c r="Z443" s="39" t="n">
        <f aca="false">IF(22&lt;='Inputs &amp; Assumptions'!$E$150,'Inputs &amp; Assumptions'!$D$61*INDEX('Inputs &amp; Assumptions'!$C$26:$I$26,CEILING(('Inputs &amp; Assumptions'!$C$150+22)/4,1))*Z432,0)</f>
        <v>0</v>
      </c>
      <c r="AA443" s="39" t="n">
        <f aca="false">IF(23&lt;='Inputs &amp; Assumptions'!$E$150,'Inputs &amp; Assumptions'!$D$61*INDEX('Inputs &amp; Assumptions'!$C$26:$I$26,CEILING(('Inputs &amp; Assumptions'!$C$150+23)/4,1))*AA432,0)</f>
        <v>0</v>
      </c>
      <c r="AB443" s="39" t="n">
        <f aca="false">IF(24&lt;='Inputs &amp; Assumptions'!$E$150,'Inputs &amp; Assumptions'!$D$61*INDEX('Inputs &amp; Assumptions'!$C$26:$I$26,CEILING(('Inputs &amp; Assumptions'!$C$150+24)/4,1))*AB432,0)</f>
        <v>0</v>
      </c>
      <c r="AC443" s="39" t="n">
        <f aca="false">IF(25&lt;='Inputs &amp; Assumptions'!$E$150,'Inputs &amp; Assumptions'!$D$61*INDEX('Inputs &amp; Assumptions'!$C$26:$I$26,CEILING(('Inputs &amp; Assumptions'!$C$150+25)/4,1))*AC432,0)</f>
        <v>0</v>
      </c>
      <c r="AD443" s="39" t="n">
        <f aca="false">IF(26&lt;='Inputs &amp; Assumptions'!$E$150,'Inputs &amp; Assumptions'!$D$61*INDEX('Inputs &amp; Assumptions'!$C$26:$I$26,CEILING(('Inputs &amp; Assumptions'!$C$150+26)/4,1))*AD432,0)</f>
        <v>0</v>
      </c>
      <c r="AE443" s="39" t="n">
        <f aca="false">IF(27&lt;='Inputs &amp; Assumptions'!$E$150,'Inputs &amp; Assumptions'!$D$61*INDEX('Inputs &amp; Assumptions'!$C$26:$I$26,CEILING(('Inputs &amp; Assumptions'!$C$150+27)/4,1))*AE432,0)</f>
        <v>0</v>
      </c>
      <c r="AF443" s="39" t="n">
        <f aca="false">IF(28&lt;='Inputs &amp; Assumptions'!$E$150,'Inputs &amp; Assumptions'!$D$61*INDEX('Inputs &amp; Assumptions'!$C$26:$I$26,CEILING(('Inputs &amp; Assumptions'!$C$150+28)/4,1))*AF432,0)</f>
        <v>0</v>
      </c>
      <c r="AG443" s="39" t="n">
        <f aca="false">IF(29&lt;='Inputs &amp; Assumptions'!$E$150,'Inputs &amp; Assumptions'!$D$61*INDEX('Inputs &amp; Assumptions'!$C$26:$I$26,CEILING(('Inputs &amp; Assumptions'!$C$150+29)/4,1))*AG432,0)</f>
        <v>0</v>
      </c>
      <c r="AH443" s="39" t="n">
        <f aca="false">IF(30&lt;='Inputs &amp; Assumptions'!$E$150,'Inputs &amp; Assumptions'!$D$61*INDEX('Inputs &amp; Assumptions'!$C$26:$I$26,CEILING(('Inputs &amp; Assumptions'!$C$150+30)/4,1))*AH432,0)</f>
        <v>0</v>
      </c>
      <c r="AI443" s="39" t="n">
        <f aca="false">IF(31&lt;='Inputs &amp; Assumptions'!$E$150,'Inputs &amp; Assumptions'!$D$61*INDEX('Inputs &amp; Assumptions'!$C$26:$I$26,CEILING(('Inputs &amp; Assumptions'!$C$150+31)/4,1))*AI432,0)</f>
        <v>0</v>
      </c>
      <c r="AJ443" s="39" t="n">
        <f aca="false">IF(32&lt;='Inputs &amp; Assumptions'!$E$150,'Inputs &amp; Assumptions'!$D$61*INDEX('Inputs &amp; Assumptions'!$C$26:$I$26,CEILING(('Inputs &amp; Assumptions'!$C$150+32)/4,1))*AJ432,0)</f>
        <v>0</v>
      </c>
      <c r="AK443" s="39" t="n">
        <f aca="false">IF(33&lt;='Inputs &amp; Assumptions'!$E$150,'Inputs &amp; Assumptions'!$D$61*INDEX('Inputs &amp; Assumptions'!$C$26:$I$26,CEILING(('Inputs &amp; Assumptions'!$C$150+33)/4,1))*AK432,0)</f>
        <v>0</v>
      </c>
      <c r="AL443" s="39" t="n">
        <f aca="false">IF(34&lt;='Inputs &amp; Assumptions'!$E$150,'Inputs &amp; Assumptions'!$D$61*INDEX('Inputs &amp; Assumptions'!$C$26:$I$26,CEILING(('Inputs &amp; Assumptions'!$C$150+34)/4,1))*AL432,0)</f>
        <v>0</v>
      </c>
      <c r="AM443" s="39" t="n">
        <f aca="false">IF(35&lt;='Inputs &amp; Assumptions'!$E$150,'Inputs &amp; Assumptions'!$D$61*INDEX('Inputs &amp; Assumptions'!$C$26:$I$26,CEILING(('Inputs &amp; Assumptions'!$C$150+35)/4,1))*AM432,0)</f>
        <v>0</v>
      </c>
      <c r="AN443" s="39" t="n">
        <f aca="false">IF(36&lt;='Inputs &amp; Assumptions'!$E$150,'Inputs &amp; Assumptions'!$D$61*INDEX('Inputs &amp; Assumptions'!$C$26:$I$26,CEILING(('Inputs &amp; Assumptions'!$C$150+36)/4,1))*AN432,0)</f>
        <v>0</v>
      </c>
    </row>
    <row r="444" customFormat="false" ht="15" hidden="false" customHeight="false" outlineLevel="0" collapsed="false">
      <c r="A444" s="14" t="s">
        <v>83</v>
      </c>
      <c r="B444" s="37" t="n">
        <v>1</v>
      </c>
      <c r="C444" s="38" t="n">
        <f aca="false">'Inputs &amp; Assumptions'!$C$140</f>
        <v>0</v>
      </c>
      <c r="D444" s="38" t="n">
        <f aca="false">'Inputs &amp; Assumptions'!$D$140</f>
        <v>1</v>
      </c>
      <c r="E444" s="39" t="n">
        <f aca="false">IF(1&gt;'Inputs &amp; Assumptions'!$E$140,0,IF(1='Inputs &amp; Assumptions'!$E$140,E422-E433,IF(('Inputs &amp; Assumptions'!$C$140+1)&gt;'Inputs &amp; Assumptions'!$C$11,'Inputs &amp; Assumptions'!$C$12*(E422-E433),0)))</f>
        <v>0</v>
      </c>
      <c r="F444" s="39" t="n">
        <f aca="false">IF(2&gt;'Inputs &amp; Assumptions'!$E$140,0,IF(2='Inputs &amp; Assumptions'!$E$140,F422-F433,IF(('Inputs &amp; Assumptions'!$C$140+2)&gt;'Inputs &amp; Assumptions'!$C$11,'Inputs &amp; Assumptions'!$C$12*(F422-F433),0)))</f>
        <v>0</v>
      </c>
      <c r="G444" s="39" t="n">
        <f aca="false">IF(3&gt;'Inputs &amp; Assumptions'!$E$140,0,IF(3='Inputs &amp; Assumptions'!$E$140,G422-G433,IF(('Inputs &amp; Assumptions'!$C$140+3)&gt;'Inputs &amp; Assumptions'!$C$11,'Inputs &amp; Assumptions'!$C$12*(G422-G433),0)))</f>
        <v>0</v>
      </c>
      <c r="H444" s="39" t="n">
        <f aca="false">IF(4&gt;'Inputs &amp; Assumptions'!$E$140,0,IF(4='Inputs &amp; Assumptions'!$E$140,H422-H433,IF(('Inputs &amp; Assumptions'!$C$140+4)&gt;'Inputs &amp; Assumptions'!$C$11,'Inputs &amp; Assumptions'!$C$12*(H422-H433),0)))</f>
        <v>0</v>
      </c>
      <c r="I444" s="39" t="n">
        <f aca="false">IF(5&gt;'Inputs &amp; Assumptions'!$E$140,0,IF(5='Inputs &amp; Assumptions'!$E$140,I422-I433,IF(('Inputs &amp; Assumptions'!$C$140+5)&gt;'Inputs &amp; Assumptions'!$C$11,'Inputs &amp; Assumptions'!$C$12*(I422-I433),0)))</f>
        <v>440558.288212648</v>
      </c>
      <c r="J444" s="39" t="n">
        <f aca="false">IF(6&gt;'Inputs &amp; Assumptions'!$E$140,0,IF(6='Inputs &amp; Assumptions'!$E$140,J422-J433,IF(('Inputs &amp; Assumptions'!$C$140+6)&gt;'Inputs &amp; Assumptions'!$C$11,'Inputs &amp; Assumptions'!$C$12*(J422-J433),0)))</f>
        <v>395505.765173518</v>
      </c>
      <c r="K444" s="39" t="n">
        <f aca="false">IF(7&gt;'Inputs &amp; Assumptions'!$E$140,0,IF(7='Inputs &amp; Assumptions'!$E$140,K422-K433,IF(('Inputs &amp; Assumptions'!$C$140+7)&gt;'Inputs &amp; Assumptions'!$C$11,'Inputs &amp; Assumptions'!$C$12*(K422-K433),0)))</f>
        <v>355060.41872486</v>
      </c>
      <c r="L444" s="39" t="n">
        <f aca="false">IF(8&gt;'Inputs &amp; Assumptions'!$E$140,0,IF(8='Inputs &amp; Assumptions'!$E$140,L422-L433,IF(('Inputs &amp; Assumptions'!$C$140+8)&gt;'Inputs &amp; Assumptions'!$C$11,'Inputs &amp; Assumptions'!$C$12*(L422-L433),0)))</f>
        <v>318751.108191214</v>
      </c>
      <c r="M444" s="39" t="n">
        <f aca="false">IF(9&gt;'Inputs &amp; Assumptions'!$E$140,0,IF(9='Inputs &amp; Assumptions'!$E$140,M422-M433,IF(('Inputs &amp; Assumptions'!$C$140+9)&gt;'Inputs &amp; Assumptions'!$C$11,'Inputs &amp; Assumptions'!$C$12*(M422-M433),0)))</f>
        <v>286856.662847602</v>
      </c>
      <c r="N444" s="39" t="n">
        <f aca="false">IF(10&gt;'Inputs &amp; Assumptions'!$E$140,0,IF(10='Inputs &amp; Assumptions'!$E$140,N422-N433,IF(('Inputs &amp; Assumptions'!$C$140+10)&gt;'Inputs &amp; Assumptions'!$C$11,'Inputs &amp; Assumptions'!$C$12*(N422-N433),0)))</f>
        <v>258153.596663578</v>
      </c>
      <c r="O444" s="39" t="n">
        <f aca="false">IF(11&gt;'Inputs &amp; Assumptions'!$E$140,0,IF(11='Inputs &amp; Assumptions'!$E$140,O422-O433,IF(('Inputs &amp; Assumptions'!$C$140+11)&gt;'Inputs &amp; Assumptions'!$C$11,'Inputs &amp; Assumptions'!$C$12*(O422-O433),0)))</f>
        <v>232322.57814331</v>
      </c>
      <c r="P444" s="39" t="n">
        <f aca="false">IF(12&gt;'Inputs &amp; Assumptions'!$E$140,0,IF(12='Inputs &amp; Assumptions'!$E$140,P422-P433,IF(('Inputs &amp; Assumptions'!$C$140+12)&gt;'Inputs &amp; Assumptions'!$C$11,'Inputs &amp; Assumptions'!$C$12*(P422-P433),0)))</f>
        <v>209076.228310281</v>
      </c>
      <c r="Q444" s="39" t="n">
        <f aca="false">IF(13&gt;'Inputs &amp; Assumptions'!$E$140,0,IF(13='Inputs &amp; Assumptions'!$E$140,Q422-Q433,IF(('Inputs &amp; Assumptions'!$C$140+13)&gt;'Inputs &amp; Assumptions'!$C$11,'Inputs &amp; Assumptions'!$C$12*(Q422-Q433),0)))</f>
        <v>188884.763995662</v>
      </c>
      <c r="R444" s="39" t="n">
        <f aca="false">IF(14&gt;'Inputs &amp; Assumptions'!$E$140,0,IF(14='Inputs &amp; Assumptions'!$E$140,R422-R433,IF(('Inputs &amp; Assumptions'!$C$140+14)&gt;'Inputs &amp; Assumptions'!$C$11,'Inputs &amp; Assumptions'!$C$12*(R422-R433),0)))</f>
        <v>170643.283351895</v>
      </c>
      <c r="S444" s="39" t="n">
        <f aca="false">IF(15&gt;'Inputs &amp; Assumptions'!$E$140,0,IF(15='Inputs &amp; Assumptions'!$E$140,S422-S433,IF(('Inputs &amp; Assumptions'!$C$140+15)&gt;'Inputs &amp; Assumptions'!$C$11,'Inputs &amp; Assumptions'!$C$12*(S422-S433),0)))</f>
        <v>154163.467381541</v>
      </c>
      <c r="T444" s="39" t="n">
        <f aca="false">IF(16&gt;'Inputs &amp; Assumptions'!$E$140,0,IF(16='Inputs &amp; Assumptions'!$E$140,T422-T433,IF(('Inputs &amp; Assumptions'!$C$140+16)&gt;'Inputs &amp; Assumptions'!$C$11,'Inputs &amp; Assumptions'!$C$12*(T422-T433),0)))</f>
        <v>139275.183929092</v>
      </c>
      <c r="U444" s="39" t="n">
        <f aca="false">IF(17&gt;'Inputs &amp; Assumptions'!$E$140,0,IF(17='Inputs &amp; Assumptions'!$E$140,U422-U433,IF(('Inputs &amp; Assumptions'!$C$140+17)&gt;'Inputs &amp; Assumptions'!$C$11,'Inputs &amp; Assumptions'!$C$12*(U422-U433),0)))</f>
        <v>126252.750027616</v>
      </c>
      <c r="V444" s="39" t="n">
        <f aca="false">IF(18&gt;'Inputs &amp; Assumptions'!$E$140,0,IF(18='Inputs &amp; Assumptions'!$E$140,V422-V433,IF(('Inputs &amp; Assumptions'!$C$140+18)&gt;'Inputs &amp; Assumptions'!$C$11,'Inputs &amp; Assumptions'!$C$12*(V422-V433),0)))</f>
        <v>114447.932789312</v>
      </c>
      <c r="W444" s="39" t="n">
        <f aca="false">IF(19&gt;'Inputs &amp; Assumptions'!$E$140,0,IF(19='Inputs &amp; Assumptions'!$E$140,W422-W433,IF(('Inputs &amp; Assumptions'!$C$140+19)&gt;'Inputs &amp; Assumptions'!$C$11,'Inputs &amp; Assumptions'!$C$12*(W422-W433),0)))</f>
        <v>103746.883270913</v>
      </c>
      <c r="X444" s="39" t="n">
        <f aca="false">IF(20&gt;'Inputs &amp; Assumptions'!$E$140,0,IF(20='Inputs &amp; Assumptions'!$E$140,X422-X433,IF(('Inputs &amp; Assumptions'!$C$140+20)&gt;'Inputs &amp; Assumptions'!$C$11,'Inputs &amp; Assumptions'!$C$12*(X422-X433),0)))</f>
        <v>94046.397572273</v>
      </c>
      <c r="Y444" s="39" t="n">
        <f aca="false">IF(21&gt;'Inputs &amp; Assumptions'!$E$140,0,IF(21='Inputs &amp; Assumptions'!$E$140,Y422-Y433,IF(('Inputs &amp; Assumptions'!$C$140+21)&gt;'Inputs &amp; Assumptions'!$C$11,'Inputs &amp; Assumptions'!$C$12*(Y422-Y433),0)))</f>
        <v>85447.040897372</v>
      </c>
      <c r="Z444" s="39" t="n">
        <f aca="false">IF(22&gt;'Inputs &amp; Assumptions'!$E$140,0,IF(22='Inputs &amp; Assumptions'!$E$140,Z422-Z433,IF(('Inputs &amp; Assumptions'!$C$140+22)&gt;'Inputs &amp; Assumptions'!$C$11,'Inputs &amp; Assumptions'!$C$12*(Z422-Z433),0)))</f>
        <v>77633.9869106238</v>
      </c>
      <c r="AA444" s="39" t="n">
        <f aca="false">IF(23&gt;'Inputs &amp; Assumptions'!$E$140,0,IF(23='Inputs &amp; Assumptions'!$E$140,AA422-AA433,IF(('Inputs &amp; Assumptions'!$C$140+23)&gt;'Inputs &amp; Assumptions'!$C$11,'Inputs &amp; Assumptions'!$C$12*(AA422-AA433),0)))</f>
        <v>70535.3381503031</v>
      </c>
      <c r="AB444" s="39" t="n">
        <f aca="false">IF(24&gt;'Inputs &amp; Assumptions'!$E$140,0,IF(24='Inputs &amp; Assumptions'!$E$140,AB422-AB433,IF(('Inputs &amp; Assumptions'!$C$140+24)&gt;'Inputs &amp; Assumptions'!$C$11,'Inputs &amp; Assumptions'!$C$12*(AB422-AB433),0)))</f>
        <v>64085.7712705821</v>
      </c>
      <c r="AC444" s="39" t="n">
        <f aca="false">IF(25&gt;'Inputs &amp; Assumptions'!$E$140,0,IF(25='Inputs &amp; Assumptions'!$E$140,AC422-AC433,IF(('Inputs &amp; Assumptions'!$C$140+25)&gt;'Inputs &amp; Assumptions'!$C$11,'Inputs &amp; Assumptions'!$C$12*(AC422-AC433),0)))</f>
        <v>58346.4560837598</v>
      </c>
      <c r="AD444" s="39" t="n">
        <f aca="false">IF(26&gt;'Inputs &amp; Assumptions'!$E$140,0,IF(26='Inputs &amp; Assumptions'!$E$140,AD422-AD433,IF(('Inputs &amp; Assumptions'!$C$140+26)&gt;'Inputs &amp; Assumptions'!$C$11,'Inputs &amp; Assumptions'!$C$12*(AD422-AD433),0)))</f>
        <v>53121.1354726541</v>
      </c>
      <c r="AE444" s="39" t="n">
        <f aca="false">IF(27&gt;'Inputs &amp; Assumptions'!$E$140,0,IF(27='Inputs &amp; Assumptions'!$E$140,AE422-AE433,IF(('Inputs &amp; Assumptions'!$C$140+27)&gt;'Inputs &amp; Assumptions'!$C$11,'Inputs &amp; Assumptions'!$C$12*(AE422-AE433),0)))</f>
        <v>48363.7777391848</v>
      </c>
      <c r="AF444" s="39" t="n">
        <f aca="false">IF(28&gt;'Inputs &amp; Assumptions'!$E$140,0,IF(28='Inputs &amp; Assumptions'!$E$140,AF422-AF433,IF(('Inputs &amp; Assumptions'!$C$140+28)&gt;'Inputs &amp; Assumptions'!$C$11,'Inputs &amp; Assumptions'!$C$12*(AF422-AF433),0)))</f>
        <v>1467749.1211945</v>
      </c>
      <c r="AG444" s="39" t="n">
        <f aca="false">IF(29&gt;'Inputs &amp; Assumptions'!$E$140,0,IF(29='Inputs &amp; Assumptions'!$E$140,AG422-AG433,IF(('Inputs &amp; Assumptions'!$C$140+29)&gt;'Inputs &amp; Assumptions'!$C$11,'Inputs &amp; Assumptions'!$C$12*(AG422-AG433),0)))</f>
        <v>0</v>
      </c>
      <c r="AH444" s="39" t="n">
        <f aca="false">IF(30&gt;'Inputs &amp; Assumptions'!$E$140,0,IF(30='Inputs &amp; Assumptions'!$E$140,AH422-AH433,IF(('Inputs &amp; Assumptions'!$C$140+30)&gt;'Inputs &amp; Assumptions'!$C$11,'Inputs &amp; Assumptions'!$C$12*(AH422-AH433),0)))</f>
        <v>0</v>
      </c>
      <c r="AI444" s="39" t="n">
        <f aca="false">IF(31&gt;'Inputs &amp; Assumptions'!$E$140,0,IF(31='Inputs &amp; Assumptions'!$E$140,AI422-AI433,IF(('Inputs &amp; Assumptions'!$C$140+31)&gt;'Inputs &amp; Assumptions'!$C$11,'Inputs &amp; Assumptions'!$C$12*(AI422-AI433),0)))</f>
        <v>0</v>
      </c>
      <c r="AJ444" s="39" t="n">
        <f aca="false">IF(32&gt;'Inputs &amp; Assumptions'!$E$140,0,IF(32='Inputs &amp; Assumptions'!$E$140,AJ422-AJ433,IF(('Inputs &amp; Assumptions'!$C$140+32)&gt;'Inputs &amp; Assumptions'!$C$11,'Inputs &amp; Assumptions'!$C$12*(AJ422-AJ433),0)))</f>
        <v>0</v>
      </c>
      <c r="AK444" s="39" t="n">
        <f aca="false">IF(33&gt;'Inputs &amp; Assumptions'!$E$140,0,IF(33='Inputs &amp; Assumptions'!$E$140,AK422-AK433,IF(('Inputs &amp; Assumptions'!$C$140+33)&gt;'Inputs &amp; Assumptions'!$C$11,'Inputs &amp; Assumptions'!$C$12*(AK422-AK433),0)))</f>
        <v>0</v>
      </c>
      <c r="AL444" s="39" t="n">
        <f aca="false">IF(34&gt;'Inputs &amp; Assumptions'!$E$140,0,IF(34='Inputs &amp; Assumptions'!$E$140,AL422-AL433,IF(('Inputs &amp; Assumptions'!$C$140+34)&gt;'Inputs &amp; Assumptions'!$C$11,'Inputs &amp; Assumptions'!$C$12*(AL422-AL433),0)))</f>
        <v>0</v>
      </c>
      <c r="AM444" s="39" t="n">
        <f aca="false">IF(35&gt;'Inputs &amp; Assumptions'!$E$140,0,IF(35='Inputs &amp; Assumptions'!$E$140,AM422-AM433,IF(('Inputs &amp; Assumptions'!$C$140+35)&gt;'Inputs &amp; Assumptions'!$C$11,'Inputs &amp; Assumptions'!$C$12*(AM422-AM433),0)))</f>
        <v>0</v>
      </c>
      <c r="AN444" s="39" t="n">
        <f aca="false">IF(36&gt;'Inputs &amp; Assumptions'!$E$140,0,IF(36='Inputs &amp; Assumptions'!$E$140,AN422-AN433,IF(('Inputs &amp; Assumptions'!$C$140+36)&gt;'Inputs &amp; Assumptions'!$C$11,'Inputs &amp; Assumptions'!$C$12*(AN422-AN433),0)))</f>
        <v>0</v>
      </c>
    </row>
    <row r="445" customFormat="false" ht="15" hidden="false" customHeight="false" outlineLevel="0" collapsed="false">
      <c r="B445" s="37" t="n">
        <v>2</v>
      </c>
      <c r="C445" s="38" t="n">
        <f aca="false">'Inputs &amp; Assumptions'!$C$141</f>
        <v>1</v>
      </c>
      <c r="D445" s="38" t="n">
        <f aca="false">'Inputs &amp; Assumptions'!$D$141</f>
        <v>3</v>
      </c>
      <c r="E445" s="39" t="n">
        <f aca="false">IF(1&gt;'Inputs &amp; Assumptions'!$E$141,0,IF(1='Inputs &amp; Assumptions'!$E$141,E423-E434,IF(('Inputs &amp; Assumptions'!$C$141+1)&gt;'Inputs &amp; Assumptions'!$C$11,'Inputs &amp; Assumptions'!$C$12*(E423-E434),0)))</f>
        <v>0</v>
      </c>
      <c r="F445" s="39" t="n">
        <f aca="false">IF(2&gt;'Inputs &amp; Assumptions'!$E$141,0,IF(2='Inputs &amp; Assumptions'!$E$141,F423-F434,IF(('Inputs &amp; Assumptions'!$C$141+2)&gt;'Inputs &amp; Assumptions'!$C$11,'Inputs &amp; Assumptions'!$C$12*(F423-F434),0)))</f>
        <v>0</v>
      </c>
      <c r="G445" s="39" t="n">
        <f aca="false">IF(3&gt;'Inputs &amp; Assumptions'!$E$141,0,IF(3='Inputs &amp; Assumptions'!$E$141,G423-G434,IF(('Inputs &amp; Assumptions'!$C$141+3)&gt;'Inputs &amp; Assumptions'!$C$11,'Inputs &amp; Assumptions'!$C$12*(G423-G434),0)))</f>
        <v>0</v>
      </c>
      <c r="H445" s="39" t="n">
        <f aca="false">IF(4&gt;'Inputs &amp; Assumptions'!$E$141,0,IF(4='Inputs &amp; Assumptions'!$E$141,H423-H434,IF(('Inputs &amp; Assumptions'!$C$141+4)&gt;'Inputs &amp; Assumptions'!$C$11,'Inputs &amp; Assumptions'!$C$12*(H423-H434),0)))</f>
        <v>1420080.29822158</v>
      </c>
      <c r="I445" s="39" t="n">
        <f aca="false">IF(5&gt;'Inputs &amp; Assumptions'!$E$141,0,IF(5='Inputs &amp; Assumptions'!$E$141,I423-I434,IF(('Inputs &amp; Assumptions'!$C$141+5)&gt;'Inputs &amp; Assumptions'!$C$11,'Inputs &amp; Assumptions'!$C$12*(I423-I434),0)))</f>
        <v>1274859.55884427</v>
      </c>
      <c r="J445" s="39" t="n">
        <f aca="false">IF(6&gt;'Inputs &amp; Assumptions'!$E$141,0,IF(6='Inputs &amp; Assumptions'!$E$141,J423-J434,IF(('Inputs &amp; Assumptions'!$C$141+6)&gt;'Inputs &amp; Assumptions'!$C$11,'Inputs &amp; Assumptions'!$C$12*(J423-J434),0)))</f>
        <v>1144489.43261307</v>
      </c>
      <c r="K445" s="39" t="n">
        <f aca="false">IF(7&gt;'Inputs &amp; Assumptions'!$E$141,0,IF(7='Inputs &amp; Assumptions'!$E$141,K423-K434,IF(('Inputs &amp; Assumptions'!$C$141+7)&gt;'Inputs &amp; Assumptions'!$C$11,'Inputs &amp; Assumptions'!$C$12*(K423-K434),0)))</f>
        <v>1027451.26102395</v>
      </c>
      <c r="L445" s="39" t="n">
        <f aca="false">IF(8&gt;'Inputs &amp; Assumptions'!$E$141,0,IF(8='Inputs &amp; Assumptions'!$E$141,L423-L434,IF(('Inputs &amp; Assumptions'!$C$141+8)&gt;'Inputs &amp; Assumptions'!$C$11,'Inputs &amp; Assumptions'!$C$12*(L423-L434),0)))</f>
        <v>924643.812686251</v>
      </c>
      <c r="M445" s="39" t="n">
        <f aca="false">IF(9&gt;'Inputs &amp; Assumptions'!$E$141,0,IF(9='Inputs &amp; Assumptions'!$E$141,M423-M434,IF(('Inputs &amp; Assumptions'!$C$141+9)&gt;'Inputs &amp; Assumptions'!$C$11,'Inputs &amp; Assumptions'!$C$12*(M423-M434),0)))</f>
        <v>832123.345186138</v>
      </c>
      <c r="N445" s="39" t="n">
        <f aca="false">IF(10&gt;'Inputs &amp; Assumptions'!$E$141,0,IF(10='Inputs &amp; Assumptions'!$E$141,N423-N434,IF(('Inputs &amp; Assumptions'!$C$141+10)&gt;'Inputs &amp; Assumptions'!$C$11,'Inputs &amp; Assumptions'!$C$12*(N423-N434),0)))</f>
        <v>748860.536461215</v>
      </c>
      <c r="O445" s="39" t="n">
        <f aca="false">IF(11&gt;'Inputs &amp; Assumptions'!$E$141,0,IF(11='Inputs &amp; Assumptions'!$E$141,O423-O434,IF(('Inputs &amp; Assumptions'!$C$141+11)&gt;'Inputs &amp; Assumptions'!$C$11,'Inputs &amp; Assumptions'!$C$12*(O423-O434),0)))</f>
        <v>673929.059091035</v>
      </c>
      <c r="P445" s="39" t="n">
        <f aca="false">IF(12&gt;'Inputs &amp; Assumptions'!$E$141,0,IF(12='Inputs &amp; Assumptions'!$E$141,P423-P434,IF(('Inputs &amp; Assumptions'!$C$141+12)&gt;'Inputs &amp; Assumptions'!$C$11,'Inputs &amp; Assumptions'!$C$12*(P423-P434),0)))</f>
        <v>608844.593691999</v>
      </c>
      <c r="Q445" s="39" t="n">
        <f aca="false">IF(13&gt;'Inputs &amp; Assumptions'!$E$141,0,IF(13='Inputs &amp; Assumptions'!$E$141,Q423-Q434,IF(('Inputs &amp; Assumptions'!$C$141+13)&gt;'Inputs &amp; Assumptions'!$C$11,'Inputs &amp; Assumptions'!$C$12*(Q423-Q434),0)))</f>
        <v>550045.637990366</v>
      </c>
      <c r="R445" s="39" t="n">
        <f aca="false">IF(14&gt;'Inputs &amp; Assumptions'!$E$141,0,IF(14='Inputs &amp; Assumptions'!$E$141,R423-R434,IF(('Inputs &amp; Assumptions'!$C$141+14)&gt;'Inputs &amp; Assumptions'!$C$11,'Inputs &amp; Assumptions'!$C$12*(R423-R434),0)))</f>
        <v>496925.171064723</v>
      </c>
      <c r="S445" s="39" t="n">
        <f aca="false">IF(15&gt;'Inputs &amp; Assumptions'!$E$141,0,IF(15='Inputs &amp; Assumptions'!$E$141,S423-S434,IF(('Inputs &amp; Assumptions'!$C$141+15)&gt;'Inputs &amp; Assumptions'!$C$11,'Inputs &amp; Assumptions'!$C$12*(S423-S434),0)))</f>
        <v>448934.794828842</v>
      </c>
      <c r="T445" s="39" t="n">
        <f aca="false">IF(16&gt;'Inputs &amp; Assumptions'!$E$141,0,IF(16='Inputs &amp; Assumptions'!$E$141,T423-T434,IF(('Inputs &amp; Assumptions'!$C$141+16)&gt;'Inputs &amp; Assumptions'!$C$11,'Inputs &amp; Assumptions'!$C$12*(T423-T434),0)))</f>
        <v>406958.733287917</v>
      </c>
      <c r="U445" s="39" t="n">
        <f aca="false">IF(17&gt;'Inputs &amp; Assumptions'!$E$141,0,IF(17='Inputs &amp; Assumptions'!$E$141,U423-U434,IF(('Inputs &amp; Assumptions'!$C$141+17)&gt;'Inputs &amp; Assumptions'!$C$11,'Inputs &amp; Assumptions'!$C$12*(U423-U434),0)))</f>
        <v>368907.495046018</v>
      </c>
      <c r="V445" s="39" t="n">
        <f aca="false">IF(18&gt;'Inputs &amp; Assumptions'!$E$141,0,IF(18='Inputs &amp; Assumptions'!$E$141,V423-V434,IF(('Inputs &amp; Assumptions'!$C$141+18)&gt;'Inputs &amp; Assumptions'!$C$11,'Inputs &amp; Assumptions'!$C$12*(V423-V434),0)))</f>
        <v>334414.103370143</v>
      </c>
      <c r="W445" s="39" t="n">
        <f aca="false">IF(19&gt;'Inputs &amp; Assumptions'!$E$141,0,IF(19='Inputs &amp; Assumptions'!$E$141,W423-W434,IF(('Inputs &amp; Assumptions'!$C$141+19)&gt;'Inputs &amp; Assumptions'!$C$11,'Inputs &amp; Assumptions'!$C$12*(W423-W434),0)))</f>
        <v>303145.894389883</v>
      </c>
      <c r="X445" s="39" t="n">
        <f aca="false">IF(20&gt;'Inputs &amp; Assumptions'!$E$141,0,IF(20='Inputs &amp; Assumptions'!$E$141,X423-X434,IF(('Inputs &amp; Assumptions'!$C$141+20)&gt;'Inputs &amp; Assumptions'!$C$11,'Inputs &amp; Assumptions'!$C$12*(X423-X434),0)))</f>
        <v>275427.02649399</v>
      </c>
      <c r="Y445" s="39" t="n">
        <f aca="false">IF(21&gt;'Inputs &amp; Assumptions'!$E$141,0,IF(21='Inputs &amp; Assumptions'!$E$141,Y423-Y434,IF(('Inputs &amp; Assumptions'!$C$141+21)&gt;'Inputs &amp; Assumptions'!$C$11,'Inputs &amp; Assumptions'!$C$12*(Y423-Y434),0)))</f>
        <v>250242.69939726</v>
      </c>
      <c r="Z445" s="39" t="n">
        <f aca="false">IF(22&gt;'Inputs &amp; Assumptions'!$E$141,0,IF(22='Inputs &amp; Assumptions'!$E$141,Z423-Z434,IF(('Inputs &amp; Assumptions'!$C$141+22)&gt;'Inputs &amp; Assumptions'!$C$11,'Inputs &amp; Assumptions'!$C$12*(Z423-Z434),0)))</f>
        <v>227361.161316513</v>
      </c>
      <c r="AA445" s="39" t="n">
        <f aca="false">IF(23&gt;'Inputs &amp; Assumptions'!$E$141,0,IF(23='Inputs &amp; Assumptions'!$E$141,AA423-AA434,IF(('Inputs &amp; Assumptions'!$C$141+23)&gt;'Inputs &amp; Assumptions'!$C$11,'Inputs &amp; Assumptions'!$C$12*(AA423-AA434),0)))</f>
        <v>206571.85124562</v>
      </c>
      <c r="AB445" s="39" t="n">
        <f aca="false">IF(24&gt;'Inputs &amp; Assumptions'!$E$141,0,IF(24='Inputs &amp; Assumptions'!$E$141,AB423-AB434,IF(('Inputs &amp; Assumptions'!$C$141+24)&gt;'Inputs &amp; Assumptions'!$C$11,'Inputs &amp; Assumptions'!$C$12*(AB423-AB434),0)))</f>
        <v>188071.941834868</v>
      </c>
      <c r="AC445" s="39" t="n">
        <f aca="false">IF(25&gt;'Inputs &amp; Assumptions'!$E$141,0,IF(25='Inputs &amp; Assumptions'!$E$141,AC423-AC434,IF(('Inputs &amp; Assumptions'!$C$141+25)&gt;'Inputs &amp; Assumptions'!$C$11,'Inputs &amp; Assumptions'!$C$12*(AC423-AC434),0)))</f>
        <v>171228.824703133</v>
      </c>
      <c r="AD445" s="39" t="n">
        <f aca="false">IF(26&gt;'Inputs &amp; Assumptions'!$E$141,0,IF(26='Inputs &amp; Assumptions'!$E$141,AD423-AD434,IF(('Inputs &amp; Assumptions'!$C$141+26)&gt;'Inputs &amp; Assumptions'!$C$11,'Inputs &amp; Assumptions'!$C$12*(AD423-AD434),0)))</f>
        <v>155894.122872189</v>
      </c>
      <c r="AE445" s="39" t="n">
        <f aca="false">IF(27&gt;'Inputs &amp; Assumptions'!$E$141,0,IF(27='Inputs &amp; Assumptions'!$E$141,AE423-AE434,IF(('Inputs &amp; Assumptions'!$C$141+27)&gt;'Inputs &amp; Assumptions'!$C$11,'Inputs &amp; Assumptions'!$C$12*(AE423-AE434),0)))</f>
        <v>4731091.58426342</v>
      </c>
      <c r="AF445" s="39" t="n">
        <f aca="false">IF(28&gt;'Inputs &amp; Assumptions'!$E$141,0,IF(28='Inputs &amp; Assumptions'!$E$141,AF423-AF434,IF(('Inputs &amp; Assumptions'!$C$141+28)&gt;'Inputs &amp; Assumptions'!$C$11,'Inputs &amp; Assumptions'!$C$12*(AF423-AF434),0)))</f>
        <v>0</v>
      </c>
      <c r="AG445" s="39" t="n">
        <f aca="false">IF(29&gt;'Inputs &amp; Assumptions'!$E$141,0,IF(29='Inputs &amp; Assumptions'!$E$141,AG423-AG434,IF(('Inputs &amp; Assumptions'!$C$141+29)&gt;'Inputs &amp; Assumptions'!$C$11,'Inputs &amp; Assumptions'!$C$12*(AG423-AG434),0)))</f>
        <v>0</v>
      </c>
      <c r="AH445" s="39" t="n">
        <f aca="false">IF(30&gt;'Inputs &amp; Assumptions'!$E$141,0,IF(30='Inputs &amp; Assumptions'!$E$141,AH423-AH434,IF(('Inputs &amp; Assumptions'!$C$141+30)&gt;'Inputs &amp; Assumptions'!$C$11,'Inputs &amp; Assumptions'!$C$12*(AH423-AH434),0)))</f>
        <v>0</v>
      </c>
      <c r="AI445" s="39" t="n">
        <f aca="false">IF(31&gt;'Inputs &amp; Assumptions'!$E$141,0,IF(31='Inputs &amp; Assumptions'!$E$141,AI423-AI434,IF(('Inputs &amp; Assumptions'!$C$141+31)&gt;'Inputs &amp; Assumptions'!$C$11,'Inputs &amp; Assumptions'!$C$12*(AI423-AI434),0)))</f>
        <v>0</v>
      </c>
      <c r="AJ445" s="39" t="n">
        <f aca="false">IF(32&gt;'Inputs &amp; Assumptions'!$E$141,0,IF(32='Inputs &amp; Assumptions'!$E$141,AJ423-AJ434,IF(('Inputs &amp; Assumptions'!$C$141+32)&gt;'Inputs &amp; Assumptions'!$C$11,'Inputs &amp; Assumptions'!$C$12*(AJ423-AJ434),0)))</f>
        <v>0</v>
      </c>
      <c r="AK445" s="39" t="n">
        <f aca="false">IF(33&gt;'Inputs &amp; Assumptions'!$E$141,0,IF(33='Inputs &amp; Assumptions'!$E$141,AK423-AK434,IF(('Inputs &amp; Assumptions'!$C$141+33)&gt;'Inputs &amp; Assumptions'!$C$11,'Inputs &amp; Assumptions'!$C$12*(AK423-AK434),0)))</f>
        <v>0</v>
      </c>
      <c r="AL445" s="39" t="n">
        <f aca="false">IF(34&gt;'Inputs &amp; Assumptions'!$E$141,0,IF(34='Inputs &amp; Assumptions'!$E$141,AL423-AL434,IF(('Inputs &amp; Assumptions'!$C$141+34)&gt;'Inputs &amp; Assumptions'!$C$11,'Inputs &amp; Assumptions'!$C$12*(AL423-AL434),0)))</f>
        <v>0</v>
      </c>
      <c r="AM445" s="39" t="n">
        <f aca="false">IF(35&gt;'Inputs &amp; Assumptions'!$E$141,0,IF(35='Inputs &amp; Assumptions'!$E$141,AM423-AM434,IF(('Inputs &amp; Assumptions'!$C$141+35)&gt;'Inputs &amp; Assumptions'!$C$11,'Inputs &amp; Assumptions'!$C$12*(AM423-AM434),0)))</f>
        <v>0</v>
      </c>
      <c r="AN445" s="39" t="n">
        <f aca="false">IF(36&gt;'Inputs &amp; Assumptions'!$E$141,0,IF(36='Inputs &amp; Assumptions'!$E$141,AN423-AN434,IF(('Inputs &amp; Assumptions'!$C$141+36)&gt;'Inputs &amp; Assumptions'!$C$11,'Inputs &amp; Assumptions'!$C$12*(AN423-AN434),0)))</f>
        <v>0</v>
      </c>
    </row>
    <row r="446" customFormat="false" ht="15" hidden="false" customHeight="false" outlineLevel="0" collapsed="false">
      <c r="B446" s="37" t="n">
        <v>3</v>
      </c>
      <c r="C446" s="38" t="n">
        <f aca="false">'Inputs &amp; Assumptions'!$C$142</f>
        <v>2</v>
      </c>
      <c r="D446" s="38" t="n">
        <f aca="false">'Inputs &amp; Assumptions'!$D$142</f>
        <v>3</v>
      </c>
      <c r="E446" s="39" t="n">
        <f aca="false">IF(1&gt;'Inputs &amp; Assumptions'!$E$142,0,IF(1='Inputs &amp; Assumptions'!$E$142,E424-E435,IF(('Inputs &amp; Assumptions'!$C$142+1)&gt;'Inputs &amp; Assumptions'!$C$11,'Inputs &amp; Assumptions'!$C$12*(E424-E435),0)))</f>
        <v>0</v>
      </c>
      <c r="F446" s="39" t="n">
        <f aca="false">IF(2&gt;'Inputs &amp; Assumptions'!$E$142,0,IF(2='Inputs &amp; Assumptions'!$E$142,F424-F435,IF(('Inputs &amp; Assumptions'!$C$142+2)&gt;'Inputs &amp; Assumptions'!$C$11,'Inputs &amp; Assumptions'!$C$12*(F424-F435),0)))</f>
        <v>0</v>
      </c>
      <c r="G446" s="39" t="n">
        <f aca="false">IF(3&gt;'Inputs &amp; Assumptions'!$E$142,0,IF(3='Inputs &amp; Assumptions'!$E$142,G424-G435,IF(('Inputs &amp; Assumptions'!$C$142+3)&gt;'Inputs &amp; Assumptions'!$C$11,'Inputs &amp; Assumptions'!$C$12*(G424-G435),0)))</f>
        <v>1525812.51815629</v>
      </c>
      <c r="H446" s="39" t="n">
        <f aca="false">IF(4&gt;'Inputs &amp; Assumptions'!$E$142,0,IF(4='Inputs &amp; Assumptions'!$E$142,H424-H435,IF(('Inputs &amp; Assumptions'!$C$142+4)&gt;'Inputs &amp; Assumptions'!$C$11,'Inputs &amp; Assumptions'!$C$12*(H424-H435),0)))</f>
        <v>1369779.35417585</v>
      </c>
      <c r="I446" s="39" t="n">
        <f aca="false">IF(5&gt;'Inputs &amp; Assumptions'!$E$142,0,IF(5='Inputs &amp; Assumptions'!$E$142,I424-I435,IF(('Inputs &amp; Assumptions'!$C$142+5)&gt;'Inputs &amp; Assumptions'!$C$11,'Inputs &amp; Assumptions'!$C$12*(I424-I435),0)))</f>
        <v>1229702.50722127</v>
      </c>
      <c r="J446" s="39" t="n">
        <f aca="false">IF(6&gt;'Inputs &amp; Assumptions'!$E$142,0,IF(6='Inputs &amp; Assumptions'!$E$142,J424-J435,IF(('Inputs &amp; Assumptions'!$C$142+6)&gt;'Inputs &amp; Assumptions'!$C$11,'Inputs &amp; Assumptions'!$C$12*(J424-J435),0)))</f>
        <v>1103950.2469185</v>
      </c>
      <c r="K446" s="39" t="n">
        <f aca="false">IF(7&gt;'Inputs &amp; Assumptions'!$E$142,0,IF(7='Inputs &amp; Assumptions'!$E$142,K424-K435,IF(('Inputs &amp; Assumptions'!$C$142+7)&gt;'Inputs &amp; Assumptions'!$C$11,'Inputs &amp; Assumptions'!$C$12*(K424-K435),0)))</f>
        <v>993488.259783112</v>
      </c>
      <c r="L446" s="39" t="n">
        <f aca="false">IF(8&gt;'Inputs &amp; Assumptions'!$E$142,0,IF(8='Inputs &amp; Assumptions'!$E$142,L424-L435,IF(('Inputs &amp; Assumptions'!$C$142+8)&gt;'Inputs &amp; Assumptions'!$C$11,'Inputs &amp; Assumptions'!$C$12*(L424-L435),0)))</f>
        <v>894079.171667367</v>
      </c>
      <c r="M446" s="39" t="n">
        <f aca="false">IF(9&gt;'Inputs &amp; Assumptions'!$E$142,0,IF(9='Inputs &amp; Assumptions'!$E$142,M424-M435,IF(('Inputs &amp; Assumptions'!$C$142+9)&gt;'Inputs &amp; Assumptions'!$C$11,'Inputs &amp; Assumptions'!$C$12*(M424-M435),0)))</f>
        <v>804617.022232266</v>
      </c>
      <c r="N446" s="39" t="n">
        <f aca="false">IF(10&gt;'Inputs &amp; Assumptions'!$E$142,0,IF(10='Inputs &amp; Assumptions'!$E$142,N424-N435,IF(('Inputs &amp; Assumptions'!$C$142+10)&gt;'Inputs &amp; Assumptions'!$C$11,'Inputs &amp; Assumptions'!$C$12*(N424-N435),0)))</f>
        <v>724106.514257086</v>
      </c>
      <c r="O446" s="39" t="n">
        <f aca="false">IF(11&gt;'Inputs &amp; Assumptions'!$E$142,0,IF(11='Inputs &amp; Assumptions'!$E$142,O424-O435,IF(('Inputs &amp; Assumptions'!$C$142+11)&gt;'Inputs &amp; Assumptions'!$C$11,'Inputs &amp; Assumptions'!$C$12*(O424-O435),0)))</f>
        <v>654176.178509365</v>
      </c>
      <c r="P446" s="39" t="n">
        <f aca="false">IF(12&gt;'Inputs &amp; Assumptions'!$E$142,0,IF(12='Inputs &amp; Assumptions'!$E$142,P424-P435,IF(('Inputs &amp; Assumptions'!$C$142+12)&gt;'Inputs &amp; Assumptions'!$C$11,'Inputs &amp; Assumptions'!$C$12*(P424-P435),0)))</f>
        <v>590999.340709119</v>
      </c>
      <c r="Q446" s="39" t="n">
        <f aca="false">IF(13&gt;'Inputs &amp; Assumptions'!$E$142,0,IF(13='Inputs &amp; Assumptions'!$E$142,Q424-Q435,IF(('Inputs &amp; Assumptions'!$C$142+13)&gt;'Inputs &amp; Assumptions'!$C$11,'Inputs &amp; Assumptions'!$C$12*(Q424-Q435),0)))</f>
        <v>533923.784131821</v>
      </c>
      <c r="R446" s="39" t="n">
        <f aca="false">IF(14&gt;'Inputs &amp; Assumptions'!$E$142,0,IF(14='Inputs &amp; Assumptions'!$E$142,R424-R435,IF(('Inputs &amp; Assumptions'!$C$142+14)&gt;'Inputs &amp; Assumptions'!$C$11,'Inputs &amp; Assumptions'!$C$12*(R424-R435),0)))</f>
        <v>482360.279657152</v>
      </c>
      <c r="S446" s="39" t="n">
        <f aca="false">IF(15&gt;'Inputs &amp; Assumptions'!$E$142,0,IF(15='Inputs &amp; Assumptions'!$E$142,S424-S435,IF(('Inputs &amp; Assumptions'!$C$142+15)&gt;'Inputs &amp; Assumptions'!$C$11,'Inputs &amp; Assumptions'!$C$12*(S424-S435),0)))</f>
        <v>437258.886276615</v>
      </c>
      <c r="T446" s="39" t="n">
        <f aca="false">IF(16&gt;'Inputs &amp; Assumptions'!$E$142,0,IF(16='Inputs &amp; Assumptions'!$E$142,T424-T435,IF(('Inputs &amp; Assumptions'!$C$142+16)&gt;'Inputs &amp; Assumptions'!$C$11,'Inputs &amp; Assumptions'!$C$12*(T424-T435),0)))</f>
        <v>396374.539304442</v>
      </c>
      <c r="U446" s="39" t="n">
        <f aca="false">IF(17&gt;'Inputs &amp; Assumptions'!$E$142,0,IF(17='Inputs &amp; Assumptions'!$E$142,U424-U435,IF(('Inputs &amp; Assumptions'!$C$142+17)&gt;'Inputs &amp; Assumptions'!$C$11,'Inputs &amp; Assumptions'!$C$12*(U424-U435),0)))</f>
        <v>359312.938718455</v>
      </c>
      <c r="V446" s="39" t="n">
        <f aca="false">IF(18&gt;'Inputs &amp; Assumptions'!$E$142,0,IF(18='Inputs &amp; Assumptions'!$E$142,V424-V435,IF(('Inputs &amp; Assumptions'!$C$142+18)&gt;'Inputs &amp; Assumptions'!$C$11,'Inputs &amp; Assumptions'!$C$12*(V424-V435),0)))</f>
        <v>325716.652126664</v>
      </c>
      <c r="W446" s="39" t="n">
        <f aca="false">IF(19&gt;'Inputs &amp; Assumptions'!$E$142,0,IF(19='Inputs &amp; Assumptions'!$E$142,W424-W435,IF(('Inputs &amp; Assumptions'!$C$142+19)&gt;'Inputs &amp; Assumptions'!$C$11,'Inputs &amp; Assumptions'!$C$12*(W424-W435),0)))</f>
        <v>295933.973162918</v>
      </c>
      <c r="X446" s="39" t="n">
        <f aca="false">IF(20&gt;'Inputs &amp; Assumptions'!$E$142,0,IF(20='Inputs &amp; Assumptions'!$E$142,X424-X435,IF(('Inputs &amp; Assumptions'!$C$142+20)&gt;'Inputs &amp; Assumptions'!$C$11,'Inputs &amp; Assumptions'!$C$12*(X424-X435),0)))</f>
        <v>268874.544485782</v>
      </c>
      <c r="Y446" s="39" t="n">
        <f aca="false">IF(21&gt;'Inputs &amp; Assumptions'!$E$142,0,IF(21='Inputs &amp; Assumptions'!$E$142,Y424-Y435,IF(('Inputs &amp; Assumptions'!$C$142+21)&gt;'Inputs &amp; Assumptions'!$C$11,'Inputs &amp; Assumptions'!$C$12*(Y424-Y435),0)))</f>
        <v>244289.359209994</v>
      </c>
      <c r="Z446" s="39" t="n">
        <f aca="false">IF(22&gt;'Inputs &amp; Assumptions'!$E$142,0,IF(22='Inputs &amp; Assumptions'!$E$142,Z424-Z435,IF(('Inputs &amp; Assumptions'!$C$142+22)&gt;'Inputs &amp; Assumptions'!$C$11,'Inputs &amp; Assumptions'!$C$12*(Z424-Z435),0)))</f>
        <v>221952.178988759</v>
      </c>
      <c r="AA446" s="39" t="n">
        <f aca="false">IF(23&gt;'Inputs &amp; Assumptions'!$E$142,0,IF(23='Inputs &amp; Assumptions'!$E$142,AA424-AA435,IF(('Inputs &amp; Assumptions'!$C$142+23)&gt;'Inputs &amp; Assumptions'!$C$11,'Inputs &amp; Assumptions'!$C$12*(AA424-AA435),0)))</f>
        <v>202074.856981663</v>
      </c>
      <c r="AB446" s="39" t="n">
        <f aca="false">IF(24&gt;'Inputs &amp; Assumptions'!$E$142,0,IF(24='Inputs &amp; Assumptions'!$E$142,AB424-AB435,IF(('Inputs &amp; Assumptions'!$C$142+24)&gt;'Inputs &amp; Assumptions'!$C$11,'Inputs &amp; Assumptions'!$C$12*(AB424-AB435),0)))</f>
        <v>183977.683887607</v>
      </c>
      <c r="AC446" s="39" t="n">
        <f aca="false">IF(25&gt;'Inputs &amp; Assumptions'!$E$142,0,IF(25='Inputs &amp; Assumptions'!$E$142,AC424-AC435,IF(('Inputs &amp; Assumptions'!$C$142+25)&gt;'Inputs &amp; Assumptions'!$C$11,'Inputs &amp; Assumptions'!$C$12*(AC424-AC435),0)))</f>
        <v>167501.235305686</v>
      </c>
      <c r="AD446" s="39" t="n">
        <f aca="false">IF(26&gt;'Inputs &amp; Assumptions'!$E$142,0,IF(26='Inputs &amp; Assumptions'!$E$142,AD424-AD435,IF(('Inputs &amp; Assumptions'!$C$142+26)&gt;'Inputs &amp; Assumptions'!$C$11,'Inputs &amp; Assumptions'!$C$12*(AD424-AD435),0)))</f>
        <v>5083345.47902209</v>
      </c>
      <c r="AE446" s="39" t="n">
        <f aca="false">IF(27&gt;'Inputs &amp; Assumptions'!$E$142,0,IF(27='Inputs &amp; Assumptions'!$E$142,AE424-AE435,IF(('Inputs &amp; Assumptions'!$C$142+27)&gt;'Inputs &amp; Assumptions'!$C$11,'Inputs &amp; Assumptions'!$C$12*(AE424-AE435),0)))</f>
        <v>0</v>
      </c>
      <c r="AF446" s="39" t="n">
        <f aca="false">IF(28&gt;'Inputs &amp; Assumptions'!$E$142,0,IF(28='Inputs &amp; Assumptions'!$E$142,AF424-AF435,IF(('Inputs &amp; Assumptions'!$C$142+28)&gt;'Inputs &amp; Assumptions'!$C$11,'Inputs &amp; Assumptions'!$C$12*(AF424-AF435),0)))</f>
        <v>0</v>
      </c>
      <c r="AG446" s="39" t="n">
        <f aca="false">IF(29&gt;'Inputs &amp; Assumptions'!$E$142,0,IF(29='Inputs &amp; Assumptions'!$E$142,AG424-AG435,IF(('Inputs &amp; Assumptions'!$C$142+29)&gt;'Inputs &amp; Assumptions'!$C$11,'Inputs &amp; Assumptions'!$C$12*(AG424-AG435),0)))</f>
        <v>0</v>
      </c>
      <c r="AH446" s="39" t="n">
        <f aca="false">IF(30&gt;'Inputs &amp; Assumptions'!$E$142,0,IF(30='Inputs &amp; Assumptions'!$E$142,AH424-AH435,IF(('Inputs &amp; Assumptions'!$C$142+30)&gt;'Inputs &amp; Assumptions'!$C$11,'Inputs &amp; Assumptions'!$C$12*(AH424-AH435),0)))</f>
        <v>0</v>
      </c>
      <c r="AI446" s="39" t="n">
        <f aca="false">IF(31&gt;'Inputs &amp; Assumptions'!$E$142,0,IF(31='Inputs &amp; Assumptions'!$E$142,AI424-AI435,IF(('Inputs &amp; Assumptions'!$C$142+31)&gt;'Inputs &amp; Assumptions'!$C$11,'Inputs &amp; Assumptions'!$C$12*(AI424-AI435),0)))</f>
        <v>0</v>
      </c>
      <c r="AJ446" s="39" t="n">
        <f aca="false">IF(32&gt;'Inputs &amp; Assumptions'!$E$142,0,IF(32='Inputs &amp; Assumptions'!$E$142,AJ424-AJ435,IF(('Inputs &amp; Assumptions'!$C$142+32)&gt;'Inputs &amp; Assumptions'!$C$11,'Inputs &amp; Assumptions'!$C$12*(AJ424-AJ435),0)))</f>
        <v>0</v>
      </c>
      <c r="AK446" s="39" t="n">
        <f aca="false">IF(33&gt;'Inputs &amp; Assumptions'!$E$142,0,IF(33='Inputs &amp; Assumptions'!$E$142,AK424-AK435,IF(('Inputs &amp; Assumptions'!$C$142+33)&gt;'Inputs &amp; Assumptions'!$C$11,'Inputs &amp; Assumptions'!$C$12*(AK424-AK435),0)))</f>
        <v>0</v>
      </c>
      <c r="AL446" s="39" t="n">
        <f aca="false">IF(34&gt;'Inputs &amp; Assumptions'!$E$142,0,IF(34='Inputs &amp; Assumptions'!$E$142,AL424-AL435,IF(('Inputs &amp; Assumptions'!$C$142+34)&gt;'Inputs &amp; Assumptions'!$C$11,'Inputs &amp; Assumptions'!$C$12*(AL424-AL435),0)))</f>
        <v>0</v>
      </c>
      <c r="AM446" s="39" t="n">
        <f aca="false">IF(35&gt;'Inputs &amp; Assumptions'!$E$142,0,IF(35='Inputs &amp; Assumptions'!$E$142,AM424-AM435,IF(('Inputs &amp; Assumptions'!$C$142+35)&gt;'Inputs &amp; Assumptions'!$C$11,'Inputs &amp; Assumptions'!$C$12*(AM424-AM435),0)))</f>
        <v>0</v>
      </c>
      <c r="AN446" s="39" t="n">
        <f aca="false">IF(36&gt;'Inputs &amp; Assumptions'!$E$142,0,IF(36='Inputs &amp; Assumptions'!$E$142,AN424-AN435,IF(('Inputs &amp; Assumptions'!$C$142+36)&gt;'Inputs &amp; Assumptions'!$C$11,'Inputs &amp; Assumptions'!$C$12*(AN424-AN435),0)))</f>
        <v>0</v>
      </c>
    </row>
    <row r="447" customFormat="false" ht="15" hidden="false" customHeight="false" outlineLevel="0" collapsed="false">
      <c r="B447" s="37" t="n">
        <v>4</v>
      </c>
      <c r="C447" s="38" t="n">
        <f aca="false">'Inputs &amp; Assumptions'!$C$143</f>
        <v>3</v>
      </c>
      <c r="D447" s="38" t="n">
        <f aca="false">'Inputs &amp; Assumptions'!$D$143</f>
        <v>3</v>
      </c>
      <c r="E447" s="39" t="n">
        <f aca="false">IF(1&gt;'Inputs &amp; Assumptions'!$E$143,0,IF(1='Inputs &amp; Assumptions'!$E$143,E425-E436,IF(('Inputs &amp; Assumptions'!$C$143+1)&gt;'Inputs &amp; Assumptions'!$C$11,'Inputs &amp; Assumptions'!$C$12*(E425-E436),0)))</f>
        <v>0</v>
      </c>
      <c r="F447" s="39" t="n">
        <f aca="false">IF(2&gt;'Inputs &amp; Assumptions'!$E$143,0,IF(2='Inputs &amp; Assumptions'!$E$143,F425-F436,IF(('Inputs &amp; Assumptions'!$C$143+2)&gt;'Inputs &amp; Assumptions'!$C$11,'Inputs &amp; Assumptions'!$C$12*(F425-F436),0)))</f>
        <v>1639417.04104903</v>
      </c>
      <c r="G447" s="39" t="n">
        <f aca="false">IF(3&gt;'Inputs &amp; Assumptions'!$E$143,0,IF(3='Inputs &amp; Assumptions'!$E$143,G425-G436,IF(('Inputs &amp; Assumptions'!$C$143+3)&gt;'Inputs &amp; Assumptions'!$C$11,'Inputs &amp; Assumptions'!$C$12*(G425-G436),0)))</f>
        <v>1471766.41231553</v>
      </c>
      <c r="H447" s="39" t="n">
        <f aca="false">IF(4&gt;'Inputs &amp; Assumptions'!$E$143,0,IF(4='Inputs &amp; Assumptions'!$E$143,H425-H436,IF(('Inputs &amp; Assumptions'!$C$143+4)&gt;'Inputs &amp; Assumptions'!$C$11,'Inputs &amp; Assumptions'!$C$12*(H425-H436),0)))</f>
        <v>1321260.12978009</v>
      </c>
      <c r="I447" s="39" t="n">
        <f aca="false">IF(5&gt;'Inputs &amp; Assumptions'!$E$143,0,IF(5='Inputs &amp; Assumptions'!$E$143,I425-I436,IF(('Inputs &amp; Assumptions'!$C$143+5)&gt;'Inputs &amp; Assumptions'!$C$11,'Inputs &amp; Assumptions'!$C$12*(I425-I436),0)))</f>
        <v>1186144.97242124</v>
      </c>
      <c r="J447" s="39" t="n">
        <f aca="false">IF(6&gt;'Inputs &amp; Assumptions'!$E$143,0,IF(6='Inputs &amp; Assumptions'!$E$143,J425-J436,IF(('Inputs &amp; Assumptions'!$C$143+6)&gt;'Inputs &amp; Assumptions'!$C$11,'Inputs &amp; Assumptions'!$C$12*(J425-J436),0)))</f>
        <v>1067458.52704018</v>
      </c>
      <c r="K447" s="39" t="n">
        <f aca="false">IF(7&gt;'Inputs &amp; Assumptions'!$E$143,0,IF(7='Inputs &amp; Assumptions'!$E$143,K425-K436,IF(('Inputs &amp; Assumptions'!$C$143+7)&gt;'Inputs &amp; Assumptions'!$C$11,'Inputs &amp; Assumptions'!$C$12*(K425-K436),0)))</f>
        <v>960647.925375283</v>
      </c>
      <c r="L447" s="39" t="n">
        <f aca="false">IF(8&gt;'Inputs &amp; Assumptions'!$E$143,0,IF(8='Inputs &amp; Assumptions'!$E$143,L425-L436,IF(('Inputs &amp; Assumptions'!$C$143+8)&gt;'Inputs &amp; Assumptions'!$C$11,'Inputs &amp; Assumptions'!$C$12*(L425-L436),0)))</f>
        <v>864524.862700453</v>
      </c>
      <c r="M447" s="39" t="n">
        <f aca="false">IF(9&gt;'Inputs &amp; Assumptions'!$E$143,0,IF(9='Inputs &amp; Assumptions'!$E$143,M425-M436,IF(('Inputs &amp; Assumptions'!$C$143+9)&gt;'Inputs &amp; Assumptions'!$C$11,'Inputs &amp; Assumptions'!$C$12*(M425-M436),0)))</f>
        <v>778019.936841335</v>
      </c>
      <c r="N447" s="39" t="n">
        <f aca="false">IF(10&gt;'Inputs &amp; Assumptions'!$E$143,0,IF(10='Inputs &amp; Assumptions'!$E$143,N425-N436,IF(('Inputs &amp; Assumptions'!$C$143+10)&gt;'Inputs &amp; Assumptions'!$C$11,'Inputs &amp; Assumptions'!$C$12*(N425-N436),0)))</f>
        <v>702882.930985842</v>
      </c>
      <c r="O447" s="39" t="n">
        <f aca="false">IF(11&gt;'Inputs &amp; Assumptions'!$E$143,0,IF(11='Inputs &amp; Assumptions'!$E$143,O425-O436,IF(('Inputs &amp; Assumptions'!$C$143+11)&gt;'Inputs &amp; Assumptions'!$C$11,'Inputs &amp; Assumptions'!$C$12*(O425-O436),0)))</f>
        <v>635002.255439632</v>
      </c>
      <c r="P447" s="39" t="n">
        <f aca="false">IF(12&gt;'Inputs &amp; Assumptions'!$E$143,0,IF(12='Inputs &amp; Assumptions'!$E$143,P425-P436,IF(('Inputs &amp; Assumptions'!$C$143+12)&gt;'Inputs &amp; Assumptions'!$C$11,'Inputs &amp; Assumptions'!$C$12*(P425-P436),0)))</f>
        <v>573677.132617041</v>
      </c>
      <c r="Q447" s="39" t="n">
        <f aca="false">IF(13&gt;'Inputs &amp; Assumptions'!$E$143,0,IF(13='Inputs &amp; Assumptions'!$E$143,Q425-Q436,IF(('Inputs &amp; Assumptions'!$C$143+13)&gt;'Inputs &amp; Assumptions'!$C$11,'Inputs &amp; Assumptions'!$C$12*(Q425-Q436),0)))</f>
        <v>518274.462284957</v>
      </c>
      <c r="R447" s="39" t="n">
        <f aca="false">IF(14&gt;'Inputs &amp; Assumptions'!$E$143,0,IF(14='Inputs &amp; Assumptions'!$E$143,R425-R436,IF(('Inputs &amp; Assumptions'!$C$143+14)&gt;'Inputs &amp; Assumptions'!$C$11,'Inputs &amp; Assumptions'!$C$12*(R425-R436),0)))</f>
        <v>469815.040171647</v>
      </c>
      <c r="S447" s="39" t="n">
        <f aca="false">IF(15&gt;'Inputs &amp; Assumptions'!$E$143,0,IF(15='Inputs &amp; Assumptions'!$E$143,S425-S436,IF(('Inputs &amp; Assumptions'!$C$143+15)&gt;'Inputs &amp; Assumptions'!$C$11,'Inputs &amp; Assumptions'!$C$12*(S425-S436),0)))</f>
        <v>425886.64507673</v>
      </c>
      <c r="T447" s="39" t="n">
        <f aca="false">IF(16&gt;'Inputs &amp; Assumptions'!$E$143,0,IF(16='Inputs &amp; Assumptions'!$E$143,T425-T436,IF(('Inputs &amp; Assumptions'!$C$143+16)&gt;'Inputs &amp; Assumptions'!$C$11,'Inputs &amp; Assumptions'!$C$12*(T425-T436),0)))</f>
        <v>386065.619330631</v>
      </c>
      <c r="U447" s="39" t="n">
        <f aca="false">IF(17&gt;'Inputs &amp; Assumptions'!$E$143,0,IF(17='Inputs &amp; Assumptions'!$E$143,U425-U436,IF(('Inputs &amp; Assumptions'!$C$143+17)&gt;'Inputs &amp; Assumptions'!$C$11,'Inputs &amp; Assumptions'!$C$12*(U425-U436),0)))</f>
        <v>349967.917877047</v>
      </c>
      <c r="V447" s="39" t="n">
        <f aca="false">IF(18&gt;'Inputs &amp; Assumptions'!$E$143,0,IF(18='Inputs &amp; Assumptions'!$E$143,V425-V436,IF(('Inputs &amp; Assumptions'!$C$143+18)&gt;'Inputs &amp; Assumptions'!$C$11,'Inputs &amp; Assumptions'!$C$12*(V425-V436),0)))</f>
        <v>317967.766586994</v>
      </c>
      <c r="W447" s="39" t="n">
        <f aca="false">IF(19&gt;'Inputs &amp; Assumptions'!$E$143,0,IF(19='Inputs &amp; Assumptions'!$E$143,W425-W436,IF(('Inputs &amp; Assumptions'!$C$143+19)&gt;'Inputs &amp; Assumptions'!$C$11,'Inputs &amp; Assumptions'!$C$12*(W425-W436),0)))</f>
        <v>288893.625454667</v>
      </c>
      <c r="X447" s="39" t="n">
        <f aca="false">IF(20&gt;'Inputs &amp; Assumptions'!$E$143,0,IF(20='Inputs &amp; Assumptions'!$E$143,X425-X436,IF(('Inputs &amp; Assumptions'!$C$143+20)&gt;'Inputs &amp; Assumptions'!$C$11,'Inputs &amp; Assumptions'!$C$12*(X425-X436),0)))</f>
        <v>262477.947762379</v>
      </c>
      <c r="Y447" s="39" t="n">
        <f aca="false">IF(21&gt;'Inputs &amp; Assumptions'!$E$143,0,IF(21='Inputs &amp; Assumptions'!$E$143,Y425-Y436,IF(('Inputs &amp; Assumptions'!$C$143+21)&gt;'Inputs &amp; Assumptions'!$C$11,'Inputs &amp; Assumptions'!$C$12*(Y425-Y436),0)))</f>
        <v>238477.650564709</v>
      </c>
      <c r="Z447" s="39" t="n">
        <f aca="false">IF(22&gt;'Inputs &amp; Assumptions'!$E$143,0,IF(22='Inputs &amp; Assumptions'!$E$143,Z425-Z436,IF(('Inputs &amp; Assumptions'!$C$143+22)&gt;'Inputs &amp; Assumptions'!$C$11,'Inputs &amp; Assumptions'!$C$12*(Z425-Z436),0)))</f>
        <v>217120.360569324</v>
      </c>
      <c r="AA447" s="39" t="n">
        <f aca="false">IF(23&gt;'Inputs &amp; Assumptions'!$E$143,0,IF(23='Inputs &amp; Assumptions'!$E$143,AA425-AA436,IF(('Inputs &amp; Assumptions'!$C$143+23)&gt;'Inputs &amp; Assumptions'!$C$11,'Inputs &amp; Assumptions'!$C$12*(AA425-AA436),0)))</f>
        <v>197675.760651466</v>
      </c>
      <c r="AB447" s="39" t="n">
        <f aca="false">IF(24&gt;'Inputs &amp; Assumptions'!$E$143,0,IF(24='Inputs &amp; Assumptions'!$E$143,AB425-AB436,IF(('Inputs &amp; Assumptions'!$C$143+24)&gt;'Inputs &amp; Assumptions'!$C$11,'Inputs &amp; Assumptions'!$C$12*(AB425-AB436),0)))</f>
        <v>179972.556450592</v>
      </c>
      <c r="AC447" s="39" t="n">
        <f aca="false">IF(25&gt;'Inputs &amp; Assumptions'!$E$143,0,IF(25='Inputs &amp; Assumptions'!$E$143,AC425-AC436,IF(('Inputs &amp; Assumptions'!$C$143+25)&gt;'Inputs &amp; Assumptions'!$C$11,'Inputs &amp; Assumptions'!$C$12*(AC425-AC436),0)))</f>
        <v>5461826.47257236</v>
      </c>
      <c r="AD447" s="39" t="n">
        <f aca="false">IF(26&gt;'Inputs &amp; Assumptions'!$E$143,0,IF(26='Inputs &amp; Assumptions'!$E$143,AD425-AD436,IF(('Inputs &amp; Assumptions'!$C$143+26)&gt;'Inputs &amp; Assumptions'!$C$11,'Inputs &amp; Assumptions'!$C$12*(AD425-AD436),0)))</f>
        <v>0</v>
      </c>
      <c r="AE447" s="39" t="n">
        <f aca="false">IF(27&gt;'Inputs &amp; Assumptions'!$E$143,0,IF(27='Inputs &amp; Assumptions'!$E$143,AE425-AE436,IF(('Inputs &amp; Assumptions'!$C$143+27)&gt;'Inputs &amp; Assumptions'!$C$11,'Inputs &amp; Assumptions'!$C$12*(AE425-AE436),0)))</f>
        <v>0</v>
      </c>
      <c r="AF447" s="39" t="n">
        <f aca="false">IF(28&gt;'Inputs &amp; Assumptions'!$E$143,0,IF(28='Inputs &amp; Assumptions'!$E$143,AF425-AF436,IF(('Inputs &amp; Assumptions'!$C$143+28)&gt;'Inputs &amp; Assumptions'!$C$11,'Inputs &amp; Assumptions'!$C$12*(AF425-AF436),0)))</f>
        <v>0</v>
      </c>
      <c r="AG447" s="39" t="n">
        <f aca="false">IF(29&gt;'Inputs &amp; Assumptions'!$E$143,0,IF(29='Inputs &amp; Assumptions'!$E$143,AG425-AG436,IF(('Inputs &amp; Assumptions'!$C$143+29)&gt;'Inputs &amp; Assumptions'!$C$11,'Inputs &amp; Assumptions'!$C$12*(AG425-AG436),0)))</f>
        <v>0</v>
      </c>
      <c r="AH447" s="39" t="n">
        <f aca="false">IF(30&gt;'Inputs &amp; Assumptions'!$E$143,0,IF(30='Inputs &amp; Assumptions'!$E$143,AH425-AH436,IF(('Inputs &amp; Assumptions'!$C$143+30)&gt;'Inputs &amp; Assumptions'!$C$11,'Inputs &amp; Assumptions'!$C$12*(AH425-AH436),0)))</f>
        <v>0</v>
      </c>
      <c r="AI447" s="39" t="n">
        <f aca="false">IF(31&gt;'Inputs &amp; Assumptions'!$E$143,0,IF(31='Inputs &amp; Assumptions'!$E$143,AI425-AI436,IF(('Inputs &amp; Assumptions'!$C$143+31)&gt;'Inputs &amp; Assumptions'!$C$11,'Inputs &amp; Assumptions'!$C$12*(AI425-AI436),0)))</f>
        <v>0</v>
      </c>
      <c r="AJ447" s="39" t="n">
        <f aca="false">IF(32&gt;'Inputs &amp; Assumptions'!$E$143,0,IF(32='Inputs &amp; Assumptions'!$E$143,AJ425-AJ436,IF(('Inputs &amp; Assumptions'!$C$143+32)&gt;'Inputs &amp; Assumptions'!$C$11,'Inputs &amp; Assumptions'!$C$12*(AJ425-AJ436),0)))</f>
        <v>0</v>
      </c>
      <c r="AK447" s="39" t="n">
        <f aca="false">IF(33&gt;'Inputs &amp; Assumptions'!$E$143,0,IF(33='Inputs &amp; Assumptions'!$E$143,AK425-AK436,IF(('Inputs &amp; Assumptions'!$C$143+33)&gt;'Inputs &amp; Assumptions'!$C$11,'Inputs &amp; Assumptions'!$C$12*(AK425-AK436),0)))</f>
        <v>0</v>
      </c>
      <c r="AL447" s="39" t="n">
        <f aca="false">IF(34&gt;'Inputs &amp; Assumptions'!$E$143,0,IF(34='Inputs &amp; Assumptions'!$E$143,AL425-AL436,IF(('Inputs &amp; Assumptions'!$C$143+34)&gt;'Inputs &amp; Assumptions'!$C$11,'Inputs &amp; Assumptions'!$C$12*(AL425-AL436),0)))</f>
        <v>0</v>
      </c>
      <c r="AM447" s="39" t="n">
        <f aca="false">IF(35&gt;'Inputs &amp; Assumptions'!$E$143,0,IF(35='Inputs &amp; Assumptions'!$E$143,AM425-AM436,IF(('Inputs &amp; Assumptions'!$C$143+35)&gt;'Inputs &amp; Assumptions'!$C$11,'Inputs &amp; Assumptions'!$C$12*(AM425-AM436),0)))</f>
        <v>0</v>
      </c>
      <c r="AN447" s="39" t="n">
        <f aca="false">IF(36&gt;'Inputs &amp; Assumptions'!$E$143,0,IF(36='Inputs &amp; Assumptions'!$E$143,AN425-AN436,IF(('Inputs &amp; Assumptions'!$C$143+36)&gt;'Inputs &amp; Assumptions'!$C$11,'Inputs &amp; Assumptions'!$C$12*(AN425-AN436),0)))</f>
        <v>0</v>
      </c>
    </row>
    <row r="448" customFormat="false" ht="15" hidden="false" customHeight="false" outlineLevel="0" collapsed="false">
      <c r="B448" s="37" t="n">
        <v>5</v>
      </c>
      <c r="C448" s="38" t="n">
        <f aca="false">'Inputs &amp; Assumptions'!$C$144</f>
        <v>4</v>
      </c>
      <c r="D448" s="38" t="n">
        <f aca="false">'Inputs &amp; Assumptions'!$D$144</f>
        <v>3</v>
      </c>
      <c r="E448" s="39" t="n">
        <f aca="false">IF(1&gt;'Inputs &amp; Assumptions'!$E$144,0,IF(1='Inputs &amp; Assumptions'!$E$144,E426-E437,IF(('Inputs &amp; Assumptions'!$C$144+1)&gt;'Inputs &amp; Assumptions'!$C$11,'Inputs &amp; Assumptions'!$C$12*(E426-E437),0)))</f>
        <v>1761480</v>
      </c>
      <c r="F448" s="39" t="n">
        <f aca="false">IF(2&gt;'Inputs &amp; Assumptions'!$E$144,0,IF(2='Inputs &amp; Assumptions'!$E$144,F426-F437,IF(('Inputs &amp; Assumptions'!$C$144+2)&gt;'Inputs &amp; Assumptions'!$C$11,'Inputs &amp; Assumptions'!$C$12*(F426-F437),0)))</f>
        <v>1581346.92701906</v>
      </c>
      <c r="G448" s="39" t="n">
        <f aca="false">IF(3&gt;'Inputs &amp; Assumptions'!$E$144,0,IF(3='Inputs &amp; Assumptions'!$E$144,G426-G437,IF(('Inputs &amp; Assumptions'!$C$144+3)&gt;'Inputs &amp; Assumptions'!$C$11,'Inputs &amp; Assumptions'!$C$12*(G426-G437),0)))</f>
        <v>1419634.68423861</v>
      </c>
      <c r="H448" s="39" t="n">
        <f aca="false">IF(4&gt;'Inputs &amp; Assumptions'!$E$144,0,IF(4='Inputs &amp; Assumptions'!$E$144,H426-H437,IF(('Inputs &amp; Assumptions'!$C$144+4)&gt;'Inputs &amp; Assumptions'!$C$11,'Inputs &amp; Assumptions'!$C$12*(H426-H437),0)))</f>
        <v>1274459.51439154</v>
      </c>
      <c r="I448" s="39" t="n">
        <f aca="false">IF(5&gt;'Inputs &amp; Assumptions'!$E$144,0,IF(5='Inputs &amp; Assumptions'!$E$144,I426-I437,IF(('Inputs &amp; Assumptions'!$C$144+5)&gt;'Inputs &amp; Assumptions'!$C$11,'Inputs &amp; Assumptions'!$C$12*(I426-I437),0)))</f>
        <v>1146936.25790761</v>
      </c>
      <c r="J448" s="39" t="n">
        <f aca="false">IF(6&gt;'Inputs &amp; Assumptions'!$E$144,0,IF(6='Inputs &amp; Assumptions'!$E$144,J426-J437,IF(('Inputs &amp; Assumptions'!$C$144+6)&gt;'Inputs &amp; Assumptions'!$C$11,'Inputs &amp; Assumptions'!$C$12*(J426-J437),0)))</f>
        <v>1032173.06226564</v>
      </c>
      <c r="K448" s="39" t="n">
        <f aca="false">IF(7&gt;'Inputs &amp; Assumptions'!$E$144,0,IF(7='Inputs &amp; Assumptions'!$E$144,K426-K437,IF(('Inputs &amp; Assumptions'!$C$144+7)&gt;'Inputs &amp; Assumptions'!$C$11,'Inputs &amp; Assumptions'!$C$12*(K426-K437),0)))</f>
        <v>928893.147392906</v>
      </c>
      <c r="L448" s="39" t="n">
        <f aca="false">IF(8&gt;'Inputs &amp; Assumptions'!$E$144,0,IF(8='Inputs &amp; Assumptions'!$E$144,L426-L437,IF(('Inputs &amp; Assumptions'!$C$144+8)&gt;'Inputs &amp; Assumptions'!$C$11,'Inputs &amp; Assumptions'!$C$12*(L426-L437),0)))</f>
        <v>835947.488669719</v>
      </c>
      <c r="M448" s="39" t="n">
        <f aca="false">IF(9&gt;'Inputs &amp; Assumptions'!$E$144,0,IF(9='Inputs &amp; Assumptions'!$E$144,M426-M437,IF(('Inputs &amp; Assumptions'!$C$144+9)&gt;'Inputs &amp; Assumptions'!$C$11,'Inputs &amp; Assumptions'!$C$12*(M426-M437),0)))</f>
        <v>755216.149565396</v>
      </c>
      <c r="N448" s="39" t="n">
        <f aca="false">IF(10&gt;'Inputs &amp; Assumptions'!$E$144,0,IF(10='Inputs &amp; Assumptions'!$E$144,N426-N437,IF(('Inputs &amp; Assumptions'!$C$144+10)&gt;'Inputs &amp; Assumptions'!$C$11,'Inputs &amp; Assumptions'!$C$12*(N426-N437),0)))</f>
        <v>682281.411565706</v>
      </c>
      <c r="O448" s="39" t="n">
        <f aca="false">IF(11&gt;'Inputs &amp; Assumptions'!$E$144,0,IF(11='Inputs &amp; Assumptions'!$E$144,O426-O437,IF(('Inputs &amp; Assumptions'!$C$144+11)&gt;'Inputs &amp; Assumptions'!$C$11,'Inputs &amp; Assumptions'!$C$12*(O426-O437),0)))</f>
        <v>616390.320620101</v>
      </c>
      <c r="P448" s="39" t="n">
        <f aca="false">IF(12&gt;'Inputs &amp; Assumptions'!$E$144,0,IF(12='Inputs &amp; Assumptions'!$E$144,P426-P437,IF(('Inputs &amp; Assumptions'!$C$144+12)&gt;'Inputs &amp; Assumptions'!$C$11,'Inputs &amp; Assumptions'!$C$12*(P426-P437),0)))</f>
        <v>556862.638954602</v>
      </c>
      <c r="Q448" s="39" t="n">
        <f aca="false">IF(13&gt;'Inputs &amp; Assumptions'!$E$144,0,IF(13='Inputs &amp; Assumptions'!$E$144,Q426-Q437,IF(('Inputs &amp; Assumptions'!$C$144+13)&gt;'Inputs &amp; Assumptions'!$C$11,'Inputs &amp; Assumptions'!$C$12*(Q426-Q437),0)))</f>
        <v>504795.16574502</v>
      </c>
      <c r="R448" s="39" t="n">
        <f aca="false">IF(14&gt;'Inputs &amp; Assumptions'!$E$144,0,IF(14='Inputs &amp; Assumptions'!$E$144,R426-R437,IF(('Inputs &amp; Assumptions'!$C$144+14)&gt;'Inputs &amp; Assumptions'!$C$11,'Inputs &amp; Assumptions'!$C$12*(R426-R437),0)))</f>
        <v>457596.077621426</v>
      </c>
      <c r="S448" s="39" t="n">
        <f aca="false">IF(15&gt;'Inputs &amp; Assumptions'!$E$144,0,IF(15='Inputs &amp; Assumptions'!$E$144,S426-S437,IF(('Inputs &amp; Assumptions'!$C$144+15)&gt;'Inputs &amp; Assumptions'!$C$11,'Inputs &amp; Assumptions'!$C$12*(S426-S437),0)))</f>
        <v>414810.173440294</v>
      </c>
      <c r="T448" s="39" t="n">
        <f aca="false">IF(16&gt;'Inputs &amp; Assumptions'!$E$144,0,IF(16='Inputs &amp; Assumptions'!$E$144,T426-T437,IF(('Inputs &amp; Assumptions'!$C$144+16)&gt;'Inputs &amp; Assumptions'!$C$11,'Inputs &amp; Assumptions'!$C$12*(T426-T437),0)))</f>
        <v>376024.814032432</v>
      </c>
      <c r="U448" s="39" t="n">
        <f aca="false">IF(17&gt;'Inputs &amp; Assumptions'!$E$144,0,IF(17='Inputs &amp; Assumptions'!$E$144,U426-U437,IF(('Inputs &amp; Assumptions'!$C$144+17)&gt;'Inputs &amp; Assumptions'!$C$11,'Inputs &amp; Assumptions'!$C$12*(U426-U437),0)))</f>
        <v>341642.088293328</v>
      </c>
      <c r="V448" s="39" t="n">
        <f aca="false">IF(18&gt;'Inputs &amp; Assumptions'!$E$144,0,IF(18='Inputs &amp; Assumptions'!$E$144,V426-V437,IF(('Inputs &amp; Assumptions'!$C$144+18)&gt;'Inputs &amp; Assumptions'!$C$11,'Inputs &amp; Assumptions'!$C$12*(V426-V437),0)))</f>
        <v>310403.229089448</v>
      </c>
      <c r="W448" s="39" t="n">
        <f aca="false">IF(19&gt;'Inputs &amp; Assumptions'!$E$144,0,IF(19='Inputs &amp; Assumptions'!$E$144,W426-W437,IF(('Inputs &amp; Assumptions'!$C$144+19)&gt;'Inputs &amp; Assumptions'!$C$11,'Inputs &amp; Assumptions'!$C$12*(W426-W437),0)))</f>
        <v>282020.769485614</v>
      </c>
      <c r="X448" s="39" t="n">
        <f aca="false">IF(20&gt;'Inputs &amp; Assumptions'!$E$144,0,IF(20='Inputs &amp; Assumptions'!$E$144,X426-X437,IF(('Inputs &amp; Assumptions'!$C$144+20)&gt;'Inputs &amp; Assumptions'!$C$11,'Inputs &amp; Assumptions'!$C$12*(X426-X437),0)))</f>
        <v>256233.527771511</v>
      </c>
      <c r="Y448" s="39" t="n">
        <f aca="false">IF(21&gt;'Inputs &amp; Assumptions'!$E$144,0,IF(21='Inputs &amp; Assumptions'!$E$144,Y426-Y437,IF(('Inputs &amp; Assumptions'!$C$144+21)&gt;'Inputs &amp; Assumptions'!$C$11,'Inputs &amp; Assumptions'!$C$12*(Y426-Y437),0)))</f>
        <v>233286.078623979</v>
      </c>
      <c r="Z448" s="39" t="n">
        <f aca="false">IF(22&gt;'Inputs &amp; Assumptions'!$E$144,0,IF(22='Inputs &amp; Assumptions'!$E$144,Z426-Z437,IF(('Inputs &amp; Assumptions'!$C$144+22)&gt;'Inputs &amp; Assumptions'!$C$11,'Inputs &amp; Assumptions'!$C$12*(Z426-Z437),0)))</f>
        <v>212393.729084052</v>
      </c>
      <c r="AA448" s="39" t="n">
        <f aca="false">IF(23&gt;'Inputs &amp; Assumptions'!$E$144,0,IF(23='Inputs &amp; Assumptions'!$E$144,AA426-AA437,IF(('Inputs &amp; Assumptions'!$C$144+23)&gt;'Inputs &amp; Assumptions'!$C$11,'Inputs &amp; Assumptions'!$C$12*(AA426-AA437),0)))</f>
        <v>193372.431052526</v>
      </c>
      <c r="AB448" s="39" t="n">
        <f aca="false">IF(24&gt;'Inputs &amp; Assumptions'!$E$144,0,IF(24='Inputs &amp; Assumptions'!$E$144,AB426-AB437,IF(('Inputs &amp; Assumptions'!$C$144+24)&gt;'Inputs &amp; Assumptions'!$C$11,'Inputs &amp; Assumptions'!$C$12*(AB426-AB437),0)))</f>
        <v>5868487.30616498</v>
      </c>
      <c r="AC448" s="39" t="n">
        <f aca="false">IF(25&gt;'Inputs &amp; Assumptions'!$E$144,0,IF(25='Inputs &amp; Assumptions'!$E$144,AC426-AC437,IF(('Inputs &amp; Assumptions'!$C$144+25)&gt;'Inputs &amp; Assumptions'!$C$11,'Inputs &amp; Assumptions'!$C$12*(AC426-AC437),0)))</f>
        <v>0</v>
      </c>
      <c r="AD448" s="39" t="n">
        <f aca="false">IF(26&gt;'Inputs &amp; Assumptions'!$E$144,0,IF(26='Inputs &amp; Assumptions'!$E$144,AD426-AD437,IF(('Inputs &amp; Assumptions'!$C$144+26)&gt;'Inputs &amp; Assumptions'!$C$11,'Inputs &amp; Assumptions'!$C$12*(AD426-AD437),0)))</f>
        <v>0</v>
      </c>
      <c r="AE448" s="39" t="n">
        <f aca="false">IF(27&gt;'Inputs &amp; Assumptions'!$E$144,0,IF(27='Inputs &amp; Assumptions'!$E$144,AE426-AE437,IF(('Inputs &amp; Assumptions'!$C$144+27)&gt;'Inputs &amp; Assumptions'!$C$11,'Inputs &amp; Assumptions'!$C$12*(AE426-AE437),0)))</f>
        <v>0</v>
      </c>
      <c r="AF448" s="39" t="n">
        <f aca="false">IF(28&gt;'Inputs &amp; Assumptions'!$E$144,0,IF(28='Inputs &amp; Assumptions'!$E$144,AF426-AF437,IF(('Inputs &amp; Assumptions'!$C$144+28)&gt;'Inputs &amp; Assumptions'!$C$11,'Inputs &amp; Assumptions'!$C$12*(AF426-AF437),0)))</f>
        <v>0</v>
      </c>
      <c r="AG448" s="39" t="n">
        <f aca="false">IF(29&gt;'Inputs &amp; Assumptions'!$E$144,0,IF(29='Inputs &amp; Assumptions'!$E$144,AG426-AG437,IF(('Inputs &amp; Assumptions'!$C$144+29)&gt;'Inputs &amp; Assumptions'!$C$11,'Inputs &amp; Assumptions'!$C$12*(AG426-AG437),0)))</f>
        <v>0</v>
      </c>
      <c r="AH448" s="39" t="n">
        <f aca="false">IF(30&gt;'Inputs &amp; Assumptions'!$E$144,0,IF(30='Inputs &amp; Assumptions'!$E$144,AH426-AH437,IF(('Inputs &amp; Assumptions'!$C$144+30)&gt;'Inputs &amp; Assumptions'!$C$11,'Inputs &amp; Assumptions'!$C$12*(AH426-AH437),0)))</f>
        <v>0</v>
      </c>
      <c r="AI448" s="39" t="n">
        <f aca="false">IF(31&gt;'Inputs &amp; Assumptions'!$E$144,0,IF(31='Inputs &amp; Assumptions'!$E$144,AI426-AI437,IF(('Inputs &amp; Assumptions'!$C$144+31)&gt;'Inputs &amp; Assumptions'!$C$11,'Inputs &amp; Assumptions'!$C$12*(AI426-AI437),0)))</f>
        <v>0</v>
      </c>
      <c r="AJ448" s="39" t="n">
        <f aca="false">IF(32&gt;'Inputs &amp; Assumptions'!$E$144,0,IF(32='Inputs &amp; Assumptions'!$E$144,AJ426-AJ437,IF(('Inputs &amp; Assumptions'!$C$144+32)&gt;'Inputs &amp; Assumptions'!$C$11,'Inputs &amp; Assumptions'!$C$12*(AJ426-AJ437),0)))</f>
        <v>0</v>
      </c>
      <c r="AK448" s="39" t="n">
        <f aca="false">IF(33&gt;'Inputs &amp; Assumptions'!$E$144,0,IF(33='Inputs &amp; Assumptions'!$E$144,AK426-AK437,IF(('Inputs &amp; Assumptions'!$C$144+33)&gt;'Inputs &amp; Assumptions'!$C$11,'Inputs &amp; Assumptions'!$C$12*(AK426-AK437),0)))</f>
        <v>0</v>
      </c>
      <c r="AL448" s="39" t="n">
        <f aca="false">IF(34&gt;'Inputs &amp; Assumptions'!$E$144,0,IF(34='Inputs &amp; Assumptions'!$E$144,AL426-AL437,IF(('Inputs &amp; Assumptions'!$C$144+34)&gt;'Inputs &amp; Assumptions'!$C$11,'Inputs &amp; Assumptions'!$C$12*(AL426-AL437),0)))</f>
        <v>0</v>
      </c>
      <c r="AM448" s="39" t="n">
        <f aca="false">IF(35&gt;'Inputs &amp; Assumptions'!$E$144,0,IF(35='Inputs &amp; Assumptions'!$E$144,AM426-AM437,IF(('Inputs &amp; Assumptions'!$C$144+35)&gt;'Inputs &amp; Assumptions'!$C$11,'Inputs &amp; Assumptions'!$C$12*(AM426-AM437),0)))</f>
        <v>0</v>
      </c>
      <c r="AN448" s="39" t="n">
        <f aca="false">IF(36&gt;'Inputs &amp; Assumptions'!$E$144,0,IF(36='Inputs &amp; Assumptions'!$E$144,AN426-AN437,IF(('Inputs &amp; Assumptions'!$C$144+36)&gt;'Inputs &amp; Assumptions'!$C$11,'Inputs &amp; Assumptions'!$C$12*(AN426-AN437),0)))</f>
        <v>0</v>
      </c>
    </row>
    <row r="449" customFormat="false" ht="15" hidden="false" customHeight="false" outlineLevel="0" collapsed="false">
      <c r="B449" s="37" t="n">
        <v>6</v>
      </c>
      <c r="C449" s="38" t="n">
        <f aca="false">'Inputs &amp; Assumptions'!$C$145</f>
        <v>5</v>
      </c>
      <c r="D449" s="38" t="n">
        <f aca="false">'Inputs &amp; Assumptions'!$D$145</f>
        <v>3</v>
      </c>
      <c r="E449" s="39" t="n">
        <f aca="false">IF(1&gt;'Inputs &amp; Assumptions'!$E$145,0,IF(1='Inputs &amp; Assumptions'!$E$145,E427-E438,IF(('Inputs &amp; Assumptions'!$C$145+1)&gt;'Inputs &amp; Assumptions'!$C$11,'Inputs &amp; Assumptions'!$C$12*(E427-E438),0)))</f>
        <v>1708635.6</v>
      </c>
      <c r="F449" s="39" t="n">
        <f aca="false">IF(2&gt;'Inputs &amp; Assumptions'!$E$145,0,IF(2='Inputs &amp; Assumptions'!$E$145,F427-F438,IF(('Inputs &amp; Assumptions'!$C$145+2)&gt;'Inputs &amp; Assumptions'!$C$11,'Inputs &amp; Assumptions'!$C$12*(F427-F438),0)))</f>
        <v>1533906.51920849</v>
      </c>
      <c r="G449" s="39" t="n">
        <f aca="false">IF(3&gt;'Inputs &amp; Assumptions'!$E$145,0,IF(3='Inputs &amp; Assumptions'!$E$145,G427-G438,IF(('Inputs &amp; Assumptions'!$C$145+3)&gt;'Inputs &amp; Assumptions'!$C$11,'Inputs &amp; Assumptions'!$C$12*(G427-G438),0)))</f>
        <v>1377045.64371146</v>
      </c>
      <c r="H449" s="39" t="n">
        <f aca="false">IF(4&gt;'Inputs &amp; Assumptions'!$E$145,0,IF(4='Inputs &amp; Assumptions'!$E$145,H427-H438,IF(('Inputs &amp; Assumptions'!$C$145+4)&gt;'Inputs &amp; Assumptions'!$C$11,'Inputs &amp; Assumptions'!$C$12*(H427-H438),0)))</f>
        <v>1239257.55171629</v>
      </c>
      <c r="I449" s="39" t="n">
        <f aca="false">IF(5&gt;'Inputs &amp; Assumptions'!$E$145,0,IF(5='Inputs &amp; Assumptions'!$E$145,I427-I438,IF(('Inputs &amp; Assumptions'!$C$145+5)&gt;'Inputs &amp; Assumptions'!$C$11,'Inputs &amp; Assumptions'!$C$12*(I427-I438),0)))</f>
        <v>1115256.62674958</v>
      </c>
      <c r="J449" s="39" t="n">
        <f aca="false">IF(6&gt;'Inputs &amp; Assumptions'!$E$145,0,IF(6='Inputs &amp; Assumptions'!$E$145,J427-J438,IF(('Inputs &amp; Assumptions'!$C$145+6)&gt;'Inputs &amp; Assumptions'!$C$11,'Inputs &amp; Assumptions'!$C$12*(J427-J438),0)))</f>
        <v>1003663.31581864</v>
      </c>
      <c r="K449" s="39" t="n">
        <f aca="false">IF(7&gt;'Inputs &amp; Assumptions'!$E$145,0,IF(7='Inputs &amp; Assumptions'!$E$145,K427-K438,IF(('Inputs &amp; Assumptions'!$C$145+7)&gt;'Inputs &amp; Assumptions'!$C$11,'Inputs &amp; Assumptions'!$C$12*(K427-K438),0)))</f>
        <v>903236.104909736</v>
      </c>
      <c r="L449" s="39" t="n">
        <f aca="false">IF(8&gt;'Inputs &amp; Assumptions'!$E$145,0,IF(8='Inputs &amp; Assumptions'!$E$145,L427-L438,IF(('Inputs &amp; Assumptions'!$C$145+8)&gt;'Inputs &amp; Assumptions'!$C$11,'Inputs &amp; Assumptions'!$C$12*(L427-L438),0)))</f>
        <v>816006.39100417</v>
      </c>
      <c r="M449" s="39" t="n">
        <f aca="false">IF(9&gt;'Inputs &amp; Assumptions'!$E$145,0,IF(9='Inputs &amp; Assumptions'!$E$145,M427-M438,IF(('Inputs &amp; Assumptions'!$C$145+9)&gt;'Inputs &amp; Assumptions'!$C$11,'Inputs &amp; Assumptions'!$C$12*(M427-M438),0)))</f>
        <v>737200.856498306</v>
      </c>
      <c r="N449" s="39" t="n">
        <f aca="false">IF(10&gt;'Inputs &amp; Assumptions'!$E$145,0,IF(10='Inputs &amp; Assumptions'!$E$145,N427-N438,IF(('Inputs &amp; Assumptions'!$C$145+10)&gt;'Inputs &amp; Assumptions'!$C$11,'Inputs &amp; Assumptions'!$C$12*(N427-N438),0)))</f>
        <v>666005.939185173</v>
      </c>
      <c r="O449" s="39" t="n">
        <f aca="false">IF(11&gt;'Inputs &amp; Assumptions'!$E$145,0,IF(11='Inputs &amp; Assumptions'!$E$145,O427-O438,IF(('Inputs &amp; Assumptions'!$C$145+11)&gt;'Inputs &amp; Assumptions'!$C$11,'Inputs &amp; Assumptions'!$C$12*(O427-O438),0)))</f>
        <v>601686.646346081</v>
      </c>
      <c r="P449" s="39" t="n">
        <f aca="false">IF(12&gt;'Inputs &amp; Assumptions'!$E$145,0,IF(12='Inputs &amp; Assumptions'!$E$145,P427-P438,IF(('Inputs &amp; Assumptions'!$C$145+12)&gt;'Inputs &amp; Assumptions'!$C$11,'Inputs &amp; Assumptions'!$C$12*(P427-P438),0)))</f>
        <v>545428.062724812</v>
      </c>
      <c r="Q449" s="39" t="n">
        <f aca="false">IF(13&gt;'Inputs &amp; Assumptions'!$E$145,0,IF(13='Inputs &amp; Assumptions'!$E$145,Q427-Q438,IF(('Inputs &amp; Assumptions'!$C$145+13)&gt;'Inputs &amp; Assumptions'!$C$11,'Inputs &amp; Assumptions'!$C$12*(Q427-Q438),0)))</f>
        <v>494429.739157994</v>
      </c>
      <c r="R449" s="39" t="n">
        <f aca="false">IF(14&gt;'Inputs &amp; Assumptions'!$E$145,0,IF(14='Inputs &amp; Assumptions'!$E$145,R427-R438,IF(('Inputs &amp; Assumptions'!$C$145+14)&gt;'Inputs &amp; Assumptions'!$C$11,'Inputs &amp; Assumptions'!$C$12*(R427-R438),0)))</f>
        <v>448199.833617988</v>
      </c>
      <c r="S449" s="39" t="n">
        <f aca="false">IF(15&gt;'Inputs &amp; Assumptions'!$E$145,0,IF(15='Inputs &amp; Assumptions'!$E$145,S427-S438,IF(('Inputs &amp; Assumptions'!$C$145+15)&gt;'Inputs &amp; Assumptions'!$C$11,'Inputs &amp; Assumptions'!$C$12*(S427-S438),0)))</f>
        <v>406292.492027872</v>
      </c>
      <c r="T449" s="39" t="n">
        <f aca="false">IF(16&gt;'Inputs &amp; Assumptions'!$E$145,0,IF(16='Inputs &amp; Assumptions'!$E$145,T427-T438,IF(('Inputs &amp; Assumptions'!$C$145+16)&gt;'Inputs &amp; Assumptions'!$C$11,'Inputs &amp; Assumptions'!$C$12*(T427-T438),0)))</f>
        <v>369142.16895891</v>
      </c>
      <c r="U449" s="39" t="n">
        <f aca="false">IF(17&gt;'Inputs &amp; Assumptions'!$E$145,0,IF(17='Inputs &amp; Assumptions'!$E$145,U427-U438,IF(('Inputs &amp; Assumptions'!$C$145+17)&gt;'Inputs &amp; Assumptions'!$C$11,'Inputs &amp; Assumptions'!$C$12*(U427-U438),0)))</f>
        <v>335388.774288106</v>
      </c>
      <c r="V449" s="39" t="n">
        <f aca="false">IF(18&gt;'Inputs &amp; Assumptions'!$E$145,0,IF(18='Inputs &amp; Assumptions'!$E$145,V427-V438,IF(('Inputs &amp; Assumptions'!$C$145+18)&gt;'Inputs &amp; Assumptions'!$C$11,'Inputs &amp; Assumptions'!$C$12*(V427-V438),0)))</f>
        <v>304721.701765261</v>
      </c>
      <c r="W449" s="39" t="n">
        <f aca="false">IF(19&gt;'Inputs &amp; Assumptions'!$E$145,0,IF(19='Inputs &amp; Assumptions'!$E$145,W427-W438,IF(('Inputs &amp; Assumptions'!$C$145+19)&gt;'Inputs &amp; Assumptions'!$C$11,'Inputs &amp; Assumptions'!$C$12*(W427-W438),0)))</f>
        <v>276858.746163495</v>
      </c>
      <c r="X449" s="39" t="n">
        <f aca="false">IF(20&gt;'Inputs &amp; Assumptions'!$E$145,0,IF(20='Inputs &amp; Assumptions'!$E$145,X427-X438,IF(('Inputs &amp; Assumptions'!$C$145+20)&gt;'Inputs &amp; Assumptions'!$C$11,'Inputs &amp; Assumptions'!$C$12*(X427-X438),0)))</f>
        <v>252064.168912458</v>
      </c>
      <c r="Y449" s="39" t="n">
        <f aca="false">IF(21&gt;'Inputs &amp; Assumptions'!$E$145,0,IF(21='Inputs &amp; Assumptions'!$E$145,Y427-Y438,IF(('Inputs &amp; Assumptions'!$C$145+21)&gt;'Inputs &amp; Assumptions'!$C$11,'Inputs &amp; Assumptions'!$C$12*(Y427-Y438),0)))</f>
        <v>229490.11411042</v>
      </c>
      <c r="Z449" s="39" t="n">
        <f aca="false">IF(22&gt;'Inputs &amp; Assumptions'!$E$145,0,IF(22='Inputs &amp; Assumptions'!$E$145,Z427-Z438,IF(('Inputs &amp; Assumptions'!$C$145+22)&gt;'Inputs &amp; Assumptions'!$C$11,'Inputs &amp; Assumptions'!$C$12*(Z427-Z438),0)))</f>
        <v>208937.718921503</v>
      </c>
      <c r="AA449" s="39" t="n">
        <f aca="false">IF(23&gt;'Inputs &amp; Assumptions'!$E$145,0,IF(23='Inputs &amp; Assumptions'!$E$145,AA427-AA438,IF(('Inputs &amp; Assumptions'!$C$145+23)&gt;'Inputs &amp; Assumptions'!$C$11,'Inputs &amp; Assumptions'!$C$12*(AA427-AA438),0)))</f>
        <v>6340864.33415551</v>
      </c>
      <c r="AB449" s="39" t="n">
        <f aca="false">IF(24&gt;'Inputs &amp; Assumptions'!$E$145,0,IF(24='Inputs &amp; Assumptions'!$E$145,AB427-AB438,IF(('Inputs &amp; Assumptions'!$C$145+24)&gt;'Inputs &amp; Assumptions'!$C$11,'Inputs &amp; Assumptions'!$C$12*(AB427-AB438),0)))</f>
        <v>0</v>
      </c>
      <c r="AC449" s="39" t="n">
        <f aca="false">IF(25&gt;'Inputs &amp; Assumptions'!$E$145,0,IF(25='Inputs &amp; Assumptions'!$E$145,AC427-AC438,IF(('Inputs &amp; Assumptions'!$C$145+25)&gt;'Inputs &amp; Assumptions'!$C$11,'Inputs &amp; Assumptions'!$C$12*(AC427-AC438),0)))</f>
        <v>0</v>
      </c>
      <c r="AD449" s="39" t="n">
        <f aca="false">IF(26&gt;'Inputs &amp; Assumptions'!$E$145,0,IF(26='Inputs &amp; Assumptions'!$E$145,AD427-AD438,IF(('Inputs &amp; Assumptions'!$C$145+26)&gt;'Inputs &amp; Assumptions'!$C$11,'Inputs &amp; Assumptions'!$C$12*(AD427-AD438),0)))</f>
        <v>0</v>
      </c>
      <c r="AE449" s="39" t="n">
        <f aca="false">IF(27&gt;'Inputs &amp; Assumptions'!$E$145,0,IF(27='Inputs &amp; Assumptions'!$E$145,AE427-AE438,IF(('Inputs &amp; Assumptions'!$C$145+27)&gt;'Inputs &amp; Assumptions'!$C$11,'Inputs &amp; Assumptions'!$C$12*(AE427-AE438),0)))</f>
        <v>0</v>
      </c>
      <c r="AF449" s="39" t="n">
        <f aca="false">IF(28&gt;'Inputs &amp; Assumptions'!$E$145,0,IF(28='Inputs &amp; Assumptions'!$E$145,AF427-AF438,IF(('Inputs &amp; Assumptions'!$C$145+28)&gt;'Inputs &amp; Assumptions'!$C$11,'Inputs &amp; Assumptions'!$C$12*(AF427-AF438),0)))</f>
        <v>0</v>
      </c>
      <c r="AG449" s="39" t="n">
        <f aca="false">IF(29&gt;'Inputs &amp; Assumptions'!$E$145,0,IF(29='Inputs &amp; Assumptions'!$E$145,AG427-AG438,IF(('Inputs &amp; Assumptions'!$C$145+29)&gt;'Inputs &amp; Assumptions'!$C$11,'Inputs &amp; Assumptions'!$C$12*(AG427-AG438),0)))</f>
        <v>0</v>
      </c>
      <c r="AH449" s="39" t="n">
        <f aca="false">IF(30&gt;'Inputs &amp; Assumptions'!$E$145,0,IF(30='Inputs &amp; Assumptions'!$E$145,AH427-AH438,IF(('Inputs &amp; Assumptions'!$C$145+30)&gt;'Inputs &amp; Assumptions'!$C$11,'Inputs &amp; Assumptions'!$C$12*(AH427-AH438),0)))</f>
        <v>0</v>
      </c>
      <c r="AI449" s="39" t="n">
        <f aca="false">IF(31&gt;'Inputs &amp; Assumptions'!$E$145,0,IF(31='Inputs &amp; Assumptions'!$E$145,AI427-AI438,IF(('Inputs &amp; Assumptions'!$C$145+31)&gt;'Inputs &amp; Assumptions'!$C$11,'Inputs &amp; Assumptions'!$C$12*(AI427-AI438),0)))</f>
        <v>0</v>
      </c>
      <c r="AJ449" s="39" t="n">
        <f aca="false">IF(32&gt;'Inputs &amp; Assumptions'!$E$145,0,IF(32='Inputs &amp; Assumptions'!$E$145,AJ427-AJ438,IF(('Inputs &amp; Assumptions'!$C$145+32)&gt;'Inputs &amp; Assumptions'!$C$11,'Inputs &amp; Assumptions'!$C$12*(AJ427-AJ438),0)))</f>
        <v>0</v>
      </c>
      <c r="AK449" s="39" t="n">
        <f aca="false">IF(33&gt;'Inputs &amp; Assumptions'!$E$145,0,IF(33='Inputs &amp; Assumptions'!$E$145,AK427-AK438,IF(('Inputs &amp; Assumptions'!$C$145+33)&gt;'Inputs &amp; Assumptions'!$C$11,'Inputs &amp; Assumptions'!$C$12*(AK427-AK438),0)))</f>
        <v>0</v>
      </c>
      <c r="AL449" s="39" t="n">
        <f aca="false">IF(34&gt;'Inputs &amp; Assumptions'!$E$145,0,IF(34='Inputs &amp; Assumptions'!$E$145,AL427-AL438,IF(('Inputs &amp; Assumptions'!$C$145+34)&gt;'Inputs &amp; Assumptions'!$C$11,'Inputs &amp; Assumptions'!$C$12*(AL427-AL438),0)))</f>
        <v>0</v>
      </c>
      <c r="AM449" s="39" t="n">
        <f aca="false">IF(35&gt;'Inputs &amp; Assumptions'!$E$145,0,IF(35='Inputs &amp; Assumptions'!$E$145,AM427-AM438,IF(('Inputs &amp; Assumptions'!$C$145+35)&gt;'Inputs &amp; Assumptions'!$C$11,'Inputs &amp; Assumptions'!$C$12*(AM427-AM438),0)))</f>
        <v>0</v>
      </c>
      <c r="AN449" s="39" t="n">
        <f aca="false">IF(36&gt;'Inputs &amp; Assumptions'!$E$145,0,IF(36='Inputs &amp; Assumptions'!$E$145,AN427-AN438,IF(('Inputs &amp; Assumptions'!$C$145+36)&gt;'Inputs &amp; Assumptions'!$C$11,'Inputs &amp; Assumptions'!$C$12*(AN427-AN438),0)))</f>
        <v>0</v>
      </c>
    </row>
    <row r="450" customFormat="false" ht="15" hidden="false" customHeight="false" outlineLevel="0" collapsed="false">
      <c r="B450" s="37" t="n">
        <v>7</v>
      </c>
      <c r="C450" s="38" t="n">
        <f aca="false">'Inputs &amp; Assumptions'!$C$146</f>
        <v>6</v>
      </c>
      <c r="D450" s="38" t="n">
        <f aca="false">'Inputs &amp; Assumptions'!$D$146</f>
        <v>3</v>
      </c>
      <c r="E450" s="39" t="n">
        <f aca="false">IF(1&gt;'Inputs &amp; Assumptions'!$E$146,0,IF(1='Inputs &amp; Assumptions'!$E$146,E428-E439,IF(('Inputs &amp; Assumptions'!$C$146+1)&gt;'Inputs &amp; Assumptions'!$C$11,'Inputs &amp; Assumptions'!$C$12*(E428-E439),0)))</f>
        <v>1657376.532</v>
      </c>
      <c r="F450" s="39" t="n">
        <f aca="false">IF(2&gt;'Inputs &amp; Assumptions'!$E$146,0,IF(2='Inputs &amp; Assumptions'!$E$146,F428-F439,IF(('Inputs &amp; Assumptions'!$C$146+2)&gt;'Inputs &amp; Assumptions'!$C$11,'Inputs &amp; Assumptions'!$C$12*(F428-F439),0)))</f>
        <v>1487889.32363224</v>
      </c>
      <c r="G450" s="39" t="n">
        <f aca="false">IF(3&gt;'Inputs &amp; Assumptions'!$E$146,0,IF(3='Inputs &amp; Assumptions'!$E$146,G428-G439,IF(('Inputs &amp; Assumptions'!$C$146+3)&gt;'Inputs &amp; Assumptions'!$C$11,'Inputs &amp; Assumptions'!$C$12*(G428-G439),0)))</f>
        <v>1339010.1401865</v>
      </c>
      <c r="H450" s="39" t="n">
        <f aca="false">IF(4&gt;'Inputs &amp; Assumptions'!$E$146,0,IF(4='Inputs &amp; Assumptions'!$E$146,H428-H439,IF(('Inputs &amp; Assumptions'!$C$146+4)&gt;'Inputs &amp; Assumptions'!$C$11,'Inputs &amp; Assumptions'!$C$12*(H428-H439),0)))</f>
        <v>1205027.90566796</v>
      </c>
      <c r="I450" s="39" t="n">
        <f aca="false">IF(5&gt;'Inputs &amp; Assumptions'!$E$146,0,IF(5='Inputs &amp; Assumptions'!$E$146,I428-I439,IF(('Inputs &amp; Assumptions'!$C$146+5)&gt;'Inputs &amp; Assumptions'!$C$11,'Inputs &amp; Assumptions'!$C$12*(I428-I439),0)))</f>
        <v>1084452.02157787</v>
      </c>
      <c r="J450" s="39" t="n">
        <f aca="false">IF(6&gt;'Inputs &amp; Assumptions'!$E$146,0,IF(6='Inputs &amp; Assumptions'!$E$146,J428-J439,IF(('Inputs &amp; Assumptions'!$C$146+6)&gt;'Inputs &amp; Assumptions'!$C$11,'Inputs &amp; Assumptions'!$C$12*(J428-J439),0)))</f>
        <v>975941.039682752</v>
      </c>
      <c r="K450" s="39" t="n">
        <f aca="false">IF(7&gt;'Inputs &amp; Assumptions'!$E$146,0,IF(7='Inputs &amp; Assumptions'!$E$146,K428-K439,IF(('Inputs &amp; Assumptions'!$C$146+7)&gt;'Inputs &amp; Assumptions'!$C$11,'Inputs &amp; Assumptions'!$C$12*(K428-K439),0)))</f>
        <v>881689.871890103</v>
      </c>
      <c r="L450" s="39" t="n">
        <f aca="false">IF(8&gt;'Inputs &amp; Assumptions'!$E$146,0,IF(8='Inputs &amp; Assumptions'!$E$146,L428-L439,IF(('Inputs &amp; Assumptions'!$C$146+8)&gt;'Inputs &amp; Assumptions'!$C$11,'Inputs &amp; Assumptions'!$C$12*(L428-L439),0)))</f>
        <v>796540.977973718</v>
      </c>
      <c r="M450" s="39" t="n">
        <f aca="false">IF(9&gt;'Inputs &amp; Assumptions'!$E$146,0,IF(9='Inputs &amp; Assumptions'!$E$146,M428-M439,IF(('Inputs &amp; Assumptions'!$C$146+9)&gt;'Inputs &amp; Assumptions'!$C$11,'Inputs &amp; Assumptions'!$C$12*(M428-M439),0)))</f>
        <v>719615.308987478</v>
      </c>
      <c r="N450" s="39" t="n">
        <f aca="false">IF(10&gt;'Inputs &amp; Assumptions'!$E$146,0,IF(10='Inputs &amp; Assumptions'!$E$146,N428-N439,IF(('Inputs &amp; Assumptions'!$C$146+10)&gt;'Inputs &amp; Assumptions'!$C$11,'Inputs &amp; Assumptions'!$C$12*(N428-N439),0)))</f>
        <v>650118.709832691</v>
      </c>
      <c r="O450" s="39" t="n">
        <f aca="false">IF(11&gt;'Inputs &amp; Assumptions'!$E$146,0,IF(11='Inputs &amp; Assumptions'!$E$146,O428-O439,IF(('Inputs &amp; Assumptions'!$C$146+11)&gt;'Inputs &amp; Assumptions'!$C$11,'Inputs &amp; Assumptions'!$C$12*(O428-O439),0)))</f>
        <v>589331.657264739</v>
      </c>
      <c r="P450" s="39" t="n">
        <f aca="false">IF(12&gt;'Inputs &amp; Assumptions'!$E$146,0,IF(12='Inputs &amp; Assumptions'!$E$146,P428-P439,IF(('Inputs &amp; Assumptions'!$C$146+12)&gt;'Inputs &amp; Assumptions'!$C$11,'Inputs &amp; Assumptions'!$C$12*(P428-P439),0)))</f>
        <v>534228.283237357</v>
      </c>
      <c r="Q450" s="39" t="n">
        <f aca="false">IF(13&gt;'Inputs &amp; Assumptions'!$E$146,0,IF(13='Inputs &amp; Assumptions'!$E$146,Q428-Q439,IF(('Inputs &amp; Assumptions'!$C$146+13)&gt;'Inputs &amp; Assumptions'!$C$11,'Inputs &amp; Assumptions'!$C$12*(Q428-Q439),0)))</f>
        <v>484277.155473639</v>
      </c>
      <c r="R450" s="39" t="n">
        <f aca="false">IF(14&gt;'Inputs &amp; Assumptions'!$E$146,0,IF(14='Inputs &amp; Assumptions'!$E$146,R428-R439,IF(('Inputs &amp; Assumptions'!$C$146+14)&gt;'Inputs &amp; Assumptions'!$C$11,'Inputs &amp; Assumptions'!$C$12*(R428-R439),0)))</f>
        <v>438996.531393753</v>
      </c>
      <c r="S450" s="39" t="n">
        <f aca="false">IF(15&gt;'Inputs &amp; Assumptions'!$E$146,0,IF(15='Inputs &amp; Assumptions'!$E$146,S428-S439,IF(('Inputs &amp; Assumptions'!$C$146+15)&gt;'Inputs &amp; Assumptions'!$C$11,'Inputs &amp; Assumptions'!$C$12*(S428-S439),0)))</f>
        <v>398855.836481987</v>
      </c>
      <c r="T450" s="39" t="n">
        <f aca="false">IF(16&gt;'Inputs &amp; Assumptions'!$E$146,0,IF(16='Inputs &amp; Assumptions'!$E$146,T428-T439,IF(('Inputs &amp; Assumptions'!$C$146+16)&gt;'Inputs &amp; Assumptions'!$C$11,'Inputs &amp; Assumptions'!$C$12*(T428-T439),0)))</f>
        <v>362385.501750253</v>
      </c>
      <c r="U450" s="39" t="n">
        <f aca="false">IF(17&gt;'Inputs &amp; Assumptions'!$E$146,0,IF(17='Inputs &amp; Assumptions'!$E$146,U428-U439,IF(('Inputs &amp; Assumptions'!$C$146+17)&gt;'Inputs &amp; Assumptions'!$C$11,'Inputs &amp; Assumptions'!$C$12*(U428-U439),0)))</f>
        <v>329249.919061202</v>
      </c>
      <c r="V450" s="39" t="n">
        <f aca="false">IF(18&gt;'Inputs &amp; Assumptions'!$E$146,0,IF(18='Inputs &amp; Assumptions'!$E$146,V428-V439,IF(('Inputs &amp; Assumptions'!$C$146+18)&gt;'Inputs &amp; Assumptions'!$C$11,'Inputs &amp; Assumptions'!$C$12*(V428-V439),0)))</f>
        <v>299144.167407996</v>
      </c>
      <c r="W450" s="39" t="n">
        <f aca="false">IF(19&gt;'Inputs &amp; Assumptions'!$E$146,0,IF(19='Inputs &amp; Assumptions'!$E$146,W428-W439,IF(('Inputs &amp; Assumptions'!$C$146+19)&gt;'Inputs &amp; Assumptions'!$C$11,'Inputs &amp; Assumptions'!$C$12*(W428-W439),0)))</f>
        <v>272353.779635256</v>
      </c>
      <c r="X450" s="39" t="n">
        <f aca="false">IF(20&gt;'Inputs &amp; Assumptions'!$E$146,0,IF(20='Inputs &amp; Assumptions'!$E$146,X428-X439,IF(('Inputs &amp; Assumptions'!$C$146+20)&gt;'Inputs &amp; Assumptions'!$C$11,'Inputs &amp; Assumptions'!$C$12*(X428-X439),0)))</f>
        <v>247962.652671218</v>
      </c>
      <c r="Y450" s="39" t="n">
        <f aca="false">IF(21&gt;'Inputs &amp; Assumptions'!$E$146,0,IF(21='Inputs &amp; Assumptions'!$E$146,Y428-Y439,IF(('Inputs &amp; Assumptions'!$C$146+21)&gt;'Inputs &amp; Assumptions'!$C$11,'Inputs &amp; Assumptions'!$C$12*(Y428-Y439),0)))</f>
        <v>225755.916448416</v>
      </c>
      <c r="Z450" s="39" t="n">
        <f aca="false">IF(22&gt;'Inputs &amp; Assumptions'!$E$146,0,IF(22='Inputs &amp; Assumptions'!$E$146,Z428-Z439,IF(('Inputs &amp; Assumptions'!$C$146+22)&gt;'Inputs &amp; Assumptions'!$C$11,'Inputs &amp; Assumptions'!$C$12*(Z428-Z439),0)))</f>
        <v>6851264.79901004</v>
      </c>
      <c r="AA450" s="39" t="n">
        <f aca="false">IF(23&gt;'Inputs &amp; Assumptions'!$E$146,0,IF(23='Inputs &amp; Assumptions'!$E$146,AA428-AA439,IF(('Inputs &amp; Assumptions'!$C$146+23)&gt;'Inputs &amp; Assumptions'!$C$11,'Inputs &amp; Assumptions'!$C$12*(AA428-AA439),0)))</f>
        <v>0</v>
      </c>
      <c r="AB450" s="39" t="n">
        <f aca="false">IF(24&gt;'Inputs &amp; Assumptions'!$E$146,0,IF(24='Inputs &amp; Assumptions'!$E$146,AB428-AB439,IF(('Inputs &amp; Assumptions'!$C$146+24)&gt;'Inputs &amp; Assumptions'!$C$11,'Inputs &amp; Assumptions'!$C$12*(AB428-AB439),0)))</f>
        <v>0</v>
      </c>
      <c r="AC450" s="39" t="n">
        <f aca="false">IF(25&gt;'Inputs &amp; Assumptions'!$E$146,0,IF(25='Inputs &amp; Assumptions'!$E$146,AC428-AC439,IF(('Inputs &amp; Assumptions'!$C$146+25)&gt;'Inputs &amp; Assumptions'!$C$11,'Inputs &amp; Assumptions'!$C$12*(AC428-AC439),0)))</f>
        <v>0</v>
      </c>
      <c r="AD450" s="39" t="n">
        <f aca="false">IF(26&gt;'Inputs &amp; Assumptions'!$E$146,0,IF(26='Inputs &amp; Assumptions'!$E$146,AD428-AD439,IF(('Inputs &amp; Assumptions'!$C$146+26)&gt;'Inputs &amp; Assumptions'!$C$11,'Inputs &amp; Assumptions'!$C$12*(AD428-AD439),0)))</f>
        <v>0</v>
      </c>
      <c r="AE450" s="39" t="n">
        <f aca="false">IF(27&gt;'Inputs &amp; Assumptions'!$E$146,0,IF(27='Inputs &amp; Assumptions'!$E$146,AE428-AE439,IF(('Inputs &amp; Assumptions'!$C$146+27)&gt;'Inputs &amp; Assumptions'!$C$11,'Inputs &amp; Assumptions'!$C$12*(AE428-AE439),0)))</f>
        <v>0</v>
      </c>
      <c r="AF450" s="39" t="n">
        <f aca="false">IF(28&gt;'Inputs &amp; Assumptions'!$E$146,0,IF(28='Inputs &amp; Assumptions'!$E$146,AF428-AF439,IF(('Inputs &amp; Assumptions'!$C$146+28)&gt;'Inputs &amp; Assumptions'!$C$11,'Inputs &amp; Assumptions'!$C$12*(AF428-AF439),0)))</f>
        <v>0</v>
      </c>
      <c r="AG450" s="39" t="n">
        <f aca="false">IF(29&gt;'Inputs &amp; Assumptions'!$E$146,0,IF(29='Inputs &amp; Assumptions'!$E$146,AG428-AG439,IF(('Inputs &amp; Assumptions'!$C$146+29)&gt;'Inputs &amp; Assumptions'!$C$11,'Inputs &amp; Assumptions'!$C$12*(AG428-AG439),0)))</f>
        <v>0</v>
      </c>
      <c r="AH450" s="39" t="n">
        <f aca="false">IF(30&gt;'Inputs &amp; Assumptions'!$E$146,0,IF(30='Inputs &amp; Assumptions'!$E$146,AH428-AH439,IF(('Inputs &amp; Assumptions'!$C$146+30)&gt;'Inputs &amp; Assumptions'!$C$11,'Inputs &amp; Assumptions'!$C$12*(AH428-AH439),0)))</f>
        <v>0</v>
      </c>
      <c r="AI450" s="39" t="n">
        <f aca="false">IF(31&gt;'Inputs &amp; Assumptions'!$E$146,0,IF(31='Inputs &amp; Assumptions'!$E$146,AI428-AI439,IF(('Inputs &amp; Assumptions'!$C$146+31)&gt;'Inputs &amp; Assumptions'!$C$11,'Inputs &amp; Assumptions'!$C$12*(AI428-AI439),0)))</f>
        <v>0</v>
      </c>
      <c r="AJ450" s="39" t="n">
        <f aca="false">IF(32&gt;'Inputs &amp; Assumptions'!$E$146,0,IF(32='Inputs &amp; Assumptions'!$E$146,AJ428-AJ439,IF(('Inputs &amp; Assumptions'!$C$146+32)&gt;'Inputs &amp; Assumptions'!$C$11,'Inputs &amp; Assumptions'!$C$12*(AJ428-AJ439),0)))</f>
        <v>0</v>
      </c>
      <c r="AK450" s="39" t="n">
        <f aca="false">IF(33&gt;'Inputs &amp; Assumptions'!$E$146,0,IF(33='Inputs &amp; Assumptions'!$E$146,AK428-AK439,IF(('Inputs &amp; Assumptions'!$C$146+33)&gt;'Inputs &amp; Assumptions'!$C$11,'Inputs &amp; Assumptions'!$C$12*(AK428-AK439),0)))</f>
        <v>0</v>
      </c>
      <c r="AL450" s="39" t="n">
        <f aca="false">IF(34&gt;'Inputs &amp; Assumptions'!$E$146,0,IF(34='Inputs &amp; Assumptions'!$E$146,AL428-AL439,IF(('Inputs &amp; Assumptions'!$C$146+34)&gt;'Inputs &amp; Assumptions'!$C$11,'Inputs &amp; Assumptions'!$C$12*(AL428-AL439),0)))</f>
        <v>0</v>
      </c>
      <c r="AM450" s="39" t="n">
        <f aca="false">IF(35&gt;'Inputs &amp; Assumptions'!$E$146,0,IF(35='Inputs &amp; Assumptions'!$E$146,AM428-AM439,IF(('Inputs &amp; Assumptions'!$C$146+35)&gt;'Inputs &amp; Assumptions'!$C$11,'Inputs &amp; Assumptions'!$C$12*(AM428-AM439),0)))</f>
        <v>0</v>
      </c>
      <c r="AN450" s="39" t="n">
        <f aca="false">IF(36&gt;'Inputs &amp; Assumptions'!$E$146,0,IF(36='Inputs &amp; Assumptions'!$E$146,AN428-AN439,IF(('Inputs &amp; Assumptions'!$C$146+36)&gt;'Inputs &amp; Assumptions'!$C$11,'Inputs &amp; Assumptions'!$C$12*(AN428-AN439),0)))</f>
        <v>0</v>
      </c>
    </row>
    <row r="451" customFormat="false" ht="15" hidden="false" customHeight="false" outlineLevel="0" collapsed="false">
      <c r="B451" s="37" t="n">
        <v>8</v>
      </c>
      <c r="C451" s="38" t="n">
        <f aca="false">'Inputs &amp; Assumptions'!$C$147</f>
        <v>7</v>
      </c>
      <c r="D451" s="38" t="n">
        <f aca="false">'Inputs &amp; Assumptions'!$D$147</f>
        <v>3</v>
      </c>
      <c r="E451" s="39" t="n">
        <f aca="false">IF(1&gt;'Inputs &amp; Assumptions'!$E$147,0,IF(1='Inputs &amp; Assumptions'!$E$147,E429-E440,IF(('Inputs &amp; Assumptions'!$C$147+1)&gt;'Inputs &amp; Assumptions'!$C$11,'Inputs &amp; Assumptions'!$C$12*(E429-E440),0)))</f>
        <v>1607655.23604</v>
      </c>
      <c r="F451" s="39" t="n">
        <f aca="false">IF(2&gt;'Inputs &amp; Assumptions'!$E$147,0,IF(2='Inputs &amp; Assumptions'!$E$147,F429-F440,IF(('Inputs &amp; Assumptions'!$C$147+2)&gt;'Inputs &amp; Assumptions'!$C$11,'Inputs &amp; Assumptions'!$C$12*(F429-F440),0)))</f>
        <v>1446792.19669807</v>
      </c>
      <c r="G451" s="39" t="n">
        <f aca="false">IF(3&gt;'Inputs &amp; Assumptions'!$E$147,0,IF(3='Inputs &amp; Assumptions'!$E$147,G429-G440,IF(('Inputs &amp; Assumptions'!$C$147+3)&gt;'Inputs &amp; Assumptions'!$C$11,'Inputs &amp; Assumptions'!$C$12*(G429-G440),0)))</f>
        <v>1302025.21877914</v>
      </c>
      <c r="H451" s="39" t="n">
        <f aca="false">IF(4&gt;'Inputs &amp; Assumptions'!$E$147,0,IF(4='Inputs &amp; Assumptions'!$E$147,H429-H440,IF(('Inputs &amp; Assumptions'!$C$147+4)&gt;'Inputs &amp; Assumptions'!$C$11,'Inputs &amp; Assumptions'!$C$12*(H429-H440),0)))</f>
        <v>1171743.71980019</v>
      </c>
      <c r="I451" s="39" t="n">
        <f aca="false">IF(5&gt;'Inputs &amp; Assumptions'!$E$147,0,IF(5='Inputs &amp; Assumptions'!$E$147,I429-I440,IF(('Inputs &amp; Assumptions'!$C$147+5)&gt;'Inputs &amp; Assumptions'!$C$11,'Inputs &amp; Assumptions'!$C$12*(I429-I440),0)))</f>
        <v>1054498.27321975</v>
      </c>
      <c r="J451" s="39" t="n">
        <f aca="false">IF(6&gt;'Inputs &amp; Assumptions'!$E$147,0,IF(6='Inputs &amp; Assumptions'!$E$147,J429-J440,IF(('Inputs &amp; Assumptions'!$C$147+6)&gt;'Inputs &amp; Assumptions'!$C$11,'Inputs &amp; Assumptions'!$C$12*(J429-J440),0)))</f>
        <v>952660.467814416</v>
      </c>
      <c r="K451" s="39" t="n">
        <f aca="false">IF(7&gt;'Inputs &amp; Assumptions'!$E$147,0,IF(7='Inputs &amp; Assumptions'!$E$147,K429-K440,IF(('Inputs &amp; Assumptions'!$C$147+7)&gt;'Inputs &amp; Assumptions'!$C$11,'Inputs &amp; Assumptions'!$C$12*(K429-K440),0)))</f>
        <v>860657.613184399</v>
      </c>
      <c r="L451" s="39" t="n">
        <f aca="false">IF(8&gt;'Inputs &amp; Assumptions'!$E$147,0,IF(8='Inputs &amp; Assumptions'!$E$147,L429-L440,IF(('Inputs &amp; Assumptions'!$C$147+8)&gt;'Inputs &amp; Assumptions'!$C$11,'Inputs &amp; Assumptions'!$C$12*(L429-L440),0)))</f>
        <v>777539.902365892</v>
      </c>
      <c r="M451" s="39" t="n">
        <f aca="false">IF(9&gt;'Inputs &amp; Assumptions'!$E$147,0,IF(9='Inputs &amp; Assumptions'!$E$147,M429-M440,IF(('Inputs &amp; Assumptions'!$C$147+9)&gt;'Inputs &amp; Assumptions'!$C$11,'Inputs &amp; Assumptions'!$C$12*(M429-M440),0)))</f>
        <v>702449.255673557</v>
      </c>
      <c r="N451" s="39" t="n">
        <f aca="false">IF(10&gt;'Inputs &amp; Assumptions'!$E$147,0,IF(10='Inputs &amp; Assumptions'!$E$147,N429-N440,IF(('Inputs &amp; Assumptions'!$C$147+10)&gt;'Inputs &amp; Assumptions'!$C$11,'Inputs &amp; Assumptions'!$C$12*(N429-N440),0)))</f>
        <v>636769.220342876</v>
      </c>
      <c r="O451" s="39" t="n">
        <f aca="false">IF(11&gt;'Inputs &amp; Assumptions'!$E$147,0,IF(11='Inputs &amp; Assumptions'!$E$147,O429-O440,IF(('Inputs &amp; Assumptions'!$C$147+11)&gt;'Inputs &amp; Assumptions'!$C$11,'Inputs &amp; Assumptions'!$C$12*(O429-O440),0)))</f>
        <v>577230.364615131</v>
      </c>
      <c r="P451" s="39" t="n">
        <f aca="false">IF(12&gt;'Inputs &amp; Assumptions'!$E$147,0,IF(12='Inputs &amp; Assumptions'!$E$147,P429-P440,IF(('Inputs &amp; Assumptions'!$C$147+12)&gt;'Inputs &amp; Assumptions'!$C$11,'Inputs &amp; Assumptions'!$C$12*(P429-P440),0)))</f>
        <v>523258.479193301</v>
      </c>
      <c r="Q451" s="39" t="n">
        <f aca="false">IF(13&gt;'Inputs &amp; Assumptions'!$E$147,0,IF(13='Inputs &amp; Assumptions'!$E$147,Q429-Q440,IF(('Inputs &amp; Assumptions'!$C$147+13)&gt;'Inputs &amp; Assumptions'!$C$11,'Inputs &amp; Assumptions'!$C$12*(Q429-Q440),0)))</f>
        <v>474333.044191537</v>
      </c>
      <c r="R451" s="39" t="n">
        <f aca="false">IF(14&gt;'Inputs &amp; Assumptions'!$E$147,0,IF(14='Inputs &amp; Assumptions'!$E$147,R429-R440,IF(('Inputs &amp; Assumptions'!$C$147+14)&gt;'Inputs &amp; Assumptions'!$C$11,'Inputs &amp; Assumptions'!$C$12*(R429-R440),0)))</f>
        <v>430961.270949931</v>
      </c>
      <c r="S451" s="39" t="n">
        <f aca="false">IF(15&gt;'Inputs &amp; Assumptions'!$E$147,0,IF(15='Inputs &amp; Assumptions'!$E$147,S429-S440,IF(('Inputs &amp; Assumptions'!$C$147+15)&gt;'Inputs &amp; Assumptions'!$C$11,'Inputs &amp; Assumptions'!$C$12*(S429-S440),0)))</f>
        <v>391555.299241986</v>
      </c>
      <c r="T451" s="39" t="n">
        <f aca="false">IF(16&gt;'Inputs &amp; Assumptions'!$E$147,0,IF(16='Inputs &amp; Assumptions'!$E$147,T429-T440,IF(('Inputs &amp; Assumptions'!$C$147+16)&gt;'Inputs &amp; Assumptions'!$C$11,'Inputs &amp; Assumptions'!$C$12*(T429-T440),0)))</f>
        <v>355752.506545521</v>
      </c>
      <c r="U451" s="39" t="n">
        <f aca="false">IF(17&gt;'Inputs &amp; Assumptions'!$E$147,0,IF(17='Inputs &amp; Assumptions'!$E$147,U429-U440,IF(('Inputs &amp; Assumptions'!$C$147+17)&gt;'Inputs &amp; Assumptions'!$C$11,'Inputs &amp; Assumptions'!$C$12*(U429-U440),0)))</f>
        <v>323223.427593571</v>
      </c>
      <c r="V451" s="39" t="n">
        <f aca="false">IF(18&gt;'Inputs &amp; Assumptions'!$E$147,0,IF(18='Inputs &amp; Assumptions'!$E$147,V429-V440,IF(('Inputs &amp; Assumptions'!$C$147+18)&gt;'Inputs &amp; Assumptions'!$C$11,'Inputs &amp; Assumptions'!$C$12*(V429-V440),0)))</f>
        <v>294276.578863421</v>
      </c>
      <c r="W451" s="39" t="n">
        <f aca="false">IF(19&gt;'Inputs &amp; Assumptions'!$E$147,0,IF(19='Inputs &amp; Assumptions'!$E$147,W429-W440,IF(('Inputs &amp; Assumptions'!$C$147+19)&gt;'Inputs &amp; Assumptions'!$C$11,'Inputs &amp; Assumptions'!$C$12*(W429-W440),0)))</f>
        <v>267922.116637073</v>
      </c>
      <c r="X451" s="39" t="n">
        <f aca="false">IF(20&gt;'Inputs &amp; Assumptions'!$E$147,0,IF(20='Inputs &amp; Assumptions'!$E$147,X429-X440,IF(('Inputs &amp; Assumptions'!$C$147+20)&gt;'Inputs &amp; Assumptions'!$C$11,'Inputs &amp; Assumptions'!$C$12*(X429-X440),0)))</f>
        <v>243927.87513207</v>
      </c>
      <c r="Y451" s="39" t="n">
        <f aca="false">IF(21&gt;'Inputs &amp; Assumptions'!$E$147,0,IF(21='Inputs &amp; Assumptions'!$E$147,Y429-Y440,IF(('Inputs &amp; Assumptions'!$C$147+21)&gt;'Inputs &amp; Assumptions'!$C$11,'Inputs &amp; Assumptions'!$C$12*(Y429-Y440),0)))</f>
        <v>7402749.35284601</v>
      </c>
      <c r="Z451" s="39" t="n">
        <f aca="false">IF(22&gt;'Inputs &amp; Assumptions'!$E$147,0,IF(22='Inputs &amp; Assumptions'!$E$147,Z429-Z440,IF(('Inputs &amp; Assumptions'!$C$147+22)&gt;'Inputs &amp; Assumptions'!$C$11,'Inputs &amp; Assumptions'!$C$12*(Z429-Z440),0)))</f>
        <v>0</v>
      </c>
      <c r="AA451" s="39" t="n">
        <f aca="false">IF(23&gt;'Inputs &amp; Assumptions'!$E$147,0,IF(23='Inputs &amp; Assumptions'!$E$147,AA429-AA440,IF(('Inputs &amp; Assumptions'!$C$147+23)&gt;'Inputs &amp; Assumptions'!$C$11,'Inputs &amp; Assumptions'!$C$12*(AA429-AA440),0)))</f>
        <v>0</v>
      </c>
      <c r="AB451" s="39" t="n">
        <f aca="false">IF(24&gt;'Inputs &amp; Assumptions'!$E$147,0,IF(24='Inputs &amp; Assumptions'!$E$147,AB429-AB440,IF(('Inputs &amp; Assumptions'!$C$147+24)&gt;'Inputs &amp; Assumptions'!$C$11,'Inputs &amp; Assumptions'!$C$12*(AB429-AB440),0)))</f>
        <v>0</v>
      </c>
      <c r="AC451" s="39" t="n">
        <f aca="false">IF(25&gt;'Inputs &amp; Assumptions'!$E$147,0,IF(25='Inputs &amp; Assumptions'!$E$147,AC429-AC440,IF(('Inputs &amp; Assumptions'!$C$147+25)&gt;'Inputs &amp; Assumptions'!$C$11,'Inputs &amp; Assumptions'!$C$12*(AC429-AC440),0)))</f>
        <v>0</v>
      </c>
      <c r="AD451" s="39" t="n">
        <f aca="false">IF(26&gt;'Inputs &amp; Assumptions'!$E$147,0,IF(26='Inputs &amp; Assumptions'!$E$147,AD429-AD440,IF(('Inputs &amp; Assumptions'!$C$147+26)&gt;'Inputs &amp; Assumptions'!$C$11,'Inputs &amp; Assumptions'!$C$12*(AD429-AD440),0)))</f>
        <v>0</v>
      </c>
      <c r="AE451" s="39" t="n">
        <f aca="false">IF(27&gt;'Inputs &amp; Assumptions'!$E$147,0,IF(27='Inputs &amp; Assumptions'!$E$147,AE429-AE440,IF(('Inputs &amp; Assumptions'!$C$147+27)&gt;'Inputs &amp; Assumptions'!$C$11,'Inputs &amp; Assumptions'!$C$12*(AE429-AE440),0)))</f>
        <v>0</v>
      </c>
      <c r="AF451" s="39" t="n">
        <f aca="false">IF(28&gt;'Inputs &amp; Assumptions'!$E$147,0,IF(28='Inputs &amp; Assumptions'!$E$147,AF429-AF440,IF(('Inputs &amp; Assumptions'!$C$147+28)&gt;'Inputs &amp; Assumptions'!$C$11,'Inputs &amp; Assumptions'!$C$12*(AF429-AF440),0)))</f>
        <v>0</v>
      </c>
      <c r="AG451" s="39" t="n">
        <f aca="false">IF(29&gt;'Inputs &amp; Assumptions'!$E$147,0,IF(29='Inputs &amp; Assumptions'!$E$147,AG429-AG440,IF(('Inputs &amp; Assumptions'!$C$147+29)&gt;'Inputs &amp; Assumptions'!$C$11,'Inputs &amp; Assumptions'!$C$12*(AG429-AG440),0)))</f>
        <v>0</v>
      </c>
      <c r="AH451" s="39" t="n">
        <f aca="false">IF(30&gt;'Inputs &amp; Assumptions'!$E$147,0,IF(30='Inputs &amp; Assumptions'!$E$147,AH429-AH440,IF(('Inputs &amp; Assumptions'!$C$147+30)&gt;'Inputs &amp; Assumptions'!$C$11,'Inputs &amp; Assumptions'!$C$12*(AH429-AH440),0)))</f>
        <v>0</v>
      </c>
      <c r="AI451" s="39" t="n">
        <f aca="false">IF(31&gt;'Inputs &amp; Assumptions'!$E$147,0,IF(31='Inputs &amp; Assumptions'!$E$147,AI429-AI440,IF(('Inputs &amp; Assumptions'!$C$147+31)&gt;'Inputs &amp; Assumptions'!$C$11,'Inputs &amp; Assumptions'!$C$12*(AI429-AI440),0)))</f>
        <v>0</v>
      </c>
      <c r="AJ451" s="39" t="n">
        <f aca="false">IF(32&gt;'Inputs &amp; Assumptions'!$E$147,0,IF(32='Inputs &amp; Assumptions'!$E$147,AJ429-AJ440,IF(('Inputs &amp; Assumptions'!$C$147+32)&gt;'Inputs &amp; Assumptions'!$C$11,'Inputs &amp; Assumptions'!$C$12*(AJ429-AJ440),0)))</f>
        <v>0</v>
      </c>
      <c r="AK451" s="39" t="n">
        <f aca="false">IF(33&gt;'Inputs &amp; Assumptions'!$E$147,0,IF(33='Inputs &amp; Assumptions'!$E$147,AK429-AK440,IF(('Inputs &amp; Assumptions'!$C$147+33)&gt;'Inputs &amp; Assumptions'!$C$11,'Inputs &amp; Assumptions'!$C$12*(AK429-AK440),0)))</f>
        <v>0</v>
      </c>
      <c r="AL451" s="39" t="n">
        <f aca="false">IF(34&gt;'Inputs &amp; Assumptions'!$E$147,0,IF(34='Inputs &amp; Assumptions'!$E$147,AL429-AL440,IF(('Inputs &amp; Assumptions'!$C$147+34)&gt;'Inputs &amp; Assumptions'!$C$11,'Inputs &amp; Assumptions'!$C$12*(AL429-AL440),0)))</f>
        <v>0</v>
      </c>
      <c r="AM451" s="39" t="n">
        <f aca="false">IF(35&gt;'Inputs &amp; Assumptions'!$E$147,0,IF(35='Inputs &amp; Assumptions'!$E$147,AM429-AM440,IF(('Inputs &amp; Assumptions'!$C$147+35)&gt;'Inputs &amp; Assumptions'!$C$11,'Inputs &amp; Assumptions'!$C$12*(AM429-AM440),0)))</f>
        <v>0</v>
      </c>
      <c r="AN451" s="39" t="n">
        <f aca="false">IF(36&gt;'Inputs &amp; Assumptions'!$E$147,0,IF(36='Inputs &amp; Assumptions'!$E$147,AN429-AN440,IF(('Inputs &amp; Assumptions'!$C$147+36)&gt;'Inputs &amp; Assumptions'!$C$11,'Inputs &amp; Assumptions'!$C$12*(AN429-AN440),0)))</f>
        <v>0</v>
      </c>
    </row>
    <row r="452" customFormat="false" ht="15" hidden="false" customHeight="false" outlineLevel="0" collapsed="false">
      <c r="B452" s="37" t="n">
        <v>9</v>
      </c>
      <c r="C452" s="38" t="n">
        <f aca="false">'Inputs &amp; Assumptions'!$C$148</f>
        <v>8</v>
      </c>
      <c r="D452" s="38" t="n">
        <f aca="false">'Inputs &amp; Assumptions'!$D$148</f>
        <v>3</v>
      </c>
      <c r="E452" s="39" t="n">
        <f aca="false">IF(1&gt;'Inputs &amp; Assumptions'!$E$148,0,IF(1='Inputs &amp; Assumptions'!$E$148,E430-E441,IF(('Inputs &amp; Assumptions'!$C$148+1)&gt;'Inputs &amp; Assumptions'!$C$11,'Inputs &amp; Assumptions'!$C$12*(E430-E441),0)))</f>
        <v>1563250.043898</v>
      </c>
      <c r="F452" s="39" t="n">
        <f aca="false">IF(2&gt;'Inputs &amp; Assumptions'!$E$148,0,IF(2='Inputs &amp; Assumptions'!$E$148,F430-F441,IF(('Inputs &amp; Assumptions'!$C$148+2)&gt;'Inputs &amp; Assumptions'!$C$11,'Inputs &amp; Assumptions'!$C$12*(F430-F441),0)))</f>
        <v>1406830.21726137</v>
      </c>
      <c r="G452" s="39" t="n">
        <f aca="false">IF(3&gt;'Inputs &amp; Assumptions'!$E$148,0,IF(3='Inputs &amp; Assumptions'!$E$148,G430-G441,IF(('Inputs &amp; Assumptions'!$C$148+3)&gt;'Inputs &amp; Assumptions'!$C$11,'Inputs &amp; Assumptions'!$C$12*(G430-G441),0)))</f>
        <v>1266061.86126473</v>
      </c>
      <c r="H452" s="39" t="n">
        <f aca="false">IF(4&gt;'Inputs &amp; Assumptions'!$E$148,0,IF(4='Inputs &amp; Assumptions'!$E$148,H430-H441,IF(('Inputs &amp; Assumptions'!$C$148+4)&gt;'Inputs &amp; Assumptions'!$C$11,'Inputs &amp; Assumptions'!$C$12*(H430-H441),0)))</f>
        <v>1139378.87947094</v>
      </c>
      <c r="I452" s="39" t="n">
        <f aca="false">IF(5&gt;'Inputs &amp; Assumptions'!$E$148,0,IF(5='Inputs &amp; Assumptions'!$E$148,I430-I441,IF(('Inputs &amp; Assumptions'!$C$148+5)&gt;'Inputs &amp; Assumptions'!$C$11,'Inputs &amp; Assumptions'!$C$12*(I430-I441),0)))</f>
        <v>1029343.75892378</v>
      </c>
      <c r="J452" s="39" t="n">
        <f aca="false">IF(6&gt;'Inputs &amp; Assumptions'!$E$148,0,IF(6='Inputs &amp; Assumptions'!$E$148,J430-J441,IF(('Inputs &amp; Assumptions'!$C$148+6)&gt;'Inputs &amp; Assumptions'!$C$11,'Inputs &amp; Assumptions'!$C$12*(J430-J441),0)))</f>
        <v>929935.242021793</v>
      </c>
      <c r="K452" s="39" t="n">
        <f aca="false">IF(7&gt;'Inputs &amp; Assumptions'!$E$148,0,IF(7='Inputs &amp; Assumptions'!$E$148,K430-K441,IF(('Inputs &amp; Assumptions'!$C$148+7)&gt;'Inputs &amp; Assumptions'!$C$11,'Inputs &amp; Assumptions'!$C$12*(K430-K441),0)))</f>
        <v>840127.068199545</v>
      </c>
      <c r="L452" s="39" t="n">
        <f aca="false">IF(8&gt;'Inputs &amp; Assumptions'!$E$148,0,IF(8='Inputs &amp; Assumptions'!$E$148,L430-L441,IF(('Inputs &amp; Assumptions'!$C$148+8)&gt;'Inputs &amp; Assumptions'!$C$11,'Inputs &amp; Assumptions'!$C$12*(L430-L441),0)))</f>
        <v>758992.087650145</v>
      </c>
      <c r="M452" s="39" t="n">
        <f aca="false">IF(9&gt;'Inputs &amp; Assumptions'!$E$148,0,IF(9='Inputs &amp; Assumptions'!$E$148,M430-M441,IF(('Inputs &amp; Assumptions'!$C$148+9)&gt;'Inputs &amp; Assumptions'!$C$11,'Inputs &amp; Assumptions'!$C$12*(M430-M441),0)))</f>
        <v>688025.214627028</v>
      </c>
      <c r="N452" s="39" t="n">
        <f aca="false">IF(10&gt;'Inputs &amp; Assumptions'!$E$148,0,IF(10='Inputs &amp; Assumptions'!$E$148,N430-N441,IF(('Inputs &amp; Assumptions'!$C$148+10)&gt;'Inputs &amp; Assumptions'!$C$11,'Inputs &amp; Assumptions'!$C$12*(N430-N441),0)))</f>
        <v>623693.848282606</v>
      </c>
      <c r="O452" s="39" t="n">
        <f aca="false">IF(11&gt;'Inputs &amp; Assumptions'!$E$148,0,IF(11='Inputs &amp; Assumptions'!$E$148,O430-O441,IF(('Inputs &amp; Assumptions'!$C$148+11)&gt;'Inputs &amp; Assumptions'!$C$11,'Inputs &amp; Assumptions'!$C$12*(O430-O441),0)))</f>
        <v>565377.559013497</v>
      </c>
      <c r="P452" s="39" t="n">
        <f aca="false">IF(12&gt;'Inputs &amp; Assumptions'!$E$148,0,IF(12='Inputs &amp; Assumptions'!$E$148,P430-P441,IF(('Inputs &amp; Assumptions'!$C$148+12)&gt;'Inputs &amp; Assumptions'!$C$11,'Inputs &amp; Assumptions'!$C$12*(P430-P441),0)))</f>
        <v>512513.928293904</v>
      </c>
      <c r="Q452" s="39" t="n">
        <f aca="false">IF(13&gt;'Inputs &amp; Assumptions'!$E$148,0,IF(13='Inputs &amp; Assumptions'!$E$148,Q430-Q441,IF(('Inputs &amp; Assumptions'!$C$148+13)&gt;'Inputs &amp; Assumptions'!$C$11,'Inputs &amp; Assumptions'!$C$12*(Q430-Q441),0)))</f>
        <v>465650.994848027</v>
      </c>
      <c r="R452" s="39" t="n">
        <f aca="false">IF(14&gt;'Inputs &amp; Assumptions'!$E$148,0,IF(14='Inputs &amp; Assumptions'!$E$148,R430-R441,IF(('Inputs &amp; Assumptions'!$C$148+14)&gt;'Inputs &amp; Assumptions'!$C$11,'Inputs &amp; Assumptions'!$C$12*(R430-R441),0)))</f>
        <v>423073.08549596</v>
      </c>
      <c r="S452" s="39" t="n">
        <f aca="false">IF(15&gt;'Inputs &amp; Assumptions'!$E$148,0,IF(15='Inputs &amp; Assumptions'!$E$148,S430-S441,IF(('Inputs &amp; Assumptions'!$C$148+15)&gt;'Inputs &amp; Assumptions'!$C$11,'Inputs &amp; Assumptions'!$C$12*(S430-S441),0)))</f>
        <v>384388.388839347</v>
      </c>
      <c r="T452" s="39" t="n">
        <f aca="false">IF(16&gt;'Inputs &amp; Assumptions'!$E$148,0,IF(16='Inputs &amp; Assumptions'!$E$148,T430-T441,IF(('Inputs &amp; Assumptions'!$C$148+16)&gt;'Inputs &amp; Assumptions'!$C$11,'Inputs &amp; Assumptions'!$C$12*(T430-T441),0)))</f>
        <v>349240.91968956</v>
      </c>
      <c r="U452" s="39" t="n">
        <f aca="false">IF(17&gt;'Inputs &amp; Assumptions'!$E$148,0,IF(17='Inputs &amp; Assumptions'!$E$148,U430-U441,IF(('Inputs &amp; Assumptions'!$C$148+17)&gt;'Inputs &amp; Assumptions'!$C$11,'Inputs &amp; Assumptions'!$C$12*(U430-U441),0)))</f>
        <v>317964.028197202</v>
      </c>
      <c r="V452" s="39" t="n">
        <f aca="false">IF(18&gt;'Inputs &amp; Assumptions'!$E$148,0,IF(18='Inputs &amp; Assumptions'!$E$148,V430-V441,IF(('Inputs &amp; Assumptions'!$C$148+18)&gt;'Inputs &amp; Assumptions'!$C$11,'Inputs &amp; Assumptions'!$C$12*(V430-V441),0)))</f>
        <v>289488.194330893</v>
      </c>
      <c r="W452" s="39" t="n">
        <f aca="false">IF(19&gt;'Inputs &amp; Assumptions'!$E$148,0,IF(19='Inputs &amp; Assumptions'!$E$148,W430-W441,IF(('Inputs &amp; Assumptions'!$C$148+19)&gt;'Inputs &amp; Assumptions'!$C$11,'Inputs &amp; Assumptions'!$C$12*(W430-W441),0)))</f>
        <v>263562.564394818</v>
      </c>
      <c r="X452" s="39" t="n">
        <f aca="false">IF(20&gt;'Inputs &amp; Assumptions'!$E$148,0,IF(20='Inputs &amp; Assumptions'!$E$148,X430-X441,IF(('Inputs &amp; Assumptions'!$C$148+20)&gt;'Inputs &amp; Assumptions'!$C$11,'Inputs &amp; Assumptions'!$C$12*(X430-X441),0)))</f>
        <v>7998625.01139648</v>
      </c>
      <c r="Y452" s="39" t="n">
        <f aca="false">IF(21&gt;'Inputs &amp; Assumptions'!$E$148,0,IF(21='Inputs &amp; Assumptions'!$E$148,Y430-Y441,IF(('Inputs &amp; Assumptions'!$C$148+21)&gt;'Inputs &amp; Assumptions'!$C$11,'Inputs &amp; Assumptions'!$C$12*(Y430-Y441),0)))</f>
        <v>0</v>
      </c>
      <c r="Z452" s="39" t="n">
        <f aca="false">IF(22&gt;'Inputs &amp; Assumptions'!$E$148,0,IF(22='Inputs &amp; Assumptions'!$E$148,Z430-Z441,IF(('Inputs &amp; Assumptions'!$C$148+22)&gt;'Inputs &amp; Assumptions'!$C$11,'Inputs &amp; Assumptions'!$C$12*(Z430-Z441),0)))</f>
        <v>0</v>
      </c>
      <c r="AA452" s="39" t="n">
        <f aca="false">IF(23&gt;'Inputs &amp; Assumptions'!$E$148,0,IF(23='Inputs &amp; Assumptions'!$E$148,AA430-AA441,IF(('Inputs &amp; Assumptions'!$C$148+23)&gt;'Inputs &amp; Assumptions'!$C$11,'Inputs &amp; Assumptions'!$C$12*(AA430-AA441),0)))</f>
        <v>0</v>
      </c>
      <c r="AB452" s="39" t="n">
        <f aca="false">IF(24&gt;'Inputs &amp; Assumptions'!$E$148,0,IF(24='Inputs &amp; Assumptions'!$E$148,AB430-AB441,IF(('Inputs &amp; Assumptions'!$C$148+24)&gt;'Inputs &amp; Assumptions'!$C$11,'Inputs &amp; Assumptions'!$C$12*(AB430-AB441),0)))</f>
        <v>0</v>
      </c>
      <c r="AC452" s="39" t="n">
        <f aca="false">IF(25&gt;'Inputs &amp; Assumptions'!$E$148,0,IF(25='Inputs &amp; Assumptions'!$E$148,AC430-AC441,IF(('Inputs &amp; Assumptions'!$C$148+25)&gt;'Inputs &amp; Assumptions'!$C$11,'Inputs &amp; Assumptions'!$C$12*(AC430-AC441),0)))</f>
        <v>0</v>
      </c>
      <c r="AD452" s="39" t="n">
        <f aca="false">IF(26&gt;'Inputs &amp; Assumptions'!$E$148,0,IF(26='Inputs &amp; Assumptions'!$E$148,AD430-AD441,IF(('Inputs &amp; Assumptions'!$C$148+26)&gt;'Inputs &amp; Assumptions'!$C$11,'Inputs &amp; Assumptions'!$C$12*(AD430-AD441),0)))</f>
        <v>0</v>
      </c>
      <c r="AE452" s="39" t="n">
        <f aca="false">IF(27&gt;'Inputs &amp; Assumptions'!$E$148,0,IF(27='Inputs &amp; Assumptions'!$E$148,AE430-AE441,IF(('Inputs &amp; Assumptions'!$C$148+27)&gt;'Inputs &amp; Assumptions'!$C$11,'Inputs &amp; Assumptions'!$C$12*(AE430-AE441),0)))</f>
        <v>0</v>
      </c>
      <c r="AF452" s="39" t="n">
        <f aca="false">IF(28&gt;'Inputs &amp; Assumptions'!$E$148,0,IF(28='Inputs &amp; Assumptions'!$E$148,AF430-AF441,IF(('Inputs &amp; Assumptions'!$C$148+28)&gt;'Inputs &amp; Assumptions'!$C$11,'Inputs &amp; Assumptions'!$C$12*(AF430-AF441),0)))</f>
        <v>0</v>
      </c>
      <c r="AG452" s="39" t="n">
        <f aca="false">IF(29&gt;'Inputs &amp; Assumptions'!$E$148,0,IF(29='Inputs &amp; Assumptions'!$E$148,AG430-AG441,IF(('Inputs &amp; Assumptions'!$C$148+29)&gt;'Inputs &amp; Assumptions'!$C$11,'Inputs &amp; Assumptions'!$C$12*(AG430-AG441),0)))</f>
        <v>0</v>
      </c>
      <c r="AH452" s="39" t="n">
        <f aca="false">IF(30&gt;'Inputs &amp; Assumptions'!$E$148,0,IF(30='Inputs &amp; Assumptions'!$E$148,AH430-AH441,IF(('Inputs &amp; Assumptions'!$C$148+30)&gt;'Inputs &amp; Assumptions'!$C$11,'Inputs &amp; Assumptions'!$C$12*(AH430-AH441),0)))</f>
        <v>0</v>
      </c>
      <c r="AI452" s="39" t="n">
        <f aca="false">IF(31&gt;'Inputs &amp; Assumptions'!$E$148,0,IF(31='Inputs &amp; Assumptions'!$E$148,AI430-AI441,IF(('Inputs &amp; Assumptions'!$C$148+31)&gt;'Inputs &amp; Assumptions'!$C$11,'Inputs &amp; Assumptions'!$C$12*(AI430-AI441),0)))</f>
        <v>0</v>
      </c>
      <c r="AJ452" s="39" t="n">
        <f aca="false">IF(32&gt;'Inputs &amp; Assumptions'!$E$148,0,IF(32='Inputs &amp; Assumptions'!$E$148,AJ430-AJ441,IF(('Inputs &amp; Assumptions'!$C$148+32)&gt;'Inputs &amp; Assumptions'!$C$11,'Inputs &amp; Assumptions'!$C$12*(AJ430-AJ441),0)))</f>
        <v>0</v>
      </c>
      <c r="AK452" s="39" t="n">
        <f aca="false">IF(33&gt;'Inputs &amp; Assumptions'!$E$148,0,IF(33='Inputs &amp; Assumptions'!$E$148,AK430-AK441,IF(('Inputs &amp; Assumptions'!$C$148+33)&gt;'Inputs &amp; Assumptions'!$C$11,'Inputs &amp; Assumptions'!$C$12*(AK430-AK441),0)))</f>
        <v>0</v>
      </c>
      <c r="AL452" s="39" t="n">
        <f aca="false">IF(34&gt;'Inputs &amp; Assumptions'!$E$148,0,IF(34='Inputs &amp; Assumptions'!$E$148,AL430-AL441,IF(('Inputs &amp; Assumptions'!$C$148+34)&gt;'Inputs &amp; Assumptions'!$C$11,'Inputs &amp; Assumptions'!$C$12*(AL430-AL441),0)))</f>
        <v>0</v>
      </c>
      <c r="AM452" s="39" t="n">
        <f aca="false">IF(35&gt;'Inputs &amp; Assumptions'!$E$148,0,IF(35='Inputs &amp; Assumptions'!$E$148,AM430-AM441,IF(('Inputs &amp; Assumptions'!$C$148+35)&gt;'Inputs &amp; Assumptions'!$C$11,'Inputs &amp; Assumptions'!$C$12*(AM430-AM441),0)))</f>
        <v>0</v>
      </c>
      <c r="AN452" s="39" t="n">
        <f aca="false">IF(36&gt;'Inputs &amp; Assumptions'!$E$148,0,IF(36='Inputs &amp; Assumptions'!$E$148,AN430-AN441,IF(('Inputs &amp; Assumptions'!$C$148+36)&gt;'Inputs &amp; Assumptions'!$C$11,'Inputs &amp; Assumptions'!$C$12*(AN430-AN441),0)))</f>
        <v>0</v>
      </c>
    </row>
    <row r="453" customFormat="false" ht="15" hidden="false" customHeight="false" outlineLevel="0" collapsed="false">
      <c r="B453" s="37" t="n">
        <v>10</v>
      </c>
      <c r="C453" s="38" t="n">
        <f aca="false">'Inputs &amp; Assumptions'!$C$149</f>
        <v>9</v>
      </c>
      <c r="D453" s="38" t="n">
        <f aca="false">'Inputs &amp; Assumptions'!$D$149</f>
        <v>3</v>
      </c>
      <c r="E453" s="39" t="n">
        <f aca="false">IF(1&gt;'Inputs &amp; Assumptions'!$E$149,0,IF(1='Inputs &amp; Assumptions'!$E$149,E431-E442,IF(('Inputs &amp; Assumptions'!$C$149+1)&gt;'Inputs &amp; Assumptions'!$C$11,'Inputs &amp; Assumptions'!$C$12*(E431-E442),0)))</f>
        <v>1516352.54258106</v>
      </c>
      <c r="F453" s="39" t="n">
        <f aca="false">IF(2&gt;'Inputs &amp; Assumptions'!$E$149,0,IF(2='Inputs &amp; Assumptions'!$E$149,F431-F442,IF(('Inputs &amp; Assumptions'!$C$149+2)&gt;'Inputs &amp; Assumptions'!$C$11,'Inputs &amp; Assumptions'!$C$12*(F431-F442),0)))</f>
        <v>1364625.31074353</v>
      </c>
      <c r="G453" s="39" t="n">
        <f aca="false">IF(3&gt;'Inputs &amp; Assumptions'!$E$149,0,IF(3='Inputs &amp; Assumptions'!$E$149,G431-G442,IF(('Inputs &amp; Assumptions'!$C$149+3)&gt;'Inputs &amp; Assumptions'!$C$11,'Inputs &amp; Assumptions'!$C$12*(G431-G442),0)))</f>
        <v>1228080.00542679</v>
      </c>
      <c r="H453" s="39" t="n">
        <f aca="false">IF(4&gt;'Inputs &amp; Assumptions'!$E$149,0,IF(4='Inputs &amp; Assumptions'!$E$149,H431-H442,IF(('Inputs &amp; Assumptions'!$C$149+4)&gt;'Inputs &amp; Assumptions'!$C$11,'Inputs &amp; Assumptions'!$C$12*(H431-H442),0)))</f>
        <v>1109478.60437094</v>
      </c>
      <c r="I453" s="39" t="n">
        <f aca="false">IF(5&gt;'Inputs &amp; Assumptions'!$E$149,0,IF(5='Inputs &amp; Assumptions'!$E$149,I431-I442,IF(('Inputs &amp; Assumptions'!$C$149+5)&gt;'Inputs &amp; Assumptions'!$C$11,'Inputs &amp; Assumptions'!$C$12*(I431-I442),0)))</f>
        <v>1002331.09253261</v>
      </c>
      <c r="J453" s="39" t="n">
        <f aca="false">IF(6&gt;'Inputs &amp; Assumptions'!$E$149,0,IF(6='Inputs &amp; Assumptions'!$E$149,J431-J442,IF(('Inputs &amp; Assumptions'!$C$149+6)&gt;'Inputs &amp; Assumptions'!$C$11,'Inputs &amp; Assumptions'!$C$12*(J431-J442),0)))</f>
        <v>905531.314528818</v>
      </c>
      <c r="K453" s="39" t="n">
        <f aca="false">IF(7&gt;'Inputs &amp; Assumptions'!$E$149,0,IF(7='Inputs &amp; Assumptions'!$E$149,K431-K442,IF(('Inputs &amp; Assumptions'!$C$149+7)&gt;'Inputs &amp; Assumptions'!$C$11,'Inputs &amp; Assumptions'!$C$12*(K431-K442),0)))</f>
        <v>818079.941549465</v>
      </c>
      <c r="L453" s="39" t="n">
        <f aca="false">IF(8&gt;'Inputs &amp; Assumptions'!$E$149,0,IF(8='Inputs &amp; Assumptions'!$E$149,L431-L442,IF(('Inputs &amp; Assumptions'!$C$149+8)&gt;'Inputs &amp; Assumptions'!$C$11,'Inputs &amp; Assumptions'!$C$12*(L431-L442),0)))</f>
        <v>741588.267552646</v>
      </c>
      <c r="M453" s="39" t="n">
        <f aca="false">IF(9&gt;'Inputs &amp; Assumptions'!$E$149,0,IF(9='Inputs &amp; Assumptions'!$E$149,M431-M442,IF(('Inputs &amp; Assumptions'!$C$149+9)&gt;'Inputs &amp; Assumptions'!$C$11,'Inputs &amp; Assumptions'!$C$12*(M431-M442),0)))</f>
        <v>672248.67722598</v>
      </c>
      <c r="N453" s="39" t="n">
        <f aca="false">IF(10&gt;'Inputs &amp; Assumptions'!$E$149,0,IF(10='Inputs &amp; Assumptions'!$E$149,N431-N442,IF(('Inputs &amp; Assumptions'!$C$149+10)&gt;'Inputs &amp; Assumptions'!$C$11,'Inputs &amp; Assumptions'!$C$12*(N431-N442),0)))</f>
        <v>609392.440259983</v>
      </c>
      <c r="O453" s="39" t="n">
        <f aca="false">IF(11&gt;'Inputs &amp; Assumptions'!$E$149,0,IF(11='Inputs &amp; Assumptions'!$E$149,O431-O442,IF(('Inputs &amp; Assumptions'!$C$149+11)&gt;'Inputs &amp; Assumptions'!$C$11,'Inputs &amp; Assumptions'!$C$12*(O431-O442),0)))</f>
        <v>552413.353609594</v>
      </c>
      <c r="P453" s="39" t="n">
        <f aca="false">IF(12&gt;'Inputs &amp; Assumptions'!$E$149,0,IF(12='Inputs &amp; Assumptions'!$E$149,P431-P442,IF(('Inputs &amp; Assumptions'!$C$149+12)&gt;'Inputs &amp; Assumptions'!$C$11,'Inputs &amp; Assumptions'!$C$12*(P431-P442),0)))</f>
        <v>501902.121044662</v>
      </c>
      <c r="Q453" s="39" t="n">
        <f aca="false">IF(13&gt;'Inputs &amp; Assumptions'!$E$149,0,IF(13='Inputs &amp; Assumptions'!$E$149,Q431-Q442,IF(('Inputs &amp; Assumptions'!$C$149+13)&gt;'Inputs &amp; Assumptions'!$C$11,'Inputs &amp; Assumptions'!$C$12*(Q431-Q442),0)))</f>
        <v>456009.503505159</v>
      </c>
      <c r="R453" s="39" t="n">
        <f aca="false">IF(14&gt;'Inputs &amp; Assumptions'!$E$149,0,IF(14='Inputs &amp; Assumptions'!$E$149,R431-R442,IF(('Inputs &amp; Assumptions'!$C$149+14)&gt;'Inputs &amp; Assumptions'!$C$11,'Inputs &amp; Assumptions'!$C$12*(R431-R442),0)))</f>
        <v>414313.186910238</v>
      </c>
      <c r="S453" s="39" t="n">
        <f aca="false">IF(15&gt;'Inputs &amp; Assumptions'!$E$149,0,IF(15='Inputs &amp; Assumptions'!$E$149,S431-S442,IF(('Inputs &amp; Assumptions'!$C$149+15)&gt;'Inputs &amp; Assumptions'!$C$11,'Inputs &amp; Assumptions'!$C$12*(S431-S442),0)))</f>
        <v>376429.472474306</v>
      </c>
      <c r="T453" s="39" t="n">
        <f aca="false">IF(16&gt;'Inputs &amp; Assumptions'!$E$149,0,IF(16='Inputs &amp; Assumptions'!$E$149,T431-T442,IF(('Inputs &amp; Assumptions'!$C$149+16)&gt;'Inputs &amp; Assumptions'!$C$11,'Inputs &amp; Assumptions'!$C$12*(T431-T442),0)))</f>
        <v>342717.661797682</v>
      </c>
      <c r="U453" s="39" t="n">
        <f aca="false">IF(17&gt;'Inputs &amp; Assumptions'!$E$149,0,IF(17='Inputs &amp; Assumptions'!$E$149,U431-U442,IF(('Inputs &amp; Assumptions'!$C$149+17)&gt;'Inputs &amp; Assumptions'!$C$11,'Inputs &amp; Assumptions'!$C$12*(U431-U442),0)))</f>
        <v>312024.972263796</v>
      </c>
      <c r="V453" s="39" t="n">
        <f aca="false">IF(18&gt;'Inputs &amp; Assumptions'!$E$149,0,IF(18='Inputs &amp; Assumptions'!$E$149,V431-V442,IF(('Inputs &amp; Assumptions'!$C$149+18)&gt;'Inputs &amp; Assumptions'!$C$11,'Inputs &amp; Assumptions'!$C$12*(V431-V442),0)))</f>
        <v>284081.021110891</v>
      </c>
      <c r="W453" s="39" t="n">
        <f aca="false">IF(19&gt;'Inputs &amp; Assumptions'!$E$149,0,IF(19='Inputs &amp; Assumptions'!$E$149,W431-W442,IF(('Inputs &amp; Assumptions'!$C$149+19)&gt;'Inputs &amp; Assumptions'!$C$11,'Inputs &amp; Assumptions'!$C$12*(W431-W442),0)))</f>
        <v>8621321.33953884</v>
      </c>
      <c r="X453" s="39" t="n">
        <f aca="false">IF(20&gt;'Inputs &amp; Assumptions'!$E$149,0,IF(20='Inputs &amp; Assumptions'!$E$149,X431-X442,IF(('Inputs &amp; Assumptions'!$C$149+20)&gt;'Inputs &amp; Assumptions'!$C$11,'Inputs &amp; Assumptions'!$C$12*(X431-X442),0)))</f>
        <v>0</v>
      </c>
      <c r="Y453" s="39" t="n">
        <f aca="false">IF(21&gt;'Inputs &amp; Assumptions'!$E$149,0,IF(21='Inputs &amp; Assumptions'!$E$149,Y431-Y442,IF(('Inputs &amp; Assumptions'!$C$149+21)&gt;'Inputs &amp; Assumptions'!$C$11,'Inputs &amp; Assumptions'!$C$12*(Y431-Y442),0)))</f>
        <v>0</v>
      </c>
      <c r="Z453" s="39" t="n">
        <f aca="false">IF(22&gt;'Inputs &amp; Assumptions'!$E$149,0,IF(22='Inputs &amp; Assumptions'!$E$149,Z431-Z442,IF(('Inputs &amp; Assumptions'!$C$149+22)&gt;'Inputs &amp; Assumptions'!$C$11,'Inputs &amp; Assumptions'!$C$12*(Z431-Z442),0)))</f>
        <v>0</v>
      </c>
      <c r="AA453" s="39" t="n">
        <f aca="false">IF(23&gt;'Inputs &amp; Assumptions'!$E$149,0,IF(23='Inputs &amp; Assumptions'!$E$149,AA431-AA442,IF(('Inputs &amp; Assumptions'!$C$149+23)&gt;'Inputs &amp; Assumptions'!$C$11,'Inputs &amp; Assumptions'!$C$12*(AA431-AA442),0)))</f>
        <v>0</v>
      </c>
      <c r="AB453" s="39" t="n">
        <f aca="false">IF(24&gt;'Inputs &amp; Assumptions'!$E$149,0,IF(24='Inputs &amp; Assumptions'!$E$149,AB431-AB442,IF(('Inputs &amp; Assumptions'!$C$149+24)&gt;'Inputs &amp; Assumptions'!$C$11,'Inputs &amp; Assumptions'!$C$12*(AB431-AB442),0)))</f>
        <v>0</v>
      </c>
      <c r="AC453" s="39" t="n">
        <f aca="false">IF(25&gt;'Inputs &amp; Assumptions'!$E$149,0,IF(25='Inputs &amp; Assumptions'!$E$149,AC431-AC442,IF(('Inputs &amp; Assumptions'!$C$149+25)&gt;'Inputs &amp; Assumptions'!$C$11,'Inputs &amp; Assumptions'!$C$12*(AC431-AC442),0)))</f>
        <v>0</v>
      </c>
      <c r="AD453" s="39" t="n">
        <f aca="false">IF(26&gt;'Inputs &amp; Assumptions'!$E$149,0,IF(26='Inputs &amp; Assumptions'!$E$149,AD431-AD442,IF(('Inputs &amp; Assumptions'!$C$149+26)&gt;'Inputs &amp; Assumptions'!$C$11,'Inputs &amp; Assumptions'!$C$12*(AD431-AD442),0)))</f>
        <v>0</v>
      </c>
      <c r="AE453" s="39" t="n">
        <f aca="false">IF(27&gt;'Inputs &amp; Assumptions'!$E$149,0,IF(27='Inputs &amp; Assumptions'!$E$149,AE431-AE442,IF(('Inputs &amp; Assumptions'!$C$149+27)&gt;'Inputs &amp; Assumptions'!$C$11,'Inputs &amp; Assumptions'!$C$12*(AE431-AE442),0)))</f>
        <v>0</v>
      </c>
      <c r="AF453" s="39" t="n">
        <f aca="false">IF(28&gt;'Inputs &amp; Assumptions'!$E$149,0,IF(28='Inputs &amp; Assumptions'!$E$149,AF431-AF442,IF(('Inputs &amp; Assumptions'!$C$149+28)&gt;'Inputs &amp; Assumptions'!$C$11,'Inputs &amp; Assumptions'!$C$12*(AF431-AF442),0)))</f>
        <v>0</v>
      </c>
      <c r="AG453" s="39" t="n">
        <f aca="false">IF(29&gt;'Inputs &amp; Assumptions'!$E$149,0,IF(29='Inputs &amp; Assumptions'!$E$149,AG431-AG442,IF(('Inputs &amp; Assumptions'!$C$149+29)&gt;'Inputs &amp; Assumptions'!$C$11,'Inputs &amp; Assumptions'!$C$12*(AG431-AG442),0)))</f>
        <v>0</v>
      </c>
      <c r="AH453" s="39" t="n">
        <f aca="false">IF(30&gt;'Inputs &amp; Assumptions'!$E$149,0,IF(30='Inputs &amp; Assumptions'!$E$149,AH431-AH442,IF(('Inputs &amp; Assumptions'!$C$149+30)&gt;'Inputs &amp; Assumptions'!$C$11,'Inputs &amp; Assumptions'!$C$12*(AH431-AH442),0)))</f>
        <v>0</v>
      </c>
      <c r="AI453" s="39" t="n">
        <f aca="false">IF(31&gt;'Inputs &amp; Assumptions'!$E$149,0,IF(31='Inputs &amp; Assumptions'!$E$149,AI431-AI442,IF(('Inputs &amp; Assumptions'!$C$149+31)&gt;'Inputs &amp; Assumptions'!$C$11,'Inputs &amp; Assumptions'!$C$12*(AI431-AI442),0)))</f>
        <v>0</v>
      </c>
      <c r="AJ453" s="39" t="n">
        <f aca="false">IF(32&gt;'Inputs &amp; Assumptions'!$E$149,0,IF(32='Inputs &amp; Assumptions'!$E$149,AJ431-AJ442,IF(('Inputs &amp; Assumptions'!$C$149+32)&gt;'Inputs &amp; Assumptions'!$C$11,'Inputs &amp; Assumptions'!$C$12*(AJ431-AJ442),0)))</f>
        <v>0</v>
      </c>
      <c r="AK453" s="39" t="n">
        <f aca="false">IF(33&gt;'Inputs &amp; Assumptions'!$E$149,0,IF(33='Inputs &amp; Assumptions'!$E$149,AK431-AK442,IF(('Inputs &amp; Assumptions'!$C$149+33)&gt;'Inputs &amp; Assumptions'!$C$11,'Inputs &amp; Assumptions'!$C$12*(AK431-AK442),0)))</f>
        <v>0</v>
      </c>
      <c r="AL453" s="39" t="n">
        <f aca="false">IF(34&gt;'Inputs &amp; Assumptions'!$E$149,0,IF(34='Inputs &amp; Assumptions'!$E$149,AL431-AL442,IF(('Inputs &amp; Assumptions'!$C$149+34)&gt;'Inputs &amp; Assumptions'!$C$11,'Inputs &amp; Assumptions'!$C$12*(AL431-AL442),0)))</f>
        <v>0</v>
      </c>
      <c r="AM453" s="39" t="n">
        <f aca="false">IF(35&gt;'Inputs &amp; Assumptions'!$E$149,0,IF(35='Inputs &amp; Assumptions'!$E$149,AM431-AM442,IF(('Inputs &amp; Assumptions'!$C$149+35)&gt;'Inputs &amp; Assumptions'!$C$11,'Inputs &amp; Assumptions'!$C$12*(AM431-AM442),0)))</f>
        <v>0</v>
      </c>
      <c r="AN453" s="39" t="n">
        <f aca="false">IF(36&gt;'Inputs &amp; Assumptions'!$E$149,0,IF(36='Inputs &amp; Assumptions'!$E$149,AN431-AN442,IF(('Inputs &amp; Assumptions'!$C$149+36)&gt;'Inputs &amp; Assumptions'!$C$11,'Inputs &amp; Assumptions'!$C$12*(AN431-AN442),0)))</f>
        <v>0</v>
      </c>
    </row>
    <row r="454" customFormat="false" ht="15" hidden="false" customHeight="false" outlineLevel="0" collapsed="false">
      <c r="B454" s="37" t="n">
        <v>11</v>
      </c>
      <c r="C454" s="38" t="n">
        <f aca="false">'Inputs &amp; Assumptions'!$C$150</f>
        <v>10</v>
      </c>
      <c r="D454" s="38" t="n">
        <f aca="false">'Inputs &amp; Assumptions'!$D$150</f>
        <v>2</v>
      </c>
      <c r="E454" s="39" t="n">
        <f aca="false">IF(1&gt;'Inputs &amp; Assumptions'!$E$150,0,IF(1='Inputs &amp; Assumptions'!$E$150,E432-E443,IF(('Inputs &amp; Assumptions'!$C$150+1)&gt;'Inputs &amp; Assumptions'!$C$11,'Inputs &amp; Assumptions'!$C$12*(E432-E443),0)))</f>
        <v>980574.644202419</v>
      </c>
      <c r="F454" s="39" t="n">
        <f aca="false">IF(2&gt;'Inputs &amp; Assumptions'!$E$150,0,IF(2='Inputs &amp; Assumptions'!$E$150,F432-F443,IF(('Inputs &amp; Assumptions'!$C$150+2)&gt;'Inputs &amp; Assumptions'!$C$11,'Inputs &amp; Assumptions'!$C$12*(F432-F443),0)))</f>
        <v>882457.700947483</v>
      </c>
      <c r="G454" s="39" t="n">
        <f aca="false">IF(3&gt;'Inputs &amp; Assumptions'!$E$150,0,IF(3='Inputs &amp; Assumptions'!$E$150,G432-G443,IF(('Inputs &amp; Assumptions'!$C$150+3)&gt;'Inputs &amp; Assumptions'!$C$11,'Inputs &amp; Assumptions'!$C$12*(G432-G443),0)))</f>
        <v>797234.654205895</v>
      </c>
      <c r="H454" s="39" t="n">
        <f aca="false">IF(4&gt;'Inputs &amp; Assumptions'!$E$150,0,IF(4='Inputs &amp; Assumptions'!$E$150,H432-H443,IF(('Inputs &amp; Assumptions'!$C$150+4)&gt;'Inputs &amp; Assumptions'!$C$11,'Inputs &amp; Assumptions'!$C$12*(H432-H443),0)))</f>
        <v>720241.993677857</v>
      </c>
      <c r="I454" s="39" t="n">
        <f aca="false">IF(5&gt;'Inputs &amp; Assumptions'!$E$150,0,IF(5='Inputs &amp; Assumptions'!$E$150,I432-I443,IF(('Inputs &amp; Assumptions'!$C$150+5)&gt;'Inputs &amp; Assumptions'!$C$11,'Inputs &amp; Assumptions'!$C$12*(I432-I443),0)))</f>
        <v>650684.872666212</v>
      </c>
      <c r="J454" s="39" t="n">
        <f aca="false">IF(6&gt;'Inputs &amp; Assumptions'!$E$150,0,IF(6='Inputs &amp; Assumptions'!$E$150,J432-J443,IF(('Inputs &amp; Assumptions'!$C$150+6)&gt;'Inputs &amp; Assumptions'!$C$11,'Inputs &amp; Assumptions'!$C$12*(J432-J443),0)))</f>
        <v>587845.206518206</v>
      </c>
      <c r="K454" s="39" t="n">
        <f aca="false">IF(7&gt;'Inputs &amp; Assumptions'!$E$150,0,IF(7='Inputs &amp; Assumptions'!$E$150,K432-K443,IF(('Inputs &amp; Assumptions'!$C$150+7)&gt;'Inputs &amp; Assumptions'!$C$11,'Inputs &amp; Assumptions'!$C$12*(K432-K443),0)))</f>
        <v>532880.817815046</v>
      </c>
      <c r="L454" s="39" t="n">
        <f aca="false">IF(8&gt;'Inputs &amp; Assumptions'!$E$150,0,IF(8='Inputs &amp; Assumptions'!$E$150,L432-L443,IF(('Inputs &amp; Assumptions'!$C$150+8)&gt;'Inputs &amp; Assumptions'!$C$11,'Inputs &amp; Assumptions'!$C$12*(L432-L443),0)))</f>
        <v>483055.680043957</v>
      </c>
      <c r="M454" s="39" t="n">
        <f aca="false">IF(9&gt;'Inputs &amp; Assumptions'!$E$150,0,IF(9='Inputs &amp; Assumptions'!$E$150,M432-M443,IF(('Inputs &amp; Assumptions'!$C$150+9)&gt;'Inputs &amp; Assumptions'!$C$11,'Inputs &amp; Assumptions'!$C$12*(M432-M443),0)))</f>
        <v>437889.265707664</v>
      </c>
      <c r="N454" s="39" t="n">
        <f aca="false">IF(10&gt;'Inputs &amp; Assumptions'!$E$150,0,IF(10='Inputs &amp; Assumptions'!$E$150,N432-N443,IF(('Inputs &amp; Assumptions'!$C$150+10)&gt;'Inputs &amp; Assumptions'!$C$11,'Inputs &amp; Assumptions'!$C$12*(N432-N443),0)))</f>
        <v>396945.977334431</v>
      </c>
      <c r="O454" s="39" t="n">
        <f aca="false">IF(11&gt;'Inputs &amp; Assumptions'!$E$150,0,IF(11='Inputs &amp; Assumptions'!$E$150,O432-O443,IF(('Inputs &amp; Assumptions'!$C$150+11)&gt;'Inputs &amp; Assumptions'!$C$11,'Inputs &amp; Assumptions'!$C$12*(O432-O443),0)))</f>
        <v>360650.275129116</v>
      </c>
      <c r="P454" s="39" t="n">
        <f aca="false">IF(12&gt;'Inputs &amp; Assumptions'!$E$150,0,IF(12='Inputs &amp; Assumptions'!$E$150,P432-P443,IF(('Inputs &amp; Assumptions'!$C$150+12)&gt;'Inputs &amp; Assumptions'!$C$11,'Inputs &amp; Assumptions'!$C$12*(P432-P443),0)))</f>
        <v>327673.35702491</v>
      </c>
      <c r="Q454" s="39" t="n">
        <f aca="false">IF(13&gt;'Inputs &amp; Assumptions'!$E$150,0,IF(13='Inputs &amp; Assumptions'!$E$150,Q432-Q443,IF(('Inputs &amp; Assumptions'!$C$150+13)&gt;'Inputs &amp; Assumptions'!$C$11,'Inputs &amp; Assumptions'!$C$12*(Q432-Q443),0)))</f>
        <v>297711.762081797</v>
      </c>
      <c r="R454" s="39" t="n">
        <f aca="false">IF(14&gt;'Inputs &amp; Assumptions'!$E$150,0,IF(14='Inputs &amp; Assumptions'!$E$150,R432-R443,IF(('Inputs &amp; Assumptions'!$C$150+14)&gt;'Inputs &amp; Assumptions'!$C$11,'Inputs &amp; Assumptions'!$C$12*(R432-R443),0)))</f>
        <v>270489.777034606</v>
      </c>
      <c r="S454" s="39" t="n">
        <f aca="false">IF(15&gt;'Inputs &amp; Assumptions'!$E$150,0,IF(15='Inputs &amp; Assumptions'!$E$150,S432-S443,IF(('Inputs &amp; Assumptions'!$C$150+15)&gt;'Inputs &amp; Assumptions'!$C$11,'Inputs &amp; Assumptions'!$C$12*(S432-S443),0)))</f>
        <v>246265.584137555</v>
      </c>
      <c r="T454" s="39" t="n">
        <f aca="false">IF(16&gt;'Inputs &amp; Assumptions'!$E$150,0,IF(16='Inputs &amp; Assumptions'!$E$150,T432-T443,IF(('Inputs &amp; Assumptions'!$C$150+16)&gt;'Inputs &amp; Assumptions'!$C$11,'Inputs &amp; Assumptions'!$C$12*(T432-T443),0)))</f>
        <v>224210.831904571</v>
      </c>
      <c r="U454" s="39" t="n">
        <f aca="false">IF(17&gt;'Inputs &amp; Assumptions'!$E$150,0,IF(17='Inputs &amp; Assumptions'!$E$150,U432-U443,IF(('Inputs &amp; Assumptions'!$C$150+17)&gt;'Inputs &amp; Assumptions'!$C$11,'Inputs &amp; Assumptions'!$C$12*(U432-U443),0)))</f>
        <v>204131.232219849</v>
      </c>
      <c r="V454" s="39" t="n">
        <f aca="false">IF(18&gt;'Inputs &amp; Assumptions'!$E$150,0,IF(18='Inputs &amp; Assumptions'!$E$150,V432-V443,IF(('Inputs &amp; Assumptions'!$C$150+18)&gt;'Inputs &amp; Assumptions'!$C$11,'Inputs &amp; Assumptions'!$C$12*(V432-V443),0)))</f>
        <v>6194996.5595075</v>
      </c>
      <c r="W454" s="39" t="n">
        <f aca="false">IF(19&gt;'Inputs &amp; Assumptions'!$E$150,0,IF(19='Inputs &amp; Assumptions'!$E$150,W432-W443,IF(('Inputs &amp; Assumptions'!$C$150+19)&gt;'Inputs &amp; Assumptions'!$C$11,'Inputs &amp; Assumptions'!$C$12*(W432-W443),0)))</f>
        <v>0</v>
      </c>
      <c r="X454" s="39" t="n">
        <f aca="false">IF(20&gt;'Inputs &amp; Assumptions'!$E$150,0,IF(20='Inputs &amp; Assumptions'!$E$150,X432-X443,IF(('Inputs &amp; Assumptions'!$C$150+20)&gt;'Inputs &amp; Assumptions'!$C$11,'Inputs &amp; Assumptions'!$C$12*(X432-X443),0)))</f>
        <v>0</v>
      </c>
      <c r="Y454" s="39" t="n">
        <f aca="false">IF(21&gt;'Inputs &amp; Assumptions'!$E$150,0,IF(21='Inputs &amp; Assumptions'!$E$150,Y432-Y443,IF(('Inputs &amp; Assumptions'!$C$150+21)&gt;'Inputs &amp; Assumptions'!$C$11,'Inputs &amp; Assumptions'!$C$12*(Y432-Y443),0)))</f>
        <v>0</v>
      </c>
      <c r="Z454" s="39" t="n">
        <f aca="false">IF(22&gt;'Inputs &amp; Assumptions'!$E$150,0,IF(22='Inputs &amp; Assumptions'!$E$150,Z432-Z443,IF(('Inputs &amp; Assumptions'!$C$150+22)&gt;'Inputs &amp; Assumptions'!$C$11,'Inputs &amp; Assumptions'!$C$12*(Z432-Z443),0)))</f>
        <v>0</v>
      </c>
      <c r="AA454" s="39" t="n">
        <f aca="false">IF(23&gt;'Inputs &amp; Assumptions'!$E$150,0,IF(23='Inputs &amp; Assumptions'!$E$150,AA432-AA443,IF(('Inputs &amp; Assumptions'!$C$150+23)&gt;'Inputs &amp; Assumptions'!$C$11,'Inputs &amp; Assumptions'!$C$12*(AA432-AA443),0)))</f>
        <v>0</v>
      </c>
      <c r="AB454" s="39" t="n">
        <f aca="false">IF(24&gt;'Inputs &amp; Assumptions'!$E$150,0,IF(24='Inputs &amp; Assumptions'!$E$150,AB432-AB443,IF(('Inputs &amp; Assumptions'!$C$150+24)&gt;'Inputs &amp; Assumptions'!$C$11,'Inputs &amp; Assumptions'!$C$12*(AB432-AB443),0)))</f>
        <v>0</v>
      </c>
      <c r="AC454" s="39" t="n">
        <f aca="false">IF(25&gt;'Inputs &amp; Assumptions'!$E$150,0,IF(25='Inputs &amp; Assumptions'!$E$150,AC432-AC443,IF(('Inputs &amp; Assumptions'!$C$150+25)&gt;'Inputs &amp; Assumptions'!$C$11,'Inputs &amp; Assumptions'!$C$12*(AC432-AC443),0)))</f>
        <v>0</v>
      </c>
      <c r="AD454" s="39" t="n">
        <f aca="false">IF(26&gt;'Inputs &amp; Assumptions'!$E$150,0,IF(26='Inputs &amp; Assumptions'!$E$150,AD432-AD443,IF(('Inputs &amp; Assumptions'!$C$150+26)&gt;'Inputs &amp; Assumptions'!$C$11,'Inputs &amp; Assumptions'!$C$12*(AD432-AD443),0)))</f>
        <v>0</v>
      </c>
      <c r="AE454" s="39" t="n">
        <f aca="false">IF(27&gt;'Inputs &amp; Assumptions'!$E$150,0,IF(27='Inputs &amp; Assumptions'!$E$150,AE432-AE443,IF(('Inputs &amp; Assumptions'!$C$150+27)&gt;'Inputs &amp; Assumptions'!$C$11,'Inputs &amp; Assumptions'!$C$12*(AE432-AE443),0)))</f>
        <v>0</v>
      </c>
      <c r="AF454" s="39" t="n">
        <f aca="false">IF(28&gt;'Inputs &amp; Assumptions'!$E$150,0,IF(28='Inputs &amp; Assumptions'!$E$150,AF432-AF443,IF(('Inputs &amp; Assumptions'!$C$150+28)&gt;'Inputs &amp; Assumptions'!$C$11,'Inputs &amp; Assumptions'!$C$12*(AF432-AF443),0)))</f>
        <v>0</v>
      </c>
      <c r="AG454" s="39" t="n">
        <f aca="false">IF(29&gt;'Inputs &amp; Assumptions'!$E$150,0,IF(29='Inputs &amp; Assumptions'!$E$150,AG432-AG443,IF(('Inputs &amp; Assumptions'!$C$150+29)&gt;'Inputs &amp; Assumptions'!$C$11,'Inputs &amp; Assumptions'!$C$12*(AG432-AG443),0)))</f>
        <v>0</v>
      </c>
      <c r="AH454" s="39" t="n">
        <f aca="false">IF(30&gt;'Inputs &amp; Assumptions'!$E$150,0,IF(30='Inputs &amp; Assumptions'!$E$150,AH432-AH443,IF(('Inputs &amp; Assumptions'!$C$150+30)&gt;'Inputs &amp; Assumptions'!$C$11,'Inputs &amp; Assumptions'!$C$12*(AH432-AH443),0)))</f>
        <v>0</v>
      </c>
      <c r="AI454" s="39" t="n">
        <f aca="false">IF(31&gt;'Inputs &amp; Assumptions'!$E$150,0,IF(31='Inputs &amp; Assumptions'!$E$150,AI432-AI443,IF(('Inputs &amp; Assumptions'!$C$150+31)&gt;'Inputs &amp; Assumptions'!$C$11,'Inputs &amp; Assumptions'!$C$12*(AI432-AI443),0)))</f>
        <v>0</v>
      </c>
      <c r="AJ454" s="39" t="n">
        <f aca="false">IF(32&gt;'Inputs &amp; Assumptions'!$E$150,0,IF(32='Inputs &amp; Assumptions'!$E$150,AJ432-AJ443,IF(('Inputs &amp; Assumptions'!$C$150+32)&gt;'Inputs &amp; Assumptions'!$C$11,'Inputs &amp; Assumptions'!$C$12*(AJ432-AJ443),0)))</f>
        <v>0</v>
      </c>
      <c r="AK454" s="39" t="n">
        <f aca="false">IF(33&gt;'Inputs &amp; Assumptions'!$E$150,0,IF(33='Inputs &amp; Assumptions'!$E$150,AK432-AK443,IF(('Inputs &amp; Assumptions'!$C$150+33)&gt;'Inputs &amp; Assumptions'!$C$11,'Inputs &amp; Assumptions'!$C$12*(AK432-AK443),0)))</f>
        <v>0</v>
      </c>
      <c r="AL454" s="39" t="n">
        <f aca="false">IF(34&gt;'Inputs &amp; Assumptions'!$E$150,0,IF(34='Inputs &amp; Assumptions'!$E$150,AL432-AL443,IF(('Inputs &amp; Assumptions'!$C$150+34)&gt;'Inputs &amp; Assumptions'!$C$11,'Inputs &amp; Assumptions'!$C$12*(AL432-AL443),0)))</f>
        <v>0</v>
      </c>
      <c r="AM454" s="39" t="n">
        <f aca="false">IF(35&gt;'Inputs &amp; Assumptions'!$E$150,0,IF(35='Inputs &amp; Assumptions'!$E$150,AM432-AM443,IF(('Inputs &amp; Assumptions'!$C$150+35)&gt;'Inputs &amp; Assumptions'!$C$11,'Inputs &amp; Assumptions'!$C$12*(AM432-AM443),0)))</f>
        <v>0</v>
      </c>
      <c r="AN454" s="39" t="n">
        <f aca="false">IF(36&gt;'Inputs &amp; Assumptions'!$E$150,0,IF(36='Inputs &amp; Assumptions'!$E$150,AN432-AN443,IF(('Inputs &amp; Assumptions'!$C$150+36)&gt;'Inputs &amp; Assumptions'!$C$11,'Inputs &amp; Assumptions'!$C$12*(AN432-AN443),0)))</f>
        <v>0</v>
      </c>
    </row>
    <row r="455" customFormat="false" ht="15" hidden="false" customHeight="false" outlineLevel="0" collapsed="false">
      <c r="A455" s="14" t="s">
        <v>129</v>
      </c>
      <c r="B455" s="37" t="n">
        <v>1</v>
      </c>
      <c r="C455" s="38" t="n">
        <f aca="false">'Inputs &amp; Assumptions'!$C$140</f>
        <v>0</v>
      </c>
      <c r="D455" s="38" t="n">
        <f aca="false">'Inputs &amp; Assumptions'!$D$140</f>
        <v>1</v>
      </c>
      <c r="E455" s="39" t="n">
        <f aca="false">IF(1&gt;='Inputs &amp; Assumptions'!$E$140,0,'Inputs &amp; Assumptions'!$G$61*MAX(E422-E433-E444,0))</f>
        <v>1067913.65159949</v>
      </c>
      <c r="F455" s="39" t="n">
        <f aca="false">IF(2&gt;='Inputs &amp; Assumptions'!$E$140,0,'Inputs &amp; Assumptions'!$G$61*MAX(F422-F433-F444,0))</f>
        <v>993911.846175433</v>
      </c>
      <c r="G455" s="39" t="n">
        <f aca="false">IF(3&gt;='Inputs &amp; Assumptions'!$E$140,0,'Inputs &amp; Assumptions'!$G$61*MAX(G422-G433-G444,0))</f>
        <v>925038.046370384</v>
      </c>
      <c r="H455" s="39" t="n">
        <f aca="false">IF(4&gt;='Inputs &amp; Assumptions'!$E$140,0,'Inputs &amp; Assumptions'!$G$61*MAX(H422-H433-H444,0))</f>
        <v>860936.903534702</v>
      </c>
      <c r="I455" s="39" t="n">
        <f aca="false">IF(5&gt;='Inputs &amp; Assumptions'!$E$140,0,'Inputs &amp; Assumptions'!$G$61*MAX(I422-I433-I444,0))</f>
        <v>772895.478099046</v>
      </c>
      <c r="J455" s="39" t="n">
        <f aca="false">IF(6&gt;='Inputs &amp; Assumptions'!$E$140,0,'Inputs &amp; Assumptions'!$G$61*MAX(J422-J433-J444,0))</f>
        <v>693857.375161146</v>
      </c>
      <c r="K455" s="39" t="n">
        <f aca="false">IF(7&gt;='Inputs &amp; Assumptions'!$E$140,0,'Inputs &amp; Assumptions'!$G$61*MAX(K422-K433-K444,0))</f>
        <v>622901.893862316</v>
      </c>
      <c r="L455" s="39" t="n">
        <f aca="false">IF(8&gt;='Inputs &amp; Assumptions'!$E$140,0,'Inputs &amp; Assumptions'!$G$61*MAX(L422-L433-L444,0))</f>
        <v>559202.486371419</v>
      </c>
      <c r="M455" s="39" t="n">
        <f aca="false">IF(9&gt;='Inputs &amp; Assumptions'!$E$140,0,'Inputs &amp; Assumptions'!$G$61*MAX(M422-M433-M444,0))</f>
        <v>503248.318121483</v>
      </c>
      <c r="N455" s="39" t="n">
        <f aca="false">IF(10&gt;='Inputs &amp; Assumptions'!$E$140,0,'Inputs &amp; Assumptions'!$G$61*MAX(N422-N433-N444,0))</f>
        <v>452892.960715286</v>
      </c>
      <c r="O455" s="39" t="n">
        <f aca="false">IF(11&gt;='Inputs &amp; Assumptions'!$E$140,0,'Inputs &amp; Assumptions'!$G$61*MAX(O422-O433-O444,0))</f>
        <v>407576.193460708</v>
      </c>
      <c r="P455" s="39" t="n">
        <f aca="false">IF(12&gt;='Inputs &amp; Assumptions'!$E$140,0,'Inputs &amp; Assumptions'!$G$61*MAX(P422-P433-P444,0))</f>
        <v>366793.851716216</v>
      </c>
      <c r="Q455" s="39" t="n">
        <f aca="false">IF(13&gt;='Inputs &amp; Assumptions'!$E$140,0,'Inputs &amp; Assumptions'!$G$61*MAX(Q422-Q433-Q444,0))</f>
        <v>331370.862562429</v>
      </c>
      <c r="R455" s="39" t="n">
        <f aca="false">IF(14&gt;='Inputs &amp; Assumptions'!$E$140,0,'Inputs &amp; Assumptions'!$G$61*MAX(R422-R433-R444,0))</f>
        <v>299368.836313877</v>
      </c>
      <c r="S455" s="39" t="n">
        <f aca="false">IF(15&gt;='Inputs &amp; Assumptions'!$E$140,0,'Inputs &amp; Assumptions'!$G$61*MAX(S422-S433-S444,0))</f>
        <v>270457.394663179</v>
      </c>
      <c r="T455" s="39" t="n">
        <f aca="false">IF(16&gt;='Inputs &amp; Assumptions'!$E$140,0,'Inputs &amp; Assumptions'!$G$61*MAX(T422-T433-T444,0))</f>
        <v>244338.06547353</v>
      </c>
      <c r="U455" s="39" t="n">
        <f aca="false">IF(17&gt;='Inputs &amp; Assumptions'!$E$140,0,'Inputs &amp; Assumptions'!$G$61*MAX(U422-U433-U444,0))</f>
        <v>221492.098105334</v>
      </c>
      <c r="V455" s="39" t="n">
        <f aca="false">IF(18&gt;='Inputs &amp; Assumptions'!$E$140,0,'Inputs &amp; Assumptions'!$G$61*MAX(V422-V433-V444,0))</f>
        <v>200782.262182631</v>
      </c>
      <c r="W455" s="39" t="n">
        <f aca="false">IF(19&gt;='Inputs &amp; Assumptions'!$E$140,0,'Inputs &amp; Assumptions'!$G$61*MAX(W422-W433-W444,0))</f>
        <v>182008.826283287</v>
      </c>
      <c r="X455" s="39" t="n">
        <f aca="false">IF(20&gt;='Inputs &amp; Assumptions'!$E$140,0,'Inputs &amp; Assumptions'!$G$61*MAX(X422-X433-X444,0))</f>
        <v>164990.734165986</v>
      </c>
      <c r="Y455" s="39" t="n">
        <f aca="false">IF(21&gt;='Inputs &amp; Assumptions'!$E$140,0,'Inputs &amp; Assumptions'!$G$61*MAX(Y422-Y433-Y444,0))</f>
        <v>149904.412863177</v>
      </c>
      <c r="Z455" s="39" t="n">
        <f aca="false">IF(22&gt;='Inputs &amp; Assumptions'!$E$140,0,'Inputs &amp; Assumptions'!$G$61*MAX(Z422-Z433-Z444,0))</f>
        <v>136197.545331526</v>
      </c>
      <c r="AA455" s="39" t="n">
        <f aca="false">IF(23&gt;='Inputs &amp; Assumptions'!$E$140,0,'Inputs &amp; Assumptions'!$G$61*MAX(AA422-AA433-AA444,0))</f>
        <v>123743.997925293</v>
      </c>
      <c r="AB455" s="39" t="n">
        <f aca="false">IF(24&gt;='Inputs &amp; Assumptions'!$E$140,0,'Inputs &amp; Assumptions'!$G$61*MAX(AB422-AB433-AB444,0))</f>
        <v>112429.170329477</v>
      </c>
      <c r="AC455" s="39" t="n">
        <f aca="false">IF(25&gt;='Inputs &amp; Assumptions'!$E$140,0,'Inputs &amp; Assumptions'!$G$61*MAX(AC422-AC433-AC444,0))</f>
        <v>102360.376088251</v>
      </c>
      <c r="AD455" s="39" t="n">
        <f aca="false">IF(26&gt;='Inputs &amp; Assumptions'!$E$140,0,'Inputs &amp; Assumptions'!$G$61*MAX(AD422-AD433-AD444,0))</f>
        <v>93193.3106170138</v>
      </c>
      <c r="AE455" s="39" t="n">
        <f aca="false">IF(27&gt;='Inputs &amp; Assumptions'!$E$140,0,'Inputs &amp; Assumptions'!$G$61*MAX(AE422-AE433-AE444,0))</f>
        <v>84847.2179925501</v>
      </c>
      <c r="AF455" s="39" t="n">
        <f aca="false">IF(28&gt;='Inputs &amp; Assumptions'!$E$140,0,'Inputs &amp; Assumptions'!$G$61*MAX(AF422-AF433-AF444,0))</f>
        <v>0</v>
      </c>
      <c r="AG455" s="39" t="n">
        <f aca="false">IF(29&gt;='Inputs &amp; Assumptions'!$E$140,0,'Inputs &amp; Assumptions'!$G$61*MAX(AG422-AG433-AG444,0))</f>
        <v>0</v>
      </c>
      <c r="AH455" s="39" t="n">
        <f aca="false">IF(30&gt;='Inputs &amp; Assumptions'!$E$140,0,'Inputs &amp; Assumptions'!$G$61*MAX(AH422-AH433-AH444,0))</f>
        <v>0</v>
      </c>
      <c r="AI455" s="39" t="n">
        <f aca="false">IF(31&gt;='Inputs &amp; Assumptions'!$E$140,0,'Inputs &amp; Assumptions'!$G$61*MAX(AI422-AI433-AI444,0))</f>
        <v>0</v>
      </c>
      <c r="AJ455" s="39" t="n">
        <f aca="false">IF(32&gt;='Inputs &amp; Assumptions'!$E$140,0,'Inputs &amp; Assumptions'!$G$61*MAX(AJ422-AJ433-AJ444,0))</f>
        <v>0</v>
      </c>
      <c r="AK455" s="39" t="n">
        <f aca="false">IF(33&gt;='Inputs &amp; Assumptions'!$E$140,0,'Inputs &amp; Assumptions'!$G$61*MAX(AK422-AK433-AK444,0))</f>
        <v>0</v>
      </c>
      <c r="AL455" s="39" t="n">
        <f aca="false">IF(34&gt;='Inputs &amp; Assumptions'!$E$140,0,'Inputs &amp; Assumptions'!$G$61*MAX(AL422-AL433-AL444,0))</f>
        <v>0</v>
      </c>
      <c r="AM455" s="39" t="n">
        <f aca="false">IF(35&gt;='Inputs &amp; Assumptions'!$E$140,0,'Inputs &amp; Assumptions'!$G$61*MAX(AM422-AM433-AM444,0))</f>
        <v>0</v>
      </c>
      <c r="AN455" s="39" t="n">
        <f aca="false">IF(36&gt;='Inputs &amp; Assumptions'!$E$140,0,'Inputs &amp; Assumptions'!$G$61*MAX(AN422-AN433-AN444,0))</f>
        <v>0</v>
      </c>
    </row>
    <row r="456" customFormat="false" ht="15" hidden="false" customHeight="false" outlineLevel="0" collapsed="false">
      <c r="B456" s="37" t="n">
        <v>2</v>
      </c>
      <c r="C456" s="38" t="n">
        <f aca="false">'Inputs &amp; Assumptions'!$C$141</f>
        <v>1</v>
      </c>
      <c r="D456" s="38" t="n">
        <f aca="false">'Inputs &amp; Assumptions'!$D$141</f>
        <v>3</v>
      </c>
      <c r="E456" s="39" t="n">
        <f aca="false">IF(1&gt;='Inputs &amp; Assumptions'!$E$141,0,'Inputs &amp; Assumptions'!$G$61*MAX(E423-E434-E445,0))</f>
        <v>3203740.95479848</v>
      </c>
      <c r="F456" s="39" t="n">
        <f aca="false">IF(2&gt;='Inputs &amp; Assumptions'!$E$141,0,'Inputs &amp; Assumptions'!$G$61*MAX(F423-F434-F445,0))</f>
        <v>2981735.5385263</v>
      </c>
      <c r="G456" s="39" t="n">
        <f aca="false">IF(3&gt;='Inputs &amp; Assumptions'!$E$141,0,'Inputs &amp; Assumptions'!$G$61*MAX(G423-G434-G445,0))</f>
        <v>2775114.13911115</v>
      </c>
      <c r="H456" s="39" t="n">
        <f aca="false">IF(4&gt;='Inputs &amp; Assumptions'!$E$141,0,'Inputs &amp; Assumptions'!$G$61*MAX(H423-H434-H445,0))</f>
        <v>2491324.46352531</v>
      </c>
      <c r="I456" s="39" t="n">
        <f aca="false">IF(5&gt;='Inputs &amp; Assumptions'!$E$141,0,'Inputs &amp; Assumptions'!$G$61*MAX(I423-I434-I445,0))</f>
        <v>2236555.78525057</v>
      </c>
      <c r="J456" s="39" t="n">
        <f aca="false">IF(6&gt;='Inputs &amp; Assumptions'!$E$141,0,'Inputs &amp; Assumptions'!$G$61*MAX(J423-J434-J445,0))</f>
        <v>2007840.34908866</v>
      </c>
      <c r="K456" s="39" t="n">
        <f aca="false">IF(7&gt;='Inputs &amp; Assumptions'!$E$141,0,'Inputs &amp; Assumptions'!$G$61*MAX(K423-K434-K445,0))</f>
        <v>1802513.8894431</v>
      </c>
      <c r="L456" s="39" t="n">
        <f aca="false">IF(8&gt;='Inputs &amp; Assumptions'!$E$141,0,'Inputs &amp; Assumptions'!$G$61*MAX(L423-L434-L445,0))</f>
        <v>1622153.16519597</v>
      </c>
      <c r="M456" s="39" t="n">
        <f aca="false">IF(9&gt;='Inputs &amp; Assumptions'!$E$141,0,'Inputs &amp; Assumptions'!$G$61*MAX(M423-M434-M445,0))</f>
        <v>1459839.4535358</v>
      </c>
      <c r="N456" s="39" t="n">
        <f aca="false">IF(10&gt;='Inputs &amp; Assumptions'!$E$141,0,'Inputs &amp; Assumptions'!$G$61*MAX(N423-N434-N445,0))</f>
        <v>1313766.95852407</v>
      </c>
      <c r="O456" s="39" t="n">
        <f aca="false">IF(11&gt;='Inputs &amp; Assumptions'!$E$141,0,'Inputs &amp; Assumptions'!$G$61*MAX(O423-O434-O445,0))</f>
        <v>1182310.57335049</v>
      </c>
      <c r="P456" s="39" t="n">
        <f aca="false">IF(12&gt;='Inputs &amp; Assumptions'!$E$141,0,'Inputs &amp; Assumptions'!$G$61*MAX(P423-P434-P445,0))</f>
        <v>1068129.33934059</v>
      </c>
      <c r="Q456" s="39" t="n">
        <f aca="false">IF(13&gt;='Inputs &amp; Assumptions'!$E$141,0,'Inputs &amp; Assumptions'!$G$61*MAX(Q423-Q434-Q445,0))</f>
        <v>964975.118447117</v>
      </c>
      <c r="R456" s="39" t="n">
        <f aca="false">IF(14&gt;='Inputs &amp; Assumptions'!$E$141,0,'Inputs &amp; Assumptions'!$G$61*MAX(R423-R434-R445,0))</f>
        <v>871782.980698656</v>
      </c>
      <c r="S456" s="39" t="n">
        <f aca="false">IF(15&gt;='Inputs &amp; Assumptions'!$E$141,0,'Inputs &amp; Assumptions'!$G$61*MAX(S423-S434-S445,0))</f>
        <v>787590.841366843</v>
      </c>
      <c r="T456" s="39" t="n">
        <f aca="false">IF(16&gt;='Inputs &amp; Assumptions'!$E$141,0,'Inputs &amp; Assumptions'!$G$61*MAX(T423-T434-T445,0))</f>
        <v>713949.942939962</v>
      </c>
      <c r="U456" s="39" t="n">
        <f aca="false">IF(17&gt;='Inputs &amp; Assumptions'!$E$141,0,'Inputs &amp; Assumptions'!$G$61*MAX(U423-U434-U445,0))</f>
        <v>647194.576487662</v>
      </c>
      <c r="V456" s="39" t="n">
        <f aca="false">IF(18&gt;='Inputs &amp; Assumptions'!$E$141,0,'Inputs &amp; Assumptions'!$G$61*MAX(V423-V434-V445,0))</f>
        <v>586680.93467481</v>
      </c>
      <c r="W456" s="39" t="n">
        <f aca="false">IF(19&gt;='Inputs &amp; Assumptions'!$E$141,0,'Inputs &amp; Assumptions'!$G$61*MAX(W423-W434-W445,0))</f>
        <v>531825.407096053</v>
      </c>
      <c r="X456" s="39" t="n">
        <f aca="false">IF(20&gt;='Inputs &amp; Assumptions'!$E$141,0,'Inputs &amp; Assumptions'!$G$61*MAX(X423-X434-X445,0))</f>
        <v>483196.682525515</v>
      </c>
      <c r="Y456" s="39" t="n">
        <f aca="false">IF(21&gt;='Inputs &amp; Assumptions'!$E$141,0,'Inputs &amp; Assumptions'!$G$61*MAX(Y423-Y434-Y445,0))</f>
        <v>439014.441371912</v>
      </c>
      <c r="Z456" s="39" t="n">
        <f aca="false">IF(22&gt;='Inputs &amp; Assumptions'!$E$141,0,'Inputs &amp; Assumptions'!$G$61*MAX(Z423-Z434-Z445,0))</f>
        <v>398872.108818575</v>
      </c>
      <c r="AA456" s="39" t="n">
        <f aca="false">IF(23&gt;='Inputs &amp; Assumptions'!$E$141,0,'Inputs &amp; Assumptions'!$G$61*MAX(AA423-AA434-AA445,0))</f>
        <v>362400.286186933</v>
      </c>
      <c r="AB456" s="39" t="n">
        <f aca="false">IF(24&gt;='Inputs &amp; Assumptions'!$E$141,0,'Inputs &amp; Assumptions'!$G$61*MAX(AB423-AB434-AB445,0))</f>
        <v>329944.884231333</v>
      </c>
      <c r="AC456" s="39" t="n">
        <f aca="false">IF(25&gt;='Inputs &amp; Assumptions'!$E$141,0,'Inputs &amp; Assumptions'!$G$61*MAX(AC423-AC434-AC445,0))</f>
        <v>300396.083501639</v>
      </c>
      <c r="AD456" s="39" t="n">
        <f aca="false">IF(26&gt;='Inputs &amp; Assumptions'!$E$141,0,'Inputs &amp; Assumptions'!$G$61*MAX(AD423-AD434-AD445,0))</f>
        <v>273493.5781573</v>
      </c>
      <c r="AE456" s="39" t="n">
        <f aca="false">IF(27&gt;='Inputs &amp; Assumptions'!$E$141,0,'Inputs &amp; Assumptions'!$G$61*MAX(AE423-AE434-AE445,0))</f>
        <v>0</v>
      </c>
      <c r="AF456" s="39" t="n">
        <f aca="false">IF(28&gt;='Inputs &amp; Assumptions'!$E$141,0,'Inputs &amp; Assumptions'!$G$61*MAX(AF423-AF434-AF445,0))</f>
        <v>0</v>
      </c>
      <c r="AG456" s="39" t="n">
        <f aca="false">IF(29&gt;='Inputs &amp; Assumptions'!$E$141,0,'Inputs &amp; Assumptions'!$G$61*MAX(AG423-AG434-AG445,0))</f>
        <v>0</v>
      </c>
      <c r="AH456" s="39" t="n">
        <f aca="false">IF(30&gt;='Inputs &amp; Assumptions'!$E$141,0,'Inputs &amp; Assumptions'!$G$61*MAX(AH423-AH434-AH445,0))</f>
        <v>0</v>
      </c>
      <c r="AI456" s="39" t="n">
        <f aca="false">IF(31&gt;='Inputs &amp; Assumptions'!$E$141,0,'Inputs &amp; Assumptions'!$G$61*MAX(AI423-AI434-AI445,0))</f>
        <v>0</v>
      </c>
      <c r="AJ456" s="39" t="n">
        <f aca="false">IF(32&gt;='Inputs &amp; Assumptions'!$E$141,0,'Inputs &amp; Assumptions'!$G$61*MAX(AJ423-AJ434-AJ445,0))</f>
        <v>0</v>
      </c>
      <c r="AK456" s="39" t="n">
        <f aca="false">IF(33&gt;='Inputs &amp; Assumptions'!$E$141,0,'Inputs &amp; Assumptions'!$G$61*MAX(AK423-AK434-AK445,0))</f>
        <v>0</v>
      </c>
      <c r="AL456" s="39" t="n">
        <f aca="false">IF(34&gt;='Inputs &amp; Assumptions'!$E$141,0,'Inputs &amp; Assumptions'!$G$61*MAX(AL423-AL434-AL445,0))</f>
        <v>0</v>
      </c>
      <c r="AM456" s="39" t="n">
        <f aca="false">IF(35&gt;='Inputs &amp; Assumptions'!$E$141,0,'Inputs &amp; Assumptions'!$G$61*MAX(AM423-AM434-AM445,0))</f>
        <v>0</v>
      </c>
      <c r="AN456" s="39" t="n">
        <f aca="false">IF(36&gt;='Inputs &amp; Assumptions'!$E$141,0,'Inputs &amp; Assumptions'!$G$61*MAX(AN423-AN434-AN445,0))</f>
        <v>0</v>
      </c>
    </row>
    <row r="457" customFormat="false" ht="15" hidden="false" customHeight="false" outlineLevel="0" collapsed="false">
      <c r="B457" s="37" t="n">
        <v>3</v>
      </c>
      <c r="C457" s="38" t="n">
        <f aca="false">'Inputs &amp; Assumptions'!$C$142</f>
        <v>2</v>
      </c>
      <c r="D457" s="38" t="n">
        <f aca="false">'Inputs &amp; Assumptions'!$D$142</f>
        <v>3</v>
      </c>
      <c r="E457" s="39" t="n">
        <f aca="false">IF(1&gt;='Inputs &amp; Assumptions'!$E$142,0,'Inputs &amp; Assumptions'!$G$61*MAX(E424-E435-E446,0))</f>
        <v>3203740.95479848</v>
      </c>
      <c r="F457" s="39" t="n">
        <f aca="false">IF(2&gt;='Inputs &amp; Assumptions'!$E$142,0,'Inputs &amp; Assumptions'!$G$61*MAX(F424-F435-F446,0))</f>
        <v>2981735.5385263</v>
      </c>
      <c r="G457" s="39" t="n">
        <f aca="false">IF(3&gt;='Inputs &amp; Assumptions'!$E$142,0,'Inputs &amp; Assumptions'!$G$61*MAX(G424-G435-G446,0))</f>
        <v>2676816.27440113</v>
      </c>
      <c r="H457" s="39" t="n">
        <f aca="false">IF(4&gt;='Inputs &amp; Assumptions'!$E$142,0,'Inputs &amp; Assumptions'!$G$61*MAX(H424-H435-H446,0))</f>
        <v>2403078.7688301</v>
      </c>
      <c r="I457" s="39" t="n">
        <f aca="false">IF(5&gt;='Inputs &amp; Assumptions'!$E$142,0,'Inputs &amp; Assumptions'!$G$61*MAX(I424-I435-I446,0))</f>
        <v>2157334.30210631</v>
      </c>
      <c r="J457" s="39" t="n">
        <f aca="false">IF(6&gt;='Inputs &amp; Assumptions'!$E$142,0,'Inputs &amp; Assumptions'!$G$61*MAX(J424-J435-J446,0))</f>
        <v>1936720.24047314</v>
      </c>
      <c r="K457" s="39" t="n">
        <f aca="false">IF(7&gt;='Inputs &amp; Assumptions'!$E$142,0,'Inputs &amp; Assumptions'!$G$61*MAX(K424-K435-K446,0))</f>
        <v>1742930.74055215</v>
      </c>
      <c r="L457" s="39" t="n">
        <f aca="false">IF(8&gt;='Inputs &amp; Assumptions'!$E$142,0,'Inputs &amp; Assumptions'!$G$61*MAX(L424-L435-L446,0))</f>
        <v>1568531.94533638</v>
      </c>
      <c r="M457" s="39" t="n">
        <f aca="false">IF(9&gt;='Inputs &amp; Assumptions'!$E$142,0,'Inputs &amp; Assumptions'!$G$61*MAX(M424-M435-M446,0))</f>
        <v>1411583.60817098</v>
      </c>
      <c r="N457" s="39" t="n">
        <f aca="false">IF(10&gt;='Inputs &amp; Assumptions'!$E$142,0,'Inputs &amp; Assumptions'!$G$61*MAX(N424-N435-N446,0))</f>
        <v>1270339.62475637</v>
      </c>
      <c r="O457" s="39" t="n">
        <f aca="false">IF(11&gt;='Inputs &amp; Assumptions'!$E$142,0,'Inputs &amp; Assumptions'!$G$61*MAX(O424-O435-O446,0))</f>
        <v>1147657.01560461</v>
      </c>
      <c r="P457" s="39" t="n">
        <f aca="false">IF(12&gt;='Inputs &amp; Assumptions'!$E$142,0,'Inputs &amp; Assumptions'!$G$61*MAX(P424-P435-P446,0))</f>
        <v>1036822.4369283</v>
      </c>
      <c r="Q457" s="39" t="n">
        <f aca="false">IF(13&gt;='Inputs &amp; Assumptions'!$E$142,0,'Inputs &amp; Assumptions'!$G$61*MAX(Q424-Q435-Q446,0))</f>
        <v>936691.669289014</v>
      </c>
      <c r="R457" s="39" t="n">
        <f aca="false">IF(14&gt;='Inputs &amp; Assumptions'!$E$142,0,'Inputs &amp; Assumptions'!$G$61*MAX(R424-R435-R446,0))</f>
        <v>846230.995844198</v>
      </c>
      <c r="S457" s="39" t="n">
        <f aca="false">IF(15&gt;='Inputs &amp; Assumptions'!$E$142,0,'Inputs &amp; Assumptions'!$G$61*MAX(S424-S435-S446,0))</f>
        <v>767107.156995982</v>
      </c>
      <c r="T457" s="39" t="n">
        <f aca="false">IF(16&gt;='Inputs &amp; Assumptions'!$E$142,0,'Inputs &amp; Assumptions'!$G$61*MAX(T424-T435-T446,0))</f>
        <v>695381.513090783</v>
      </c>
      <c r="U457" s="39" t="n">
        <f aca="false">IF(17&gt;='Inputs &amp; Assumptions'!$E$142,0,'Inputs &amp; Assumptions'!$G$61*MAX(U424-U435-U446,0))</f>
        <v>630362.322054257</v>
      </c>
      <c r="V457" s="39" t="n">
        <f aca="false">IF(18&gt;='Inputs &amp; Assumptions'!$E$142,0,'Inputs &amp; Assumptions'!$G$61*MAX(V424-V435-V446,0))</f>
        <v>571422.520710239</v>
      </c>
      <c r="W457" s="39" t="n">
        <f aca="false">IF(19&gt;='Inputs &amp; Assumptions'!$E$142,0,'Inputs &amp; Assumptions'!$G$61*MAX(W424-W435-W446,0))</f>
        <v>519173.139612126</v>
      </c>
      <c r="X457" s="39" t="n">
        <f aca="false">IF(20&gt;='Inputs &amp; Assumptions'!$E$142,0,'Inputs &amp; Assumptions'!$G$61*MAX(X424-X435-X446,0))</f>
        <v>471701.305296283</v>
      </c>
      <c r="Y457" s="39" t="n">
        <f aca="false">IF(21&gt;='Inputs &amp; Assumptions'!$E$142,0,'Inputs &amp; Assumptions'!$G$61*MAX(Y424-Y435-Y446,0))</f>
        <v>428570.171377603</v>
      </c>
      <c r="Z457" s="39" t="n">
        <f aca="false">IF(22&gt;='Inputs &amp; Assumptions'!$E$142,0,'Inputs &amp; Assumptions'!$G$61*MAX(Z424-Z435-Z446,0))</f>
        <v>389382.835562138</v>
      </c>
      <c r="AA457" s="39" t="n">
        <f aca="false">IF(23&gt;='Inputs &amp; Assumptions'!$E$142,0,'Inputs &amp; Assumptions'!$G$61*MAX(AA424-AA435-AA446,0))</f>
        <v>354510.963423875</v>
      </c>
      <c r="AB457" s="39" t="n">
        <f aca="false">IF(24&gt;='Inputs &amp; Assumptions'!$E$142,0,'Inputs &amp; Assumptions'!$G$61*MAX(AB424-AB435-AB446,0))</f>
        <v>322762.103795066</v>
      </c>
      <c r="AC457" s="39" t="n">
        <f aca="false">IF(25&gt;='Inputs &amp; Assumptions'!$E$142,0,'Inputs &amp; Assumptions'!$G$61*MAX(AC424-AC435-AC446,0))</f>
        <v>293856.569737898</v>
      </c>
      <c r="AD457" s="39" t="n">
        <f aca="false">IF(26&gt;='Inputs &amp; Assumptions'!$E$142,0,'Inputs &amp; Assumptions'!$G$61*MAX(AD424-AD435-AD446,0))</f>
        <v>0</v>
      </c>
      <c r="AE457" s="39" t="n">
        <f aca="false">IF(27&gt;='Inputs &amp; Assumptions'!$E$142,0,'Inputs &amp; Assumptions'!$G$61*MAX(AE424-AE435-AE446,0))</f>
        <v>0</v>
      </c>
      <c r="AF457" s="39" t="n">
        <f aca="false">IF(28&gt;='Inputs &amp; Assumptions'!$E$142,0,'Inputs &amp; Assumptions'!$G$61*MAX(AF424-AF435-AF446,0))</f>
        <v>0</v>
      </c>
      <c r="AG457" s="39" t="n">
        <f aca="false">IF(29&gt;='Inputs &amp; Assumptions'!$E$142,0,'Inputs &amp; Assumptions'!$G$61*MAX(AG424-AG435-AG446,0))</f>
        <v>0</v>
      </c>
      <c r="AH457" s="39" t="n">
        <f aca="false">IF(30&gt;='Inputs &amp; Assumptions'!$E$142,0,'Inputs &amp; Assumptions'!$G$61*MAX(AH424-AH435-AH446,0))</f>
        <v>0</v>
      </c>
      <c r="AI457" s="39" t="n">
        <f aca="false">IF(31&gt;='Inputs &amp; Assumptions'!$E$142,0,'Inputs &amp; Assumptions'!$G$61*MAX(AI424-AI435-AI446,0))</f>
        <v>0</v>
      </c>
      <c r="AJ457" s="39" t="n">
        <f aca="false">IF(32&gt;='Inputs &amp; Assumptions'!$E$142,0,'Inputs &amp; Assumptions'!$G$61*MAX(AJ424-AJ435-AJ446,0))</f>
        <v>0</v>
      </c>
      <c r="AK457" s="39" t="n">
        <f aca="false">IF(33&gt;='Inputs &amp; Assumptions'!$E$142,0,'Inputs &amp; Assumptions'!$G$61*MAX(AK424-AK435-AK446,0))</f>
        <v>0</v>
      </c>
      <c r="AL457" s="39" t="n">
        <f aca="false">IF(34&gt;='Inputs &amp; Assumptions'!$E$142,0,'Inputs &amp; Assumptions'!$G$61*MAX(AL424-AL435-AL446,0))</f>
        <v>0</v>
      </c>
      <c r="AM457" s="39" t="n">
        <f aca="false">IF(35&gt;='Inputs &amp; Assumptions'!$E$142,0,'Inputs &amp; Assumptions'!$G$61*MAX(AM424-AM435-AM446,0))</f>
        <v>0</v>
      </c>
      <c r="AN457" s="39" t="n">
        <f aca="false">IF(36&gt;='Inputs &amp; Assumptions'!$E$142,0,'Inputs &amp; Assumptions'!$G$61*MAX(AN424-AN435-AN446,0))</f>
        <v>0</v>
      </c>
    </row>
    <row r="458" customFormat="false" ht="15" hidden="false" customHeight="false" outlineLevel="0" collapsed="false">
      <c r="B458" s="37" t="n">
        <v>4</v>
      </c>
      <c r="C458" s="38" t="n">
        <f aca="false">'Inputs &amp; Assumptions'!$C$143</f>
        <v>3</v>
      </c>
      <c r="D458" s="38" t="n">
        <f aca="false">'Inputs &amp; Assumptions'!$D$143</f>
        <v>3</v>
      </c>
      <c r="E458" s="39" t="n">
        <f aca="false">IF(1&gt;='Inputs &amp; Assumptions'!$E$143,0,'Inputs &amp; Assumptions'!$G$61*MAX(E425-E436-E447,0))</f>
        <v>3203740.95479848</v>
      </c>
      <c r="F458" s="39" t="n">
        <f aca="false">IF(2&gt;='Inputs &amp; Assumptions'!$E$143,0,'Inputs &amp; Assumptions'!$G$61*MAX(F425-F436-F447,0))</f>
        <v>2876118.89651639</v>
      </c>
      <c r="G458" s="39" t="n">
        <f aca="false">IF(3&gt;='Inputs &amp; Assumptions'!$E$143,0,'Inputs &amp; Assumptions'!$G$61*MAX(G425-G436-G447,0))</f>
        <v>2582000.2377249</v>
      </c>
      <c r="H458" s="39" t="n">
        <f aca="false">IF(4&gt;='Inputs &amp; Assumptions'!$E$143,0,'Inputs &amp; Assumptions'!$G$61*MAX(H425-H436-H447,0))</f>
        <v>2317958.84227397</v>
      </c>
      <c r="I458" s="39" t="n">
        <f aca="false">IF(5&gt;='Inputs &amp; Assumptions'!$E$143,0,'Inputs &amp; Assumptions'!$G$61*MAX(I425-I436-I447,0))</f>
        <v>2080918.93872574</v>
      </c>
      <c r="J458" s="39" t="n">
        <f aca="false">IF(6&gt;='Inputs &amp; Assumptions'!$E$143,0,'Inputs &amp; Assumptions'!$G$61*MAX(J425-J436-J447,0))</f>
        <v>1872700.82230162</v>
      </c>
      <c r="K458" s="39" t="n">
        <f aca="false">IF(7&gt;='Inputs &amp; Assumptions'!$E$143,0,'Inputs &amp; Assumptions'!$G$61*MAX(K425-K436-K447,0))</f>
        <v>1685317.14743137</v>
      </c>
      <c r="L458" s="39" t="n">
        <f aca="false">IF(8&gt;='Inputs &amp; Assumptions'!$E$143,0,'Inputs &amp; Assumptions'!$G$61*MAX(L425-L436-L447,0))</f>
        <v>1516683.20620235</v>
      </c>
      <c r="M458" s="39" t="n">
        <f aca="false">IF(9&gt;='Inputs &amp; Assumptions'!$E$143,0,'Inputs &amp; Assumptions'!$G$61*MAX(M425-M436-M447,0))</f>
        <v>1364922.88794559</v>
      </c>
      <c r="N458" s="39" t="n">
        <f aca="false">IF(10&gt;='Inputs &amp; Assumptions'!$E$143,0,'Inputs &amp; Assumptions'!$G$61*MAX(N425-N436-N447,0))</f>
        <v>1233105.9329197</v>
      </c>
      <c r="O458" s="39" t="n">
        <f aca="false">IF(11&gt;='Inputs &amp; Assumptions'!$E$143,0,'Inputs &amp; Assumptions'!$G$61*MAX(O425-O436-O447,0))</f>
        <v>1114019.15465745</v>
      </c>
      <c r="P458" s="39" t="n">
        <f aca="false">IF(12&gt;='Inputs &amp; Assumptions'!$E$143,0,'Inputs &amp; Assumptions'!$G$61*MAX(P425-P436-P447,0))</f>
        <v>1006433.14074827</v>
      </c>
      <c r="Q458" s="39" t="n">
        <f aca="false">IF(13&gt;='Inputs &amp; Assumptions'!$E$143,0,'Inputs &amp; Assumptions'!$G$61*MAX(Q425-Q436-Q447,0))</f>
        <v>909237.208859208</v>
      </c>
      <c r="R458" s="39" t="n">
        <f aca="false">IF(14&gt;='Inputs &amp; Assumptions'!$E$143,0,'Inputs &amp; Assumptions'!$G$61*MAX(R425-R436-R447,0))</f>
        <v>824222.196714908</v>
      </c>
      <c r="S458" s="39" t="n">
        <f aca="false">IF(15&gt;='Inputs &amp; Assumptions'!$E$143,0,'Inputs &amp; Assumptions'!$G$61*MAX(S425-S436-S447,0))</f>
        <v>747156.212854397</v>
      </c>
      <c r="T458" s="39" t="n">
        <f aca="false">IF(16&gt;='Inputs &amp; Assumptions'!$E$143,0,'Inputs &amp; Assumptions'!$G$61*MAX(T425-T436-T447,0))</f>
        <v>677296.011478343</v>
      </c>
      <c r="U458" s="39" t="n">
        <f aca="false">IF(17&gt;='Inputs &amp; Assumptions'!$E$143,0,'Inputs &amp; Assumptions'!$G$61*MAX(U425-U436-U447,0))</f>
        <v>613967.841359391</v>
      </c>
      <c r="V458" s="39" t="n">
        <f aca="false">IF(18&gt;='Inputs &amp; Assumptions'!$E$143,0,'Inputs &amp; Assumptions'!$G$61*MAX(V425-V436-V447,0))</f>
        <v>557828.227391604</v>
      </c>
      <c r="W458" s="39" t="n">
        <f aca="false">IF(19&gt;='Inputs &amp; Assumptions'!$E$143,0,'Inputs &amp; Assumptions'!$G$61*MAX(W425-W436-W447,0))</f>
        <v>506821.872927237</v>
      </c>
      <c r="X458" s="39" t="n">
        <f aca="false">IF(20&gt;='Inputs &amp; Assumptions'!$E$143,0,'Inputs &amp; Assumptions'!$G$61*MAX(X425-X436-X447,0))</f>
        <v>460479.406140103</v>
      </c>
      <c r="Y458" s="39" t="n">
        <f aca="false">IF(21&gt;='Inputs &amp; Assumptions'!$E$143,0,'Inputs &amp; Assumptions'!$G$61*MAX(Y425-Y436-Y447,0))</f>
        <v>418374.373336456</v>
      </c>
      <c r="Z458" s="39" t="n">
        <f aca="false">IF(22&gt;='Inputs &amp; Assumptions'!$E$143,0,'Inputs &amp; Assumptions'!$G$61*MAX(Z425-Z436-Z447,0))</f>
        <v>380906.112487586</v>
      </c>
      <c r="AA458" s="39" t="n">
        <f aca="false">IF(23&gt;='Inputs &amp; Assumptions'!$E$143,0,'Inputs &amp; Assumptions'!$G$61*MAX(AA425-AA436-AA447,0))</f>
        <v>346793.388355374</v>
      </c>
      <c r="AB458" s="39" t="n">
        <f aca="false">IF(24&gt;='Inputs &amp; Assumptions'!$E$143,0,'Inputs &amp; Assumptions'!$G$61*MAX(AB425-AB436-AB447,0))</f>
        <v>315735.689883214</v>
      </c>
      <c r="AC458" s="39" t="n">
        <f aca="false">IF(25&gt;='Inputs &amp; Assumptions'!$E$143,0,'Inputs &amp; Assumptions'!$G$61*MAX(AC425-AC436-AC447,0))</f>
        <v>0</v>
      </c>
      <c r="AD458" s="39" t="n">
        <f aca="false">IF(26&gt;='Inputs &amp; Assumptions'!$E$143,0,'Inputs &amp; Assumptions'!$G$61*MAX(AD425-AD436-AD447,0))</f>
        <v>0</v>
      </c>
      <c r="AE458" s="39" t="n">
        <f aca="false">IF(27&gt;='Inputs &amp; Assumptions'!$E$143,0,'Inputs &amp; Assumptions'!$G$61*MAX(AE425-AE436-AE447,0))</f>
        <v>0</v>
      </c>
      <c r="AF458" s="39" t="n">
        <f aca="false">IF(28&gt;='Inputs &amp; Assumptions'!$E$143,0,'Inputs &amp; Assumptions'!$G$61*MAX(AF425-AF436-AF447,0))</f>
        <v>0</v>
      </c>
      <c r="AG458" s="39" t="n">
        <f aca="false">IF(29&gt;='Inputs &amp; Assumptions'!$E$143,0,'Inputs &amp; Assumptions'!$G$61*MAX(AG425-AG436-AG447,0))</f>
        <v>0</v>
      </c>
      <c r="AH458" s="39" t="n">
        <f aca="false">IF(30&gt;='Inputs &amp; Assumptions'!$E$143,0,'Inputs &amp; Assumptions'!$G$61*MAX(AH425-AH436-AH447,0))</f>
        <v>0</v>
      </c>
      <c r="AI458" s="39" t="n">
        <f aca="false">IF(31&gt;='Inputs &amp; Assumptions'!$E$143,0,'Inputs &amp; Assumptions'!$G$61*MAX(AI425-AI436-AI447,0))</f>
        <v>0</v>
      </c>
      <c r="AJ458" s="39" t="n">
        <f aca="false">IF(32&gt;='Inputs &amp; Assumptions'!$E$143,0,'Inputs &amp; Assumptions'!$G$61*MAX(AJ425-AJ436-AJ447,0))</f>
        <v>0</v>
      </c>
      <c r="AK458" s="39" t="n">
        <f aca="false">IF(33&gt;='Inputs &amp; Assumptions'!$E$143,0,'Inputs &amp; Assumptions'!$G$61*MAX(AK425-AK436-AK447,0))</f>
        <v>0</v>
      </c>
      <c r="AL458" s="39" t="n">
        <f aca="false">IF(34&gt;='Inputs &amp; Assumptions'!$E$143,0,'Inputs &amp; Assumptions'!$G$61*MAX(AL425-AL436-AL447,0))</f>
        <v>0</v>
      </c>
      <c r="AM458" s="39" t="n">
        <f aca="false">IF(35&gt;='Inputs &amp; Assumptions'!$E$143,0,'Inputs &amp; Assumptions'!$G$61*MAX(AM425-AM436-AM447,0))</f>
        <v>0</v>
      </c>
      <c r="AN458" s="39" t="n">
        <f aca="false">IF(36&gt;='Inputs &amp; Assumptions'!$E$143,0,'Inputs &amp; Assumptions'!$G$61*MAX(AN425-AN436-AN447,0))</f>
        <v>0</v>
      </c>
    </row>
    <row r="459" customFormat="false" ht="15" hidden="false" customHeight="false" outlineLevel="0" collapsed="false">
      <c r="B459" s="37" t="n">
        <v>5</v>
      </c>
      <c r="C459" s="38" t="n">
        <f aca="false">'Inputs &amp; Assumptions'!$C$144</f>
        <v>4</v>
      </c>
      <c r="D459" s="38" t="n">
        <f aca="false">'Inputs &amp; Assumptions'!$D$144</f>
        <v>3</v>
      </c>
      <c r="E459" s="39" t="n">
        <f aca="false">IF(1&gt;='Inputs &amp; Assumptions'!$E$144,0,'Inputs &amp; Assumptions'!$G$61*MAX(E426-E437-E448,0))</f>
        <v>3090260.61519644</v>
      </c>
      <c r="F459" s="39" t="n">
        <f aca="false">IF(2&gt;='Inputs &amp; Assumptions'!$E$144,0,'Inputs &amp; Assumptions'!$G$61*MAX(F426-F437-F448,0))</f>
        <v>2774243.32239306</v>
      </c>
      <c r="G459" s="39" t="n">
        <f aca="false">IF(3&gt;='Inputs &amp; Assumptions'!$E$144,0,'Inputs &amp; Assumptions'!$G$61*MAX(G426-G437-G448,0))</f>
        <v>2490542.69856565</v>
      </c>
      <c r="H459" s="39" t="n">
        <f aca="false">IF(4&gt;='Inputs &amp; Assumptions'!$E$144,0,'Inputs &amp; Assumptions'!$G$61*MAX(H426-H437-H448,0))</f>
        <v>2235853.96540782</v>
      </c>
      <c r="I459" s="39" t="n">
        <f aca="false">IF(5&gt;='Inputs &amp; Assumptions'!$E$144,0,'Inputs &amp; Assumptions'!$G$61*MAX(I426-I437-I448,0))</f>
        <v>2012132.94840286</v>
      </c>
      <c r="J459" s="39" t="n">
        <f aca="false">IF(6&gt;='Inputs &amp; Assumptions'!$E$144,0,'Inputs &amp; Assumptions'!$G$61*MAX(J426-J437-J448,0))</f>
        <v>1810797.60337116</v>
      </c>
      <c r="K459" s="39" t="n">
        <f aca="false">IF(7&gt;='Inputs &amp; Assumptions'!$E$144,0,'Inputs &amp; Assumptions'!$G$61*MAX(K426-K437-K448,0))</f>
        <v>1629608.00526498</v>
      </c>
      <c r="L459" s="39" t="n">
        <f aca="false">IF(8&gt;='Inputs &amp; Assumptions'!$E$144,0,'Inputs &amp; Assumptions'!$G$61*MAX(L426-L437-L448,0))</f>
        <v>1466548.35740877</v>
      </c>
      <c r="M459" s="39" t="n">
        <f aca="false">IF(9&gt;='Inputs &amp; Assumptions'!$E$144,0,'Inputs &amp; Assumptions'!$G$61*MAX(M426-M437-M448,0))</f>
        <v>1324916.95787761</v>
      </c>
      <c r="N459" s="39" t="n">
        <f aca="false">IF(10&gt;='Inputs &amp; Assumptions'!$E$144,0,'Inputs &amp; Assumptions'!$G$61*MAX(N426-N437-N448,0))</f>
        <v>1196963.56168798</v>
      </c>
      <c r="O459" s="39" t="n">
        <f aca="false">IF(11&gt;='Inputs &amp; Assumptions'!$E$144,0,'Inputs &amp; Assumptions'!$G$61*MAX(O426-O437-O448,0))</f>
        <v>1081367.22040591</v>
      </c>
      <c r="P459" s="39" t="n">
        <f aca="false">IF(12&gt;='Inputs &amp; Assumptions'!$E$144,0,'Inputs &amp; Assumptions'!$G$61*MAX(P426-P437-P448,0))</f>
        <v>976934.555734816</v>
      </c>
      <c r="Q459" s="39" t="n">
        <f aca="false">IF(13&gt;='Inputs &amp; Assumptions'!$E$144,0,'Inputs &amp; Assumptions'!$G$61*MAX(Q426-Q437-Q448,0))</f>
        <v>885589.742400365</v>
      </c>
      <c r="R459" s="39" t="n">
        <f aca="false">IF(14&gt;='Inputs &amp; Assumptions'!$E$144,0,'Inputs &amp; Assumptions'!$G$61*MAX(R426-R437-R448,0))</f>
        <v>802785.803041684</v>
      </c>
      <c r="S459" s="39" t="n">
        <f aca="false">IF(15&gt;='Inputs &amp; Assumptions'!$E$144,0,'Inputs &amp; Assumptions'!$G$61*MAX(S426-S437-S448,0))</f>
        <v>727724.15341948</v>
      </c>
      <c r="T459" s="39" t="n">
        <f aca="false">IF(16&gt;='Inputs &amp; Assumptions'!$E$144,0,'Inputs &amp; Assumptions'!$G$61*MAX(T426-T437-T448,0))</f>
        <v>659680.878091713</v>
      </c>
      <c r="U459" s="39" t="n">
        <f aca="false">IF(17&gt;='Inputs &amp; Assumptions'!$E$144,0,'Inputs &amp; Assumptions'!$G$61*MAX(U426-U437-U448,0))</f>
        <v>599361.383578773</v>
      </c>
      <c r="V459" s="39" t="n">
        <f aca="false">IF(18&gt;='Inputs &amp; Assumptions'!$E$144,0,'Inputs &amp; Assumptions'!$G$61*MAX(V426-V437-V448,0))</f>
        <v>544557.345916457</v>
      </c>
      <c r="W459" s="39" t="n">
        <f aca="false">IF(19&gt;='Inputs &amp; Assumptions'!$E$144,0,'Inputs &amp; Assumptions'!$G$61*MAX(W426-W437-W448,0))</f>
        <v>494764.446152547</v>
      </c>
      <c r="X459" s="39" t="n">
        <f aca="false">IF(20&gt;='Inputs &amp; Assumptions'!$E$144,0,'Inputs &amp; Assumptions'!$G$61*MAX(X426-X437-X448,0))</f>
        <v>449524.478941086</v>
      </c>
      <c r="Y459" s="39" t="n">
        <f aca="false">IF(21&gt;='Inputs &amp; Assumptions'!$E$144,0,'Inputs &amp; Assumptions'!$G$61*MAX(Y426-Y437-Y448,0))</f>
        <v>409266.515001761</v>
      </c>
      <c r="Z459" s="39" t="n">
        <f aca="false">IF(22&gt;='Inputs &amp; Assumptions'!$E$144,0,'Inputs &amp; Assumptions'!$G$61*MAX(Z426-Z437-Z448,0))</f>
        <v>372613.924599285</v>
      </c>
      <c r="AA459" s="39" t="n">
        <f aca="false">IF(23&gt;='Inputs &amp; Assumptions'!$E$144,0,'Inputs &amp; Assumptions'!$G$61*MAX(AA426-AA437-AA448,0))</f>
        <v>339243.822096426</v>
      </c>
      <c r="AB459" s="39" t="n">
        <f aca="false">IF(24&gt;='Inputs &amp; Assumptions'!$E$144,0,'Inputs &amp; Assumptions'!$G$61*MAX(AB426-AB437-AB448,0))</f>
        <v>0</v>
      </c>
      <c r="AC459" s="39" t="n">
        <f aca="false">IF(25&gt;='Inputs &amp; Assumptions'!$E$144,0,'Inputs &amp; Assumptions'!$G$61*MAX(AC426-AC437-AC448,0))</f>
        <v>0</v>
      </c>
      <c r="AD459" s="39" t="n">
        <f aca="false">IF(26&gt;='Inputs &amp; Assumptions'!$E$144,0,'Inputs &amp; Assumptions'!$G$61*MAX(AD426-AD437-AD448,0))</f>
        <v>0</v>
      </c>
      <c r="AE459" s="39" t="n">
        <f aca="false">IF(27&gt;='Inputs &amp; Assumptions'!$E$144,0,'Inputs &amp; Assumptions'!$G$61*MAX(AE426-AE437-AE448,0))</f>
        <v>0</v>
      </c>
      <c r="AF459" s="39" t="n">
        <f aca="false">IF(28&gt;='Inputs &amp; Assumptions'!$E$144,0,'Inputs &amp; Assumptions'!$G$61*MAX(AF426-AF437-AF448,0))</f>
        <v>0</v>
      </c>
      <c r="AG459" s="39" t="n">
        <f aca="false">IF(29&gt;='Inputs &amp; Assumptions'!$E$144,0,'Inputs &amp; Assumptions'!$G$61*MAX(AG426-AG437-AG448,0))</f>
        <v>0</v>
      </c>
      <c r="AH459" s="39" t="n">
        <f aca="false">IF(30&gt;='Inputs &amp; Assumptions'!$E$144,0,'Inputs &amp; Assumptions'!$G$61*MAX(AH426-AH437-AH448,0))</f>
        <v>0</v>
      </c>
      <c r="AI459" s="39" t="n">
        <f aca="false">IF(31&gt;='Inputs &amp; Assumptions'!$E$144,0,'Inputs &amp; Assumptions'!$G$61*MAX(AI426-AI437-AI448,0))</f>
        <v>0</v>
      </c>
      <c r="AJ459" s="39" t="n">
        <f aca="false">IF(32&gt;='Inputs &amp; Assumptions'!$E$144,0,'Inputs &amp; Assumptions'!$G$61*MAX(AJ426-AJ437-AJ448,0))</f>
        <v>0</v>
      </c>
      <c r="AK459" s="39" t="n">
        <f aca="false">IF(33&gt;='Inputs &amp; Assumptions'!$E$144,0,'Inputs &amp; Assumptions'!$G$61*MAX(AK426-AK437-AK448,0))</f>
        <v>0</v>
      </c>
      <c r="AL459" s="39" t="n">
        <f aca="false">IF(34&gt;='Inputs &amp; Assumptions'!$E$144,0,'Inputs &amp; Assumptions'!$G$61*MAX(AL426-AL437-AL448,0))</f>
        <v>0</v>
      </c>
      <c r="AM459" s="39" t="n">
        <f aca="false">IF(35&gt;='Inputs &amp; Assumptions'!$E$144,0,'Inputs &amp; Assumptions'!$G$61*MAX(AM426-AM437-AM448,0))</f>
        <v>0</v>
      </c>
      <c r="AN459" s="39" t="n">
        <f aca="false">IF(36&gt;='Inputs &amp; Assumptions'!$E$144,0,'Inputs &amp; Assumptions'!$G$61*MAX(AN426-AN437-AN448,0))</f>
        <v>0</v>
      </c>
    </row>
    <row r="460" customFormat="false" ht="15" hidden="false" customHeight="false" outlineLevel="0" collapsed="false">
      <c r="B460" s="37" t="n">
        <v>6</v>
      </c>
      <c r="C460" s="38" t="n">
        <f aca="false">'Inputs &amp; Assumptions'!$C$145</f>
        <v>5</v>
      </c>
      <c r="D460" s="38" t="n">
        <f aca="false">'Inputs &amp; Assumptions'!$D$145</f>
        <v>3</v>
      </c>
      <c r="E460" s="39" t="n">
        <f aca="false">IF(1&gt;='Inputs &amp; Assumptions'!$E$145,0,'Inputs &amp; Assumptions'!$G$61*MAX(E427-E438-E449,0))</f>
        <v>2997552.79674055</v>
      </c>
      <c r="F460" s="39" t="n">
        <f aca="false">IF(2&gt;='Inputs &amp; Assumptions'!$E$145,0,'Inputs &amp; Assumptions'!$G$61*MAX(F427-F438-F449,0))</f>
        <v>2691016.02272127</v>
      </c>
      <c r="G460" s="39" t="n">
        <f aca="false">IF(3&gt;='Inputs &amp; Assumptions'!$E$145,0,'Inputs &amp; Assumptions'!$G$61*MAX(G427-G438-G449,0))</f>
        <v>2415826.41760868</v>
      </c>
      <c r="H460" s="39" t="n">
        <f aca="false">IF(4&gt;='Inputs &amp; Assumptions'!$E$145,0,'Inputs &amp; Assumptions'!$G$61*MAX(H427-H438-H449,0))</f>
        <v>2174097.23877285</v>
      </c>
      <c r="I460" s="39" t="n">
        <f aca="false">IF(5&gt;='Inputs &amp; Assumptions'!$E$145,0,'Inputs &amp; Assumptions'!$G$61*MAX(I427-I438-I449,0))</f>
        <v>1956555.64041662</v>
      </c>
      <c r="J460" s="39" t="n">
        <f aca="false">IF(6&gt;='Inputs &amp; Assumptions'!$E$145,0,'Inputs &amp; Assumptions'!$G$61*MAX(J427-J438-J449,0))</f>
        <v>1760781.39734303</v>
      </c>
      <c r="K460" s="39" t="n">
        <f aca="false">IF(7&gt;='Inputs &amp; Assumptions'!$E$145,0,'Inputs &amp; Assumptions'!$G$61*MAX(K427-K438-K449,0))</f>
        <v>1584596.45367872</v>
      </c>
      <c r="L460" s="39" t="n">
        <f aca="false">IF(8&gt;='Inputs &amp; Assumptions'!$E$145,0,'Inputs &amp; Assumptions'!$G$61*MAX(L427-L438-L449,0))</f>
        <v>1431564.60014804</v>
      </c>
      <c r="M460" s="39" t="n">
        <f aca="false">IF(9&gt;='Inputs &amp; Assumptions'!$E$145,0,'Inputs &amp; Assumptions'!$G$61*MAX(M427-M438-M449,0))</f>
        <v>1293311.74485421</v>
      </c>
      <c r="N460" s="39" t="n">
        <f aca="false">IF(10&gt;='Inputs &amp; Assumptions'!$E$145,0,'Inputs &amp; Assumptions'!$G$61*MAX(N427-N438-N449,0))</f>
        <v>1168410.61116269</v>
      </c>
      <c r="O460" s="39" t="n">
        <f aca="false">IF(11&gt;='Inputs &amp; Assumptions'!$E$145,0,'Inputs &amp; Assumptions'!$G$61*MAX(O427-O438-O449,0))</f>
        <v>1055571.76118544</v>
      </c>
      <c r="P460" s="39" t="n">
        <f aca="false">IF(12&gt;='Inputs &amp; Assumptions'!$E$145,0,'Inputs &amp; Assumptions'!$G$61*MAX(P427-P438-P449,0))</f>
        <v>956874.253844143</v>
      </c>
      <c r="Q460" s="39" t="n">
        <f aca="false">IF(13&gt;='Inputs &amp; Assumptions'!$E$145,0,'Inputs &amp; Assumptions'!$G$61*MAX(Q427-Q438-Q449,0))</f>
        <v>867405.108148716</v>
      </c>
      <c r="R460" s="39" t="n">
        <f aca="false">IF(14&gt;='Inputs &amp; Assumptions'!$E$145,0,'Inputs &amp; Assumptions'!$G$61*MAX(R427-R438-R449,0))</f>
        <v>786301.458754722</v>
      </c>
      <c r="S460" s="39" t="n">
        <f aca="false">IF(15&gt;='Inputs &amp; Assumptions'!$E$145,0,'Inputs &amp; Assumptions'!$G$61*MAX(S427-S438-S449,0))</f>
        <v>712781.119492556</v>
      </c>
      <c r="T460" s="39" t="n">
        <f aca="false">IF(16&gt;='Inputs &amp; Assumptions'!$E$145,0,'Inputs &amp; Assumptions'!$G$61*MAX(T427-T438-T449,0))</f>
        <v>647606.277756154</v>
      </c>
      <c r="U460" s="39" t="n">
        <f aca="false">IF(17&gt;='Inputs &amp; Assumptions'!$E$145,0,'Inputs &amp; Assumptions'!$G$61*MAX(U427-U438-U449,0))</f>
        <v>588390.853124386</v>
      </c>
      <c r="V460" s="39" t="n">
        <f aca="false">IF(18&gt;='Inputs &amp; Assumptions'!$E$145,0,'Inputs &amp; Assumptions'!$G$61*MAX(V427-V438-V449,0))</f>
        <v>534589.932080308</v>
      </c>
      <c r="W460" s="39" t="n">
        <f aca="false">IF(19&gt;='Inputs &amp; Assumptions'!$E$145,0,'Inputs &amp; Assumptions'!$G$61*MAX(W427-W438-W449,0))</f>
        <v>485708.426574083</v>
      </c>
      <c r="X460" s="39" t="n">
        <f aca="false">IF(20&gt;='Inputs &amp; Assumptions'!$E$145,0,'Inputs &amp; Assumptions'!$G$61*MAX(X427-X438-X449,0))</f>
        <v>442209.944871581</v>
      </c>
      <c r="Y460" s="39" t="n">
        <f aca="false">IF(21&gt;='Inputs &amp; Assumptions'!$E$145,0,'Inputs &amp; Assumptions'!$G$61*MAX(Y427-Y438-Y449,0))</f>
        <v>402607.047035656</v>
      </c>
      <c r="Z460" s="39" t="n">
        <f aca="false">IF(22&gt;='Inputs &amp; Assumptions'!$E$145,0,'Inputs &amp; Assumptions'!$G$61*MAX(Z427-Z438-Z449,0))</f>
        <v>366550.857127022</v>
      </c>
      <c r="AA460" s="39" t="n">
        <f aca="false">IF(23&gt;='Inputs &amp; Assumptions'!$E$145,0,'Inputs &amp; Assumptions'!$G$61*MAX(AA427-AA438-AA449,0))</f>
        <v>0</v>
      </c>
      <c r="AB460" s="39" t="n">
        <f aca="false">IF(24&gt;='Inputs &amp; Assumptions'!$E$145,0,'Inputs &amp; Assumptions'!$G$61*MAX(AB427-AB438-AB449,0))</f>
        <v>0</v>
      </c>
      <c r="AC460" s="39" t="n">
        <f aca="false">IF(25&gt;='Inputs &amp; Assumptions'!$E$145,0,'Inputs &amp; Assumptions'!$G$61*MAX(AC427-AC438-AC449,0))</f>
        <v>0</v>
      </c>
      <c r="AD460" s="39" t="n">
        <f aca="false">IF(26&gt;='Inputs &amp; Assumptions'!$E$145,0,'Inputs &amp; Assumptions'!$G$61*MAX(AD427-AD438-AD449,0))</f>
        <v>0</v>
      </c>
      <c r="AE460" s="39" t="n">
        <f aca="false">IF(27&gt;='Inputs &amp; Assumptions'!$E$145,0,'Inputs &amp; Assumptions'!$G$61*MAX(AE427-AE438-AE449,0))</f>
        <v>0</v>
      </c>
      <c r="AF460" s="39" t="n">
        <f aca="false">IF(28&gt;='Inputs &amp; Assumptions'!$E$145,0,'Inputs &amp; Assumptions'!$G$61*MAX(AF427-AF438-AF449,0))</f>
        <v>0</v>
      </c>
      <c r="AG460" s="39" t="n">
        <f aca="false">IF(29&gt;='Inputs &amp; Assumptions'!$E$145,0,'Inputs &amp; Assumptions'!$G$61*MAX(AG427-AG438-AG449,0))</f>
        <v>0</v>
      </c>
      <c r="AH460" s="39" t="n">
        <f aca="false">IF(30&gt;='Inputs &amp; Assumptions'!$E$145,0,'Inputs &amp; Assumptions'!$G$61*MAX(AH427-AH438-AH449,0))</f>
        <v>0</v>
      </c>
      <c r="AI460" s="39" t="n">
        <f aca="false">IF(31&gt;='Inputs &amp; Assumptions'!$E$145,0,'Inputs &amp; Assumptions'!$G$61*MAX(AI427-AI438-AI449,0))</f>
        <v>0</v>
      </c>
      <c r="AJ460" s="39" t="n">
        <f aca="false">IF(32&gt;='Inputs &amp; Assumptions'!$E$145,0,'Inputs &amp; Assumptions'!$G$61*MAX(AJ427-AJ438-AJ449,0))</f>
        <v>0</v>
      </c>
      <c r="AK460" s="39" t="n">
        <f aca="false">IF(33&gt;='Inputs &amp; Assumptions'!$E$145,0,'Inputs &amp; Assumptions'!$G$61*MAX(AK427-AK438-AK449,0))</f>
        <v>0</v>
      </c>
      <c r="AL460" s="39" t="n">
        <f aca="false">IF(34&gt;='Inputs &amp; Assumptions'!$E$145,0,'Inputs &amp; Assumptions'!$G$61*MAX(AL427-AL438-AL449,0))</f>
        <v>0</v>
      </c>
      <c r="AM460" s="39" t="n">
        <f aca="false">IF(35&gt;='Inputs &amp; Assumptions'!$E$145,0,'Inputs &amp; Assumptions'!$G$61*MAX(AM427-AM438-AM449,0))</f>
        <v>0</v>
      </c>
      <c r="AN460" s="39" t="n">
        <f aca="false">IF(36&gt;='Inputs &amp; Assumptions'!$E$145,0,'Inputs &amp; Assumptions'!$G$61*MAX(AN427-AN438-AN449,0))</f>
        <v>0</v>
      </c>
    </row>
    <row r="461" customFormat="false" ht="15" hidden="false" customHeight="false" outlineLevel="0" collapsed="false">
      <c r="B461" s="37" t="n">
        <v>7</v>
      </c>
      <c r="C461" s="38" t="n">
        <f aca="false">'Inputs &amp; Assumptions'!$C$146</f>
        <v>6</v>
      </c>
      <c r="D461" s="38" t="n">
        <f aca="false">'Inputs &amp; Assumptions'!$D$146</f>
        <v>3</v>
      </c>
      <c r="E461" s="39" t="n">
        <f aca="false">IF(1&gt;='Inputs &amp; Assumptions'!$E$146,0,'Inputs &amp; Assumptions'!$G$61*MAX(E428-E439-E450,0))</f>
        <v>2907626.21283833</v>
      </c>
      <c r="F461" s="39" t="n">
        <f aca="false">IF(2&gt;='Inputs &amp; Assumptions'!$E$146,0,'Inputs &amp; Assumptions'!$G$61*MAX(F428-F439-F450,0))</f>
        <v>2610285.54203963</v>
      </c>
      <c r="G461" s="39" t="n">
        <f aca="false">IF(3&gt;='Inputs &amp; Assumptions'!$E$146,0,'Inputs &amp; Assumptions'!$G$61*MAX(G428-G439-G450,0))</f>
        <v>2349098.6554301</v>
      </c>
      <c r="H461" s="39" t="n">
        <f aca="false">IF(4&gt;='Inputs &amp; Assumptions'!$E$146,0,'Inputs &amp; Assumptions'!$G$61*MAX(H428-H439-H450,0))</f>
        <v>2114046.30032606</v>
      </c>
      <c r="I461" s="39" t="n">
        <f aca="false">IF(5&gt;='Inputs &amp; Assumptions'!$E$146,0,'Inputs &amp; Assumptions'!$G$61*MAX(I428-I439-I450,0))</f>
        <v>1902513.43833154</v>
      </c>
      <c r="J461" s="39" t="n">
        <f aca="false">IF(6&gt;='Inputs &amp; Assumptions'!$E$146,0,'Inputs &amp; Assumptions'!$G$61*MAX(J428-J439-J450,0))</f>
        <v>1712146.69351084</v>
      </c>
      <c r="K461" s="39" t="n">
        <f aca="false">IF(7&gt;='Inputs &amp; Assumptions'!$E$146,0,'Inputs &amp; Assumptions'!$G$61*MAX(K428-K439-K450,0))</f>
        <v>1546796.71975815</v>
      </c>
      <c r="L461" s="39" t="n">
        <f aca="false">IF(8&gt;='Inputs &amp; Assumptions'!$E$146,0,'Inputs &amp; Assumptions'!$G$61*MAX(L428-L439-L450,0))</f>
        <v>1397415.36243513</v>
      </c>
      <c r="M461" s="39" t="n">
        <f aca="false">IF(9&gt;='Inputs &amp; Assumptions'!$E$146,0,'Inputs &amp; Assumptions'!$G$61*MAX(M428-M439-M450,0))</f>
        <v>1262460.45794242</v>
      </c>
      <c r="N461" s="39" t="n">
        <f aca="false">IF(10&gt;='Inputs &amp; Assumptions'!$E$146,0,'Inputs &amp; Assumptions'!$G$61*MAX(N428-N439-N450,0))</f>
        <v>1140538.77659598</v>
      </c>
      <c r="O461" s="39" t="n">
        <f aca="false">IF(11&gt;='Inputs &amp; Assumptions'!$E$146,0,'Inputs &amp; Assumptions'!$G$61*MAX(O428-O439-O450,0))</f>
        <v>1033896.72873588</v>
      </c>
      <c r="P461" s="39" t="n">
        <f aca="false">IF(12&gt;='Inputs &amp; Assumptions'!$E$146,0,'Inputs &amp; Assumptions'!$G$61*MAX(P428-P439-P450,0))</f>
        <v>937225.868708366</v>
      </c>
      <c r="Q461" s="39" t="n">
        <f aca="false">IF(13&gt;='Inputs &amp; Assumptions'!$E$146,0,'Inputs &amp; Assumptions'!$G$61*MAX(Q428-Q439-Q450,0))</f>
        <v>849593.875831432</v>
      </c>
      <c r="R461" s="39" t="n">
        <f aca="false">IF(14&gt;='Inputs &amp; Assumptions'!$E$146,0,'Inputs &amp; Assumptions'!$G$61*MAX(R428-R439-R450,0))</f>
        <v>770155.602773783</v>
      </c>
      <c r="S461" s="39" t="n">
        <f aca="false">IF(15&gt;='Inputs &amp; Assumptions'!$E$146,0,'Inputs &amp; Assumptions'!$G$61*MAX(S428-S439-S450,0))</f>
        <v>699734.588312963</v>
      </c>
      <c r="T461" s="39" t="n">
        <f aca="false">IF(16&gt;='Inputs &amp; Assumptions'!$E$146,0,'Inputs &amp; Assumptions'!$G$61*MAX(T428-T439-T450,0))</f>
        <v>635752.687272638</v>
      </c>
      <c r="U461" s="39" t="n">
        <f aca="false">IF(17&gt;='Inputs &amp; Assumptions'!$E$146,0,'Inputs &amp; Assumptions'!$G$61*MAX(U428-U439-U450,0))</f>
        <v>577621.123959085</v>
      </c>
      <c r="V461" s="39" t="n">
        <f aca="false">IF(18&gt;='Inputs &amp; Assumptions'!$E$146,0,'Inputs &amp; Assumptions'!$G$61*MAX(V428-V439-V450,0))</f>
        <v>524804.958788439</v>
      </c>
      <c r="W461" s="39" t="n">
        <f aca="false">IF(19&gt;='Inputs &amp; Assumptions'!$E$146,0,'Inputs &amp; Assumptions'!$G$61*MAX(W428-W439-W450,0))</f>
        <v>477805.117632174</v>
      </c>
      <c r="X461" s="39" t="n">
        <f aca="false">IF(20&gt;='Inputs &amp; Assumptions'!$E$146,0,'Inputs &amp; Assumptions'!$G$61*MAX(X428-X439-X450,0))</f>
        <v>435014.430813577</v>
      </c>
      <c r="Y461" s="39" t="n">
        <f aca="false">IF(21&gt;='Inputs &amp; Assumptions'!$E$146,0,'Inputs &amp; Assumptions'!$G$61*MAX(Y428-Y439-Y450,0))</f>
        <v>396055.940032312</v>
      </c>
      <c r="Z461" s="39" t="n">
        <f aca="false">IF(22&gt;='Inputs &amp; Assumptions'!$E$146,0,'Inputs &amp; Assumptions'!$G$61*MAX(Z428-Z439-Z450,0))</f>
        <v>0</v>
      </c>
      <c r="AA461" s="39" t="n">
        <f aca="false">IF(23&gt;='Inputs &amp; Assumptions'!$E$146,0,'Inputs &amp; Assumptions'!$G$61*MAX(AA428-AA439-AA450,0))</f>
        <v>0</v>
      </c>
      <c r="AB461" s="39" t="n">
        <f aca="false">IF(24&gt;='Inputs &amp; Assumptions'!$E$146,0,'Inputs &amp; Assumptions'!$G$61*MAX(AB428-AB439-AB450,0))</f>
        <v>0</v>
      </c>
      <c r="AC461" s="39" t="n">
        <f aca="false">IF(25&gt;='Inputs &amp; Assumptions'!$E$146,0,'Inputs &amp; Assumptions'!$G$61*MAX(AC428-AC439-AC450,0))</f>
        <v>0</v>
      </c>
      <c r="AD461" s="39" t="n">
        <f aca="false">IF(26&gt;='Inputs &amp; Assumptions'!$E$146,0,'Inputs &amp; Assumptions'!$G$61*MAX(AD428-AD439-AD450,0))</f>
        <v>0</v>
      </c>
      <c r="AE461" s="39" t="n">
        <f aca="false">IF(27&gt;='Inputs &amp; Assumptions'!$E$146,0,'Inputs &amp; Assumptions'!$G$61*MAX(AE428-AE439-AE450,0))</f>
        <v>0</v>
      </c>
      <c r="AF461" s="39" t="n">
        <f aca="false">IF(28&gt;='Inputs &amp; Assumptions'!$E$146,0,'Inputs &amp; Assumptions'!$G$61*MAX(AF428-AF439-AF450,0))</f>
        <v>0</v>
      </c>
      <c r="AG461" s="39" t="n">
        <f aca="false">IF(29&gt;='Inputs &amp; Assumptions'!$E$146,0,'Inputs &amp; Assumptions'!$G$61*MAX(AG428-AG439-AG450,0))</f>
        <v>0</v>
      </c>
      <c r="AH461" s="39" t="n">
        <f aca="false">IF(30&gt;='Inputs &amp; Assumptions'!$E$146,0,'Inputs &amp; Assumptions'!$G$61*MAX(AH428-AH439-AH450,0))</f>
        <v>0</v>
      </c>
      <c r="AI461" s="39" t="n">
        <f aca="false">IF(31&gt;='Inputs &amp; Assumptions'!$E$146,0,'Inputs &amp; Assumptions'!$G$61*MAX(AI428-AI439-AI450,0))</f>
        <v>0</v>
      </c>
      <c r="AJ461" s="39" t="n">
        <f aca="false">IF(32&gt;='Inputs &amp; Assumptions'!$E$146,0,'Inputs &amp; Assumptions'!$G$61*MAX(AJ428-AJ439-AJ450,0))</f>
        <v>0</v>
      </c>
      <c r="AK461" s="39" t="n">
        <f aca="false">IF(33&gt;='Inputs &amp; Assumptions'!$E$146,0,'Inputs &amp; Assumptions'!$G$61*MAX(AK428-AK439-AK450,0))</f>
        <v>0</v>
      </c>
      <c r="AL461" s="39" t="n">
        <f aca="false">IF(34&gt;='Inputs &amp; Assumptions'!$E$146,0,'Inputs &amp; Assumptions'!$G$61*MAX(AL428-AL439-AL450,0))</f>
        <v>0</v>
      </c>
      <c r="AM461" s="39" t="n">
        <f aca="false">IF(35&gt;='Inputs &amp; Assumptions'!$E$146,0,'Inputs &amp; Assumptions'!$G$61*MAX(AM428-AM439-AM450,0))</f>
        <v>0</v>
      </c>
      <c r="AN461" s="39" t="n">
        <f aca="false">IF(36&gt;='Inputs &amp; Assumptions'!$E$146,0,'Inputs &amp; Assumptions'!$G$61*MAX(AN428-AN439-AN450,0))</f>
        <v>0</v>
      </c>
    </row>
    <row r="462" customFormat="false" ht="15" hidden="false" customHeight="false" outlineLevel="0" collapsed="false">
      <c r="B462" s="37" t="n">
        <v>8</v>
      </c>
      <c r="C462" s="38" t="n">
        <f aca="false">'Inputs &amp; Assumptions'!$C$147</f>
        <v>7</v>
      </c>
      <c r="D462" s="38" t="n">
        <f aca="false">'Inputs &amp; Assumptions'!$D$147</f>
        <v>3</v>
      </c>
      <c r="E462" s="39" t="n">
        <f aca="false">IF(1&gt;='Inputs &amp; Assumptions'!$E$147,0,'Inputs &amp; Assumptions'!$G$61*MAX(E429-E440-E451,0))</f>
        <v>2820397.42645318</v>
      </c>
      <c r="F462" s="39" t="n">
        <f aca="false">IF(2&gt;='Inputs &amp; Assumptions'!$E$147,0,'Inputs &amp; Assumptions'!$G$61*MAX(F429-F440-F451,0))</f>
        <v>2538186.60662033</v>
      </c>
      <c r="G462" s="39" t="n">
        <f aca="false">IF(3&gt;='Inputs &amp; Assumptions'!$E$147,0,'Inputs &amp; Assumptions'!$G$61*MAX(G429-G440-G451,0))</f>
        <v>2284213.98686656</v>
      </c>
      <c r="H462" s="39" t="n">
        <f aca="false">IF(4&gt;='Inputs &amp; Assumptions'!$E$147,0,'Inputs &amp; Assumptions'!$G$61*MAX(H429-H440-H451,0))</f>
        <v>2055654.03433606</v>
      </c>
      <c r="I462" s="39" t="n">
        <f aca="false">IF(5&gt;='Inputs &amp; Assumptions'!$E$147,0,'Inputs &amp; Assumptions'!$G$61*MAX(I429-I440-I451,0))</f>
        <v>1849963.94084728</v>
      </c>
      <c r="J462" s="39" t="n">
        <f aca="false">IF(6&gt;='Inputs &amp; Assumptions'!$E$147,0,'Inputs &amp; Assumptions'!$G$61*MAX(J429-J440-J451,0))</f>
        <v>1671304.31417984</v>
      </c>
      <c r="K462" s="39" t="n">
        <f aca="false">IF(7&gt;='Inputs &amp; Assumptions'!$E$147,0,'Inputs &amp; Assumptions'!$G$61*MAX(K429-K440-K451,0))</f>
        <v>1509898.6790612</v>
      </c>
      <c r="L462" s="39" t="n">
        <f aca="false">IF(8&gt;='Inputs &amp; Assumptions'!$E$147,0,'Inputs &amp; Assumptions'!$G$61*MAX(L429-L440-L451,0))</f>
        <v>1364080.73723517</v>
      </c>
      <c r="M462" s="39" t="n">
        <f aca="false">IF(9&gt;='Inputs &amp; Assumptions'!$E$147,0,'Inputs &amp; Assumptions'!$G$61*MAX(M429-M440-M451,0))</f>
        <v>1232345.11262237</v>
      </c>
      <c r="N462" s="39" t="n">
        <f aca="false">IF(10&gt;='Inputs &amp; Assumptions'!$E$147,0,'Inputs &amp; Assumptions'!$G$61*MAX(N429-N440-N451,0))</f>
        <v>1117119.03773812</v>
      </c>
      <c r="O462" s="39" t="n">
        <f aca="false">IF(11&gt;='Inputs &amp; Assumptions'!$E$147,0,'Inputs &amp; Assumptions'!$G$61*MAX(O429-O440-O451,0))</f>
        <v>1012666.76979905</v>
      </c>
      <c r="P462" s="39" t="n">
        <f aca="false">IF(12&gt;='Inputs &amp; Assumptions'!$E$147,0,'Inputs &amp; Assumptions'!$G$61*MAX(P429-P440-P451,0))</f>
        <v>917980.942059316</v>
      </c>
      <c r="Q462" s="39" t="n">
        <f aca="false">IF(13&gt;='Inputs &amp; Assumptions'!$E$147,0,'Inputs &amp; Assumptions'!$G$61*MAX(Q429-Q440-Q451,0))</f>
        <v>832148.378040818</v>
      </c>
      <c r="R462" s="39" t="n">
        <f aca="false">IF(14&gt;='Inputs &amp; Assumptions'!$E$147,0,'Inputs &amp; Assumptions'!$G$61*MAX(R429-R440-R451,0))</f>
        <v>756058.906312631</v>
      </c>
      <c r="S462" s="39" t="n">
        <f aca="false">IF(15&gt;='Inputs &amp; Assumptions'!$E$147,0,'Inputs &amp; Assumptions'!$G$61*MAX(S429-S440-S451,0))</f>
        <v>686926.856915189</v>
      </c>
      <c r="T462" s="39" t="n">
        <f aca="false">IF(16&gt;='Inputs &amp; Assumptions'!$E$147,0,'Inputs &amp; Assumptions'!$G$61*MAX(T429-T440-T451,0))</f>
        <v>624116.061343324</v>
      </c>
      <c r="U462" s="39" t="n">
        <f aca="false">IF(17&gt;='Inputs &amp; Assumptions'!$E$147,0,'Inputs &amp; Assumptions'!$G$61*MAX(U429-U440-U451,0))</f>
        <v>567048.520676483</v>
      </c>
      <c r="V462" s="39" t="n">
        <f aca="false">IF(18&gt;='Inputs &amp; Assumptions'!$E$147,0,'Inputs &amp; Assumptions'!$G$61*MAX(V429-V440-V451,0))</f>
        <v>516265.482228796</v>
      </c>
      <c r="W462" s="39" t="n">
        <f aca="false">IF(19&gt;='Inputs &amp; Assumptions'!$E$147,0,'Inputs &amp; Assumptions'!$G$61*MAX(W429-W440-W451,0))</f>
        <v>470030.40907851</v>
      </c>
      <c r="X462" s="39" t="n">
        <f aca="false">IF(20&gt;='Inputs &amp; Assumptions'!$E$147,0,'Inputs &amp; Assumptions'!$G$61*MAX(X429-X440-X451,0))</f>
        <v>427936.000107405</v>
      </c>
      <c r="Y462" s="39" t="n">
        <f aca="false">IF(21&gt;='Inputs &amp; Assumptions'!$E$147,0,'Inputs &amp; Assumptions'!$G$61*MAX(Y429-Y440-Y451,0))</f>
        <v>0</v>
      </c>
      <c r="Z462" s="39" t="n">
        <f aca="false">IF(22&gt;='Inputs &amp; Assumptions'!$E$147,0,'Inputs &amp; Assumptions'!$G$61*MAX(Z429-Z440-Z451,0))</f>
        <v>0</v>
      </c>
      <c r="AA462" s="39" t="n">
        <f aca="false">IF(23&gt;='Inputs &amp; Assumptions'!$E$147,0,'Inputs &amp; Assumptions'!$G$61*MAX(AA429-AA440-AA451,0))</f>
        <v>0</v>
      </c>
      <c r="AB462" s="39" t="n">
        <f aca="false">IF(24&gt;='Inputs &amp; Assumptions'!$E$147,0,'Inputs &amp; Assumptions'!$G$61*MAX(AB429-AB440-AB451,0))</f>
        <v>0</v>
      </c>
      <c r="AC462" s="39" t="n">
        <f aca="false">IF(25&gt;='Inputs &amp; Assumptions'!$E$147,0,'Inputs &amp; Assumptions'!$G$61*MAX(AC429-AC440-AC451,0))</f>
        <v>0</v>
      </c>
      <c r="AD462" s="39" t="n">
        <f aca="false">IF(26&gt;='Inputs &amp; Assumptions'!$E$147,0,'Inputs &amp; Assumptions'!$G$61*MAX(AD429-AD440-AD451,0))</f>
        <v>0</v>
      </c>
      <c r="AE462" s="39" t="n">
        <f aca="false">IF(27&gt;='Inputs &amp; Assumptions'!$E$147,0,'Inputs &amp; Assumptions'!$G$61*MAX(AE429-AE440-AE451,0))</f>
        <v>0</v>
      </c>
      <c r="AF462" s="39" t="n">
        <f aca="false">IF(28&gt;='Inputs &amp; Assumptions'!$E$147,0,'Inputs &amp; Assumptions'!$G$61*MAX(AF429-AF440-AF451,0))</f>
        <v>0</v>
      </c>
      <c r="AG462" s="39" t="n">
        <f aca="false">IF(29&gt;='Inputs &amp; Assumptions'!$E$147,0,'Inputs &amp; Assumptions'!$G$61*MAX(AG429-AG440-AG451,0))</f>
        <v>0</v>
      </c>
      <c r="AH462" s="39" t="n">
        <f aca="false">IF(30&gt;='Inputs &amp; Assumptions'!$E$147,0,'Inputs &amp; Assumptions'!$G$61*MAX(AH429-AH440-AH451,0))</f>
        <v>0</v>
      </c>
      <c r="AI462" s="39" t="n">
        <f aca="false">IF(31&gt;='Inputs &amp; Assumptions'!$E$147,0,'Inputs &amp; Assumptions'!$G$61*MAX(AI429-AI440-AI451,0))</f>
        <v>0</v>
      </c>
      <c r="AJ462" s="39" t="n">
        <f aca="false">IF(32&gt;='Inputs &amp; Assumptions'!$E$147,0,'Inputs &amp; Assumptions'!$G$61*MAX(AJ429-AJ440-AJ451,0))</f>
        <v>0</v>
      </c>
      <c r="AK462" s="39" t="n">
        <f aca="false">IF(33&gt;='Inputs &amp; Assumptions'!$E$147,0,'Inputs &amp; Assumptions'!$G$61*MAX(AK429-AK440-AK451,0))</f>
        <v>0</v>
      </c>
      <c r="AL462" s="39" t="n">
        <f aca="false">IF(34&gt;='Inputs &amp; Assumptions'!$E$147,0,'Inputs &amp; Assumptions'!$G$61*MAX(AL429-AL440-AL451,0))</f>
        <v>0</v>
      </c>
      <c r="AM462" s="39" t="n">
        <f aca="false">IF(35&gt;='Inputs &amp; Assumptions'!$E$147,0,'Inputs &amp; Assumptions'!$G$61*MAX(AM429-AM440-AM451,0))</f>
        <v>0</v>
      </c>
      <c r="AN462" s="39" t="n">
        <f aca="false">IF(36&gt;='Inputs &amp; Assumptions'!$E$147,0,'Inputs &amp; Assumptions'!$G$61*MAX(AN429-AN440-AN451,0))</f>
        <v>0</v>
      </c>
    </row>
    <row r="463" customFormat="false" ht="15" hidden="false" customHeight="false" outlineLevel="0" collapsed="false">
      <c r="B463" s="37" t="n">
        <v>9</v>
      </c>
      <c r="C463" s="38" t="n">
        <f aca="false">'Inputs &amp; Assumptions'!$C$148</f>
        <v>8</v>
      </c>
      <c r="D463" s="38" t="n">
        <f aca="false">'Inputs &amp; Assumptions'!$D$148</f>
        <v>3</v>
      </c>
      <c r="E463" s="39" t="n">
        <f aca="false">IF(1&gt;='Inputs &amp; Assumptions'!$E$148,0,'Inputs &amp; Assumptions'!$G$61*MAX(E430-E441-E452,0))</f>
        <v>2742494.97147972</v>
      </c>
      <c r="F463" s="39" t="n">
        <f aca="false">IF(2&gt;='Inputs &amp; Assumptions'!$E$148,0,'Inputs &amp; Assumptions'!$G$61*MAX(F430-F441-F452,0))</f>
        <v>2468079.12248284</v>
      </c>
      <c r="G463" s="39" t="n">
        <f aca="false">IF(3&gt;='Inputs &amp; Assumptions'!$E$148,0,'Inputs &amp; Assumptions'!$G$61*MAX(G430-G441-G452,0))</f>
        <v>2221121.50366096</v>
      </c>
      <c r="H463" s="39" t="n">
        <f aca="false">IF(4&gt;='Inputs &amp; Assumptions'!$E$148,0,'Inputs &amp; Assumptions'!$G$61*MAX(H430-H441-H452,0))</f>
        <v>1998874.6264594</v>
      </c>
      <c r="I463" s="39" t="n">
        <f aca="false">IF(5&gt;='Inputs &amp; Assumptions'!$E$148,0,'Inputs &amp; Assumptions'!$G$61*MAX(I430-I441-I452,0))</f>
        <v>1805834.00191907</v>
      </c>
      <c r="J463" s="39" t="n">
        <f aca="false">IF(6&gt;='Inputs &amp; Assumptions'!$E$148,0,'Inputs &amp; Assumptions'!$G$61*MAX(J430-J441-J452,0))</f>
        <v>1631436.20881481</v>
      </c>
      <c r="K463" s="39" t="n">
        <f aca="false">IF(7&gt;='Inputs &amp; Assumptions'!$E$148,0,'Inputs &amp; Assumptions'!$G$61*MAX(K430-K441-K452,0))</f>
        <v>1473880.8221595</v>
      </c>
      <c r="L463" s="39" t="n">
        <f aca="false">IF(8&gt;='Inputs &amp; Assumptions'!$E$148,0,'Inputs &amp; Assumptions'!$G$61*MAX(L430-L441-L452,0))</f>
        <v>1331541.29238536</v>
      </c>
      <c r="M463" s="39" t="n">
        <f aca="false">IF(9&gt;='Inputs &amp; Assumptions'!$E$148,0,'Inputs &amp; Assumptions'!$G$61*MAX(M430-M441-M452,0))</f>
        <v>1207040.22925266</v>
      </c>
      <c r="N463" s="39" t="n">
        <f aca="false">IF(10&gt;='Inputs &amp; Assumptions'!$E$148,0,'Inputs &amp; Assumptions'!$G$61*MAX(N430-N441-N452,0))</f>
        <v>1094180.19806529</v>
      </c>
      <c r="O463" s="39" t="n">
        <f aca="false">IF(11&gt;='Inputs &amp; Assumptions'!$E$148,0,'Inputs &amp; Assumptions'!$G$61*MAX(O430-O441-O452,0))</f>
        <v>991872.745268361</v>
      </c>
      <c r="P463" s="39" t="n">
        <f aca="false">IF(12&gt;='Inputs &amp; Assumptions'!$E$148,0,'Inputs &amp; Assumptions'!$G$61*MAX(P430-P441-P452,0))</f>
        <v>899131.189310275</v>
      </c>
      <c r="Q463" s="39" t="n">
        <f aca="false">IF(13&gt;='Inputs &amp; Assumptions'!$E$148,0,'Inputs &amp; Assumptions'!$G$61*MAX(Q430-Q441-Q452,0))</f>
        <v>816916.984470955</v>
      </c>
      <c r="R463" s="39" t="n">
        <f aca="false">IF(14&gt;='Inputs &amp; Assumptions'!$E$148,0,'Inputs &amp; Assumptions'!$G$61*MAX(R430-R441-R452,0))</f>
        <v>742220.231542682</v>
      </c>
      <c r="S463" s="39" t="n">
        <f aca="false">IF(15&gt;='Inputs &amp; Assumptions'!$E$148,0,'Inputs &amp; Assumptions'!$G$61*MAX(S430-S441-S452,0))</f>
        <v>674353.554379867</v>
      </c>
      <c r="T463" s="39" t="n">
        <f aca="false">IF(16&gt;='Inputs &amp; Assumptions'!$E$148,0,'Inputs &amp; Assumptions'!$G$61*MAX(T430-T441-T452,0))</f>
        <v>612692.42871428</v>
      </c>
      <c r="U463" s="39" t="n">
        <f aca="false">IF(17&gt;='Inputs &amp; Assumptions'!$E$148,0,'Inputs &amp; Assumptions'!$G$61*MAX(U430-U441-U452,0))</f>
        <v>557821.668930118</v>
      </c>
      <c r="V463" s="39" t="n">
        <f aca="false">IF(18&gt;='Inputs &amp; Assumptions'!$E$148,0,'Inputs &amp; Assumptions'!$G$61*MAX(V430-V441-V452,0))</f>
        <v>507864.95759537</v>
      </c>
      <c r="W463" s="39" t="n">
        <f aca="false">IF(19&gt;='Inputs &amp; Assumptions'!$E$148,0,'Inputs &amp; Assumptions'!$G$61*MAX(W430-W441-W452,0))</f>
        <v>462382.208364263</v>
      </c>
      <c r="X463" s="39" t="n">
        <f aca="false">IF(20&gt;='Inputs &amp; Assumptions'!$E$148,0,'Inputs &amp; Assumptions'!$G$61*MAX(X430-X441-X452,0))</f>
        <v>0</v>
      </c>
      <c r="Y463" s="39" t="n">
        <f aca="false">IF(21&gt;='Inputs &amp; Assumptions'!$E$148,0,'Inputs &amp; Assumptions'!$G$61*MAX(Y430-Y441-Y452,0))</f>
        <v>0</v>
      </c>
      <c r="Z463" s="39" t="n">
        <f aca="false">IF(22&gt;='Inputs &amp; Assumptions'!$E$148,0,'Inputs &amp; Assumptions'!$G$61*MAX(Z430-Z441-Z452,0))</f>
        <v>0</v>
      </c>
      <c r="AA463" s="39" t="n">
        <f aca="false">IF(23&gt;='Inputs &amp; Assumptions'!$E$148,0,'Inputs &amp; Assumptions'!$G$61*MAX(AA430-AA441-AA452,0))</f>
        <v>0</v>
      </c>
      <c r="AB463" s="39" t="n">
        <f aca="false">IF(24&gt;='Inputs &amp; Assumptions'!$E$148,0,'Inputs &amp; Assumptions'!$G$61*MAX(AB430-AB441-AB452,0))</f>
        <v>0</v>
      </c>
      <c r="AC463" s="39" t="n">
        <f aca="false">IF(25&gt;='Inputs &amp; Assumptions'!$E$148,0,'Inputs &amp; Assumptions'!$G$61*MAX(AC430-AC441-AC452,0))</f>
        <v>0</v>
      </c>
      <c r="AD463" s="39" t="n">
        <f aca="false">IF(26&gt;='Inputs &amp; Assumptions'!$E$148,0,'Inputs &amp; Assumptions'!$G$61*MAX(AD430-AD441-AD452,0))</f>
        <v>0</v>
      </c>
      <c r="AE463" s="39" t="n">
        <f aca="false">IF(27&gt;='Inputs &amp; Assumptions'!$E$148,0,'Inputs &amp; Assumptions'!$G$61*MAX(AE430-AE441-AE452,0))</f>
        <v>0</v>
      </c>
      <c r="AF463" s="39" t="n">
        <f aca="false">IF(28&gt;='Inputs &amp; Assumptions'!$E$148,0,'Inputs &amp; Assumptions'!$G$61*MAX(AF430-AF441-AF452,0))</f>
        <v>0</v>
      </c>
      <c r="AG463" s="39" t="n">
        <f aca="false">IF(29&gt;='Inputs &amp; Assumptions'!$E$148,0,'Inputs &amp; Assumptions'!$G$61*MAX(AG430-AG441-AG452,0))</f>
        <v>0</v>
      </c>
      <c r="AH463" s="39" t="n">
        <f aca="false">IF(30&gt;='Inputs &amp; Assumptions'!$E$148,0,'Inputs &amp; Assumptions'!$G$61*MAX(AH430-AH441-AH452,0))</f>
        <v>0</v>
      </c>
      <c r="AI463" s="39" t="n">
        <f aca="false">IF(31&gt;='Inputs &amp; Assumptions'!$E$148,0,'Inputs &amp; Assumptions'!$G$61*MAX(AI430-AI441-AI452,0))</f>
        <v>0</v>
      </c>
      <c r="AJ463" s="39" t="n">
        <f aca="false">IF(32&gt;='Inputs &amp; Assumptions'!$E$148,0,'Inputs &amp; Assumptions'!$G$61*MAX(AJ430-AJ441-AJ452,0))</f>
        <v>0</v>
      </c>
      <c r="AK463" s="39" t="n">
        <f aca="false">IF(33&gt;='Inputs &amp; Assumptions'!$E$148,0,'Inputs &amp; Assumptions'!$G$61*MAX(AK430-AK441-AK452,0))</f>
        <v>0</v>
      </c>
      <c r="AL463" s="39" t="n">
        <f aca="false">IF(34&gt;='Inputs &amp; Assumptions'!$E$148,0,'Inputs &amp; Assumptions'!$G$61*MAX(AL430-AL441-AL452,0))</f>
        <v>0</v>
      </c>
      <c r="AM463" s="39" t="n">
        <f aca="false">IF(35&gt;='Inputs &amp; Assumptions'!$E$148,0,'Inputs &amp; Assumptions'!$G$61*MAX(AM430-AM441-AM452,0))</f>
        <v>0</v>
      </c>
      <c r="AN463" s="39" t="n">
        <f aca="false">IF(36&gt;='Inputs &amp; Assumptions'!$E$148,0,'Inputs &amp; Assumptions'!$G$61*MAX(AN430-AN441-AN452,0))</f>
        <v>0</v>
      </c>
    </row>
    <row r="464" customFormat="false" ht="15" hidden="false" customHeight="false" outlineLevel="0" collapsed="false">
      <c r="B464" s="37" t="n">
        <v>10</v>
      </c>
      <c r="C464" s="38" t="n">
        <f aca="false">'Inputs &amp; Assumptions'!$C$149</f>
        <v>9</v>
      </c>
      <c r="D464" s="38" t="n">
        <f aca="false">'Inputs &amp; Assumptions'!$D$149</f>
        <v>3</v>
      </c>
      <c r="E464" s="39" t="n">
        <f aca="false">IF(1&gt;='Inputs &amp; Assumptions'!$E$149,0,'Inputs &amp; Assumptions'!$G$61*MAX(E431-E442-E453,0))</f>
        <v>2660220.12233533</v>
      </c>
      <c r="F464" s="39" t="n">
        <f aca="false">IF(2&gt;='Inputs &amp; Assumptions'!$E$149,0,'Inputs &amp; Assumptions'!$G$61*MAX(F431-F442-F453,0))</f>
        <v>2394036.74880835</v>
      </c>
      <c r="G464" s="39" t="n">
        <f aca="false">IF(3&gt;='Inputs &amp; Assumptions'!$E$149,0,'Inputs &amp; Assumptions'!$G$61*MAX(G431-G442-G453,0))</f>
        <v>2154487.85855113</v>
      </c>
      <c r="H464" s="39" t="n">
        <f aca="false">IF(4&gt;='Inputs &amp; Assumptions'!$E$149,0,'Inputs &amp; Assumptions'!$G$61*MAX(H431-H442-H453,0))</f>
        <v>1946418.94003374</v>
      </c>
      <c r="I464" s="39" t="n">
        <f aca="false">IF(5&gt;='Inputs &amp; Assumptions'!$E$149,0,'Inputs &amp; Assumptions'!$G$61*MAX(I431-I442-I453,0))</f>
        <v>1758444.2052367</v>
      </c>
      <c r="J464" s="39" t="n">
        <f aca="false">IF(6&gt;='Inputs &amp; Assumptions'!$E$149,0,'Inputs &amp; Assumptions'!$G$61*MAX(J431-J442-J453,0))</f>
        <v>1588623.06532885</v>
      </c>
      <c r="K464" s="39" t="n">
        <f aca="false">IF(7&gt;='Inputs &amp; Assumptions'!$E$149,0,'Inputs &amp; Assumptions'!$G$61*MAX(K431-K442-K453,0))</f>
        <v>1435202.34317308</v>
      </c>
      <c r="L464" s="39" t="n">
        <f aca="false">IF(8&gt;='Inputs &amp; Assumptions'!$E$149,0,'Inputs &amp; Assumptions'!$G$61*MAX(L431-L442-L453,0))</f>
        <v>1301008.81980477</v>
      </c>
      <c r="M464" s="39" t="n">
        <f aca="false">IF(9&gt;='Inputs &amp; Assumptions'!$E$149,0,'Inputs &amp; Assumptions'!$G$61*MAX(M431-M442-M453,0))</f>
        <v>1179362.58762481</v>
      </c>
      <c r="N464" s="39" t="n">
        <f aca="false">IF(10&gt;='Inputs &amp; Assumptions'!$E$149,0,'Inputs &amp; Assumptions'!$G$61*MAX(N431-N442-N453,0))</f>
        <v>1069090.45651036</v>
      </c>
      <c r="O464" s="39" t="n">
        <f aca="false">IF(11&gt;='Inputs &amp; Assumptions'!$E$149,0,'Inputs &amp; Assumptions'!$G$61*MAX(O431-O442-O453,0))</f>
        <v>969128.931335192</v>
      </c>
      <c r="P464" s="39" t="n">
        <f aca="false">IF(12&gt;='Inputs &amp; Assumptions'!$E$149,0,'Inputs &amp; Assumptions'!$G$61*MAX(P431-P442-P453,0))</f>
        <v>880514.316000112</v>
      </c>
      <c r="Q464" s="39" t="n">
        <f aca="false">IF(13&gt;='Inputs &amp; Assumptions'!$E$149,0,'Inputs &amp; Assumptions'!$G$61*MAX(Q431-Q442-Q453,0))</f>
        <v>800002.389375569</v>
      </c>
      <c r="R464" s="39" t="n">
        <f aca="false">IF(14&gt;='Inputs &amp; Assumptions'!$E$149,0,'Inputs &amp; Assumptions'!$G$61*MAX(R431-R442-R453,0))</f>
        <v>726852.26279335</v>
      </c>
      <c r="S464" s="39" t="n">
        <f aca="false">IF(15&gt;='Inputs &amp; Assumptions'!$E$149,0,'Inputs &amp; Assumptions'!$G$61*MAX(S431-S442-S453,0))</f>
        <v>660390.792507733</v>
      </c>
      <c r="T464" s="39" t="n">
        <f aca="false">IF(16&gt;='Inputs &amp; Assumptions'!$E$149,0,'Inputs &amp; Assumptions'!$G$61*MAX(T431-T442-T453,0))</f>
        <v>601248.320949198</v>
      </c>
      <c r="U464" s="39" t="n">
        <f aca="false">IF(17&gt;='Inputs &amp; Assumptions'!$E$149,0,'Inputs &amp; Assumptions'!$G$61*MAX(U431-U442-U453,0))</f>
        <v>547402.458582879</v>
      </c>
      <c r="V464" s="39" t="n">
        <f aca="false">IF(18&gt;='Inputs &amp; Assumptions'!$E$149,0,'Inputs &amp; Assumptions'!$G$61*MAX(V431-V442-V453,0))</f>
        <v>498378.858155514</v>
      </c>
      <c r="W464" s="39" t="n">
        <f aca="false">IF(19&gt;='Inputs &amp; Assumptions'!$E$149,0,'Inputs &amp; Assumptions'!$G$61*MAX(W431-W442-W453,0))</f>
        <v>0</v>
      </c>
      <c r="X464" s="39" t="n">
        <f aca="false">IF(20&gt;='Inputs &amp; Assumptions'!$E$149,0,'Inputs &amp; Assumptions'!$G$61*MAX(X431-X442-X453,0))</f>
        <v>0</v>
      </c>
      <c r="Y464" s="39" t="n">
        <f aca="false">IF(21&gt;='Inputs &amp; Assumptions'!$E$149,0,'Inputs &amp; Assumptions'!$G$61*MAX(Y431-Y442-Y453,0))</f>
        <v>0</v>
      </c>
      <c r="Z464" s="39" t="n">
        <f aca="false">IF(22&gt;='Inputs &amp; Assumptions'!$E$149,0,'Inputs &amp; Assumptions'!$G$61*MAX(Z431-Z442-Z453,0))</f>
        <v>0</v>
      </c>
      <c r="AA464" s="39" t="n">
        <f aca="false">IF(23&gt;='Inputs &amp; Assumptions'!$E$149,0,'Inputs &amp; Assumptions'!$G$61*MAX(AA431-AA442-AA453,0))</f>
        <v>0</v>
      </c>
      <c r="AB464" s="39" t="n">
        <f aca="false">IF(24&gt;='Inputs &amp; Assumptions'!$E$149,0,'Inputs &amp; Assumptions'!$G$61*MAX(AB431-AB442-AB453,0))</f>
        <v>0</v>
      </c>
      <c r="AC464" s="39" t="n">
        <f aca="false">IF(25&gt;='Inputs &amp; Assumptions'!$E$149,0,'Inputs &amp; Assumptions'!$G$61*MAX(AC431-AC442-AC453,0))</f>
        <v>0</v>
      </c>
      <c r="AD464" s="39" t="n">
        <f aca="false">IF(26&gt;='Inputs &amp; Assumptions'!$E$149,0,'Inputs &amp; Assumptions'!$G$61*MAX(AD431-AD442-AD453,0))</f>
        <v>0</v>
      </c>
      <c r="AE464" s="39" t="n">
        <f aca="false">IF(27&gt;='Inputs &amp; Assumptions'!$E$149,0,'Inputs &amp; Assumptions'!$G$61*MAX(AE431-AE442-AE453,0))</f>
        <v>0</v>
      </c>
      <c r="AF464" s="39" t="n">
        <f aca="false">IF(28&gt;='Inputs &amp; Assumptions'!$E$149,0,'Inputs &amp; Assumptions'!$G$61*MAX(AF431-AF442-AF453,0))</f>
        <v>0</v>
      </c>
      <c r="AG464" s="39" t="n">
        <f aca="false">IF(29&gt;='Inputs &amp; Assumptions'!$E$149,0,'Inputs &amp; Assumptions'!$G$61*MAX(AG431-AG442-AG453,0))</f>
        <v>0</v>
      </c>
      <c r="AH464" s="39" t="n">
        <f aca="false">IF(30&gt;='Inputs &amp; Assumptions'!$E$149,0,'Inputs &amp; Assumptions'!$G$61*MAX(AH431-AH442-AH453,0))</f>
        <v>0</v>
      </c>
      <c r="AI464" s="39" t="n">
        <f aca="false">IF(31&gt;='Inputs &amp; Assumptions'!$E$149,0,'Inputs &amp; Assumptions'!$G$61*MAX(AI431-AI442-AI453,0))</f>
        <v>0</v>
      </c>
      <c r="AJ464" s="39" t="n">
        <f aca="false">IF(32&gt;='Inputs &amp; Assumptions'!$E$149,0,'Inputs &amp; Assumptions'!$G$61*MAX(AJ431-AJ442-AJ453,0))</f>
        <v>0</v>
      </c>
      <c r="AK464" s="39" t="n">
        <f aca="false">IF(33&gt;='Inputs &amp; Assumptions'!$E$149,0,'Inputs &amp; Assumptions'!$G$61*MAX(AK431-AK442-AK453,0))</f>
        <v>0</v>
      </c>
      <c r="AL464" s="39" t="n">
        <f aca="false">IF(34&gt;='Inputs &amp; Assumptions'!$E$149,0,'Inputs &amp; Assumptions'!$G$61*MAX(AL431-AL442-AL453,0))</f>
        <v>0</v>
      </c>
      <c r="AM464" s="39" t="n">
        <f aca="false">IF(35&gt;='Inputs &amp; Assumptions'!$E$149,0,'Inputs &amp; Assumptions'!$G$61*MAX(AM431-AM442-AM453,0))</f>
        <v>0</v>
      </c>
      <c r="AN464" s="39" t="n">
        <f aca="false">IF(36&gt;='Inputs &amp; Assumptions'!$E$149,0,'Inputs &amp; Assumptions'!$G$61*MAX(AN431-AN442-AN453,0))</f>
        <v>0</v>
      </c>
    </row>
    <row r="465" customFormat="false" ht="15" hidden="false" customHeight="false" outlineLevel="0" collapsed="false">
      <c r="B465" s="37" t="n">
        <v>11</v>
      </c>
      <c r="C465" s="38" t="n">
        <f aca="false">'Inputs &amp; Assumptions'!$C$150</f>
        <v>10</v>
      </c>
      <c r="D465" s="38" t="n">
        <f aca="false">'Inputs &amp; Assumptions'!$D$150</f>
        <v>2</v>
      </c>
      <c r="E465" s="39" t="n">
        <f aca="false">IF(1&gt;='Inputs &amp; Assumptions'!$E$150,0,'Inputs &amp; Assumptions'!$G$61*MAX(E432-E443-E454,0))</f>
        <v>1720275.67911018</v>
      </c>
      <c r="F465" s="39" t="n">
        <f aca="false">IF(2&gt;='Inputs &amp; Assumptions'!$E$150,0,'Inputs &amp; Assumptions'!$G$61*MAX(F432-F443-F454,0))</f>
        <v>1548143.7642294</v>
      </c>
      <c r="G465" s="39" t="n">
        <f aca="false">IF(3&gt;='Inputs &amp; Assumptions'!$E$150,0,'Inputs &amp; Assumptions'!$G$61*MAX(G432-G443-G454,0))</f>
        <v>1398632.31655326</v>
      </c>
      <c r="H465" s="39" t="n">
        <f aca="false">IF(4&gt;='Inputs &amp; Assumptions'!$E$150,0,'Inputs &amp; Assumptions'!$G$61*MAX(H432-H443-H454,0))</f>
        <v>1263559.88513821</v>
      </c>
      <c r="I465" s="39" t="n">
        <f aca="false">IF(5&gt;='Inputs &amp; Assumptions'!$E$150,0,'Inputs &amp; Assumptions'!$G$61*MAX(I432-I443-I454,0))</f>
        <v>1141532.02699123</v>
      </c>
      <c r="J465" s="39" t="n">
        <f aca="false">IF(6&gt;='Inputs &amp; Assumptions'!$E$150,0,'Inputs &amp; Assumptions'!$G$61*MAX(J432-J443-J454,0))</f>
        <v>1031288.96696825</v>
      </c>
      <c r="K465" s="39" t="n">
        <f aca="false">IF(7&gt;='Inputs &amp; Assumptions'!$E$150,0,'Inputs &amp; Assumptions'!$G$61*MAX(K432-K443-K454,0))</f>
        <v>934861.936489491</v>
      </c>
      <c r="L465" s="39" t="n">
        <f aca="false">IF(8&gt;='Inputs &amp; Assumptions'!$E$150,0,'Inputs &amp; Assumptions'!$G$61*MAX(L432-L443-L454,0))</f>
        <v>847450.974740999</v>
      </c>
      <c r="M465" s="39" t="n">
        <f aca="false">IF(9&gt;='Inputs &amp; Assumptions'!$E$150,0,'Inputs &amp; Assumptions'!$G$61*MAX(M432-M443-M454,0))</f>
        <v>768213.06607721</v>
      </c>
      <c r="N465" s="39" t="n">
        <f aca="false">IF(10&gt;='Inputs &amp; Assumptions'!$E$150,0,'Inputs &amp; Assumptions'!$G$61*MAX(N432-N443-N454,0))</f>
        <v>696384.018051441</v>
      </c>
      <c r="O465" s="39" t="n">
        <f aca="false">IF(11&gt;='Inputs &amp; Assumptions'!$E$150,0,'Inputs &amp; Assumptions'!$G$61*MAX(O432-O443-O454,0))</f>
        <v>632708.484394524</v>
      </c>
      <c r="P465" s="39" t="n">
        <f aca="false">IF(12&gt;='Inputs &amp; Assumptions'!$E$150,0,'Inputs &amp; Assumptions'!$G$61*MAX(P432-P443-P454,0))</f>
        <v>574855.275031951</v>
      </c>
      <c r="Q465" s="39" t="n">
        <f aca="false">IF(13&gt;='Inputs &amp; Assumptions'!$E$150,0,'Inputs &amp; Assumptions'!$G$61*MAX(Q432-Q443-Q454,0))</f>
        <v>522292.011854867</v>
      </c>
      <c r="R465" s="39" t="n">
        <f aca="false">IF(14&gt;='Inputs &amp; Assumptions'!$E$150,0,'Inputs &amp; Assumptions'!$G$61*MAX(R432-R443-R454,0))</f>
        <v>474534.996016594</v>
      </c>
      <c r="S465" s="39" t="n">
        <f aca="false">IF(15&gt;='Inputs &amp; Assumptions'!$E$150,0,'Inputs &amp; Assumptions'!$G$61*MAX(S432-S443-S454,0))</f>
        <v>432037.170753361</v>
      </c>
      <c r="T465" s="39" t="n">
        <f aca="false">IF(16&gt;='Inputs &amp; Assumptions'!$E$150,0,'Inputs &amp; Assumptions'!$G$61*MAX(T432-T443-T454,0))</f>
        <v>393345.31379018</v>
      </c>
      <c r="U465" s="39" t="n">
        <f aca="false">IF(17&gt;='Inputs &amp; Assumptions'!$E$150,0,'Inputs &amp; Assumptions'!$G$61*MAX(U432-U443-U454,0))</f>
        <v>358118.574869155</v>
      </c>
      <c r="V465" s="39" t="n">
        <f aca="false">IF(18&gt;='Inputs &amp; Assumptions'!$E$150,0,'Inputs &amp; Assumptions'!$G$61*MAX(V432-V443-V454,0))</f>
        <v>0</v>
      </c>
      <c r="W465" s="39" t="n">
        <f aca="false">IF(19&gt;='Inputs &amp; Assumptions'!$E$150,0,'Inputs &amp; Assumptions'!$G$61*MAX(W432-W443-W454,0))</f>
        <v>0</v>
      </c>
      <c r="X465" s="39" t="n">
        <f aca="false">IF(20&gt;='Inputs &amp; Assumptions'!$E$150,0,'Inputs &amp; Assumptions'!$G$61*MAX(X432-X443-X454,0))</f>
        <v>0</v>
      </c>
      <c r="Y465" s="39" t="n">
        <f aca="false">IF(21&gt;='Inputs &amp; Assumptions'!$E$150,0,'Inputs &amp; Assumptions'!$G$61*MAX(Y432-Y443-Y454,0))</f>
        <v>0</v>
      </c>
      <c r="Z465" s="39" t="n">
        <f aca="false">IF(22&gt;='Inputs &amp; Assumptions'!$E$150,0,'Inputs &amp; Assumptions'!$G$61*MAX(Z432-Z443-Z454,0))</f>
        <v>0</v>
      </c>
      <c r="AA465" s="39" t="n">
        <f aca="false">IF(23&gt;='Inputs &amp; Assumptions'!$E$150,0,'Inputs &amp; Assumptions'!$G$61*MAX(AA432-AA443-AA454,0))</f>
        <v>0</v>
      </c>
      <c r="AB465" s="39" t="n">
        <f aca="false">IF(24&gt;='Inputs &amp; Assumptions'!$E$150,0,'Inputs &amp; Assumptions'!$G$61*MAX(AB432-AB443-AB454,0))</f>
        <v>0</v>
      </c>
      <c r="AC465" s="39" t="n">
        <f aca="false">IF(25&gt;='Inputs &amp; Assumptions'!$E$150,0,'Inputs &amp; Assumptions'!$G$61*MAX(AC432-AC443-AC454,0))</f>
        <v>0</v>
      </c>
      <c r="AD465" s="39" t="n">
        <f aca="false">IF(26&gt;='Inputs &amp; Assumptions'!$E$150,0,'Inputs &amp; Assumptions'!$G$61*MAX(AD432-AD443-AD454,0))</f>
        <v>0</v>
      </c>
      <c r="AE465" s="39" t="n">
        <f aca="false">IF(27&gt;='Inputs &amp; Assumptions'!$E$150,0,'Inputs &amp; Assumptions'!$G$61*MAX(AE432-AE443-AE454,0))</f>
        <v>0</v>
      </c>
      <c r="AF465" s="39" t="n">
        <f aca="false">IF(28&gt;='Inputs &amp; Assumptions'!$E$150,0,'Inputs &amp; Assumptions'!$G$61*MAX(AF432-AF443-AF454,0))</f>
        <v>0</v>
      </c>
      <c r="AG465" s="39" t="n">
        <f aca="false">IF(29&gt;='Inputs &amp; Assumptions'!$E$150,0,'Inputs &amp; Assumptions'!$G$61*MAX(AG432-AG443-AG454,0))</f>
        <v>0</v>
      </c>
      <c r="AH465" s="39" t="n">
        <f aca="false">IF(30&gt;='Inputs &amp; Assumptions'!$E$150,0,'Inputs &amp; Assumptions'!$G$61*MAX(AH432-AH443-AH454,0))</f>
        <v>0</v>
      </c>
      <c r="AI465" s="39" t="n">
        <f aca="false">IF(31&gt;='Inputs &amp; Assumptions'!$E$150,0,'Inputs &amp; Assumptions'!$G$61*MAX(AI432-AI443-AI454,0))</f>
        <v>0</v>
      </c>
      <c r="AJ465" s="39" t="n">
        <f aca="false">IF(32&gt;='Inputs &amp; Assumptions'!$E$150,0,'Inputs &amp; Assumptions'!$G$61*MAX(AJ432-AJ443-AJ454,0))</f>
        <v>0</v>
      </c>
      <c r="AK465" s="39" t="n">
        <f aca="false">IF(33&gt;='Inputs &amp; Assumptions'!$E$150,0,'Inputs &amp; Assumptions'!$G$61*MAX(AK432-AK443-AK454,0))</f>
        <v>0</v>
      </c>
      <c r="AL465" s="39" t="n">
        <f aca="false">IF(34&gt;='Inputs &amp; Assumptions'!$E$150,0,'Inputs &amp; Assumptions'!$G$61*MAX(AL432-AL443-AL454,0))</f>
        <v>0</v>
      </c>
      <c r="AM465" s="39" t="n">
        <f aca="false">IF(35&gt;='Inputs &amp; Assumptions'!$E$150,0,'Inputs &amp; Assumptions'!$G$61*MAX(AM432-AM443-AM454,0))</f>
        <v>0</v>
      </c>
      <c r="AN465" s="39" t="n">
        <f aca="false">IF(36&gt;='Inputs &amp; Assumptions'!$E$150,0,'Inputs &amp; Assumptions'!$G$61*MAX(AN432-AN443-AN454,0))</f>
        <v>0</v>
      </c>
    </row>
    <row r="466" customFormat="false" ht="15" hidden="false" customHeight="false" outlineLevel="0" collapsed="false">
      <c r="A466" s="14" t="s">
        <v>130</v>
      </c>
      <c r="B466" s="37" t="n">
        <v>1</v>
      </c>
      <c r="C466" s="38" t="n">
        <f aca="false">'Inputs &amp; Assumptions'!$C$140</f>
        <v>0</v>
      </c>
      <c r="D466" s="38" t="n">
        <f aca="false">'Inputs &amp; Assumptions'!$D$140</f>
        <v>1</v>
      </c>
      <c r="E466" s="39" t="n">
        <f aca="false">'Inputs &amp; Assumptions'!E$51/4*(E422-E433)</f>
        <v>360377.42</v>
      </c>
      <c r="F466" s="39" t="n">
        <f aca="false">'Inputs &amp; Assumptions'!F$51/4*(F422-F433)</f>
        <v>335404.82069469</v>
      </c>
      <c r="G466" s="39" t="n">
        <f aca="false">'Inputs &amp; Assumptions'!G$51/4*(G422-G433)</f>
        <v>312162.714704037</v>
      </c>
      <c r="H466" s="39" t="n">
        <f aca="false">'Inputs &amp; Assumptions'!H$51/4*(H422-H433)</f>
        <v>290531.186312603</v>
      </c>
      <c r="I466" s="39" t="n">
        <f aca="false">'Inputs &amp; Assumptions'!I$51/4*(I422-I433)</f>
        <v>268887.408572453</v>
      </c>
      <c r="J466" s="39" t="n">
        <f aca="false">'Inputs &amp; Assumptions'!J$51/4*(J422-J433)</f>
        <v>241390.352010904</v>
      </c>
      <c r="K466" s="39" t="n">
        <f aca="false">'Inputs &amp; Assumptions'!K$51/4*(K422-K433)</f>
        <v>216705.208895073</v>
      </c>
      <c r="L466" s="39" t="n">
        <f aca="false">'Inputs &amp; Assumptions'!L$51/4*(L422-L433)</f>
        <v>194544.426366037</v>
      </c>
      <c r="M466" s="39" t="n">
        <f aca="false">'Inputs &amp; Assumptions'!M$51/4*(M422-M433)</f>
        <v>175078.183224653</v>
      </c>
      <c r="N466" s="39" t="n">
        <f aca="false">'Inputs &amp; Assumptions'!N$51/4*(N422-N433)</f>
        <v>157559.74516367</v>
      </c>
      <c r="O466" s="39" t="n">
        <f aca="false">'Inputs &amp; Assumptions'!O$51/4*(O422-O433)</f>
        <v>141794.2135268</v>
      </c>
      <c r="P466" s="39" t="n">
        <f aca="false">'Inputs &amp; Assumptions'!P$51/4*(P422-P433)</f>
        <v>127606.191345375</v>
      </c>
      <c r="Q466" s="39" t="n">
        <f aca="false">'Inputs &amp; Assumptions'!Q$51/4*(Q422-Q433)</f>
        <v>115282.667625352</v>
      </c>
      <c r="R466" s="39" t="n">
        <f aca="false">'Inputs &amp; Assumptions'!R$51/4*(R422-R433)</f>
        <v>104149.283939107</v>
      </c>
      <c r="S466" s="39" t="n">
        <f aca="false">'Inputs &amp; Assumptions'!S$51/4*(S422-S433)</f>
        <v>94091.1029252004</v>
      </c>
      <c r="T466" s="39" t="n">
        <f aca="false">'Inputs &amp; Assumptions'!T$51/4*(T422-T433)</f>
        <v>85004.287258056</v>
      </c>
      <c r="U466" s="39" t="n">
        <f aca="false">'Inputs &amp; Assumptions'!U$51/4*(U422-U433)</f>
        <v>77056.2617668552</v>
      </c>
      <c r="V466" s="39" t="n">
        <f aca="false">'Inputs &amp; Assumptions'!V$51/4*(V422-V433)</f>
        <v>69851.38831241</v>
      </c>
      <c r="W466" s="39" t="n">
        <f aca="false">'Inputs &amp; Assumptions'!W$51/4*(W422-W433)</f>
        <v>63320.1810896804</v>
      </c>
      <c r="X466" s="39" t="n">
        <f aca="false">'Inputs &amp; Assumptions'!X$51/4*(X422-X433)</f>
        <v>57399.6513182773</v>
      </c>
      <c r="Y466" s="39" t="n">
        <f aca="false">'Inputs &amp; Assumptions'!Y$51/4*(Y422-Y433)</f>
        <v>52151.1772943627</v>
      </c>
      <c r="Z466" s="39" t="n">
        <f aca="false">'Inputs &amp; Assumptions'!Z$51/4*(Z422-Z433)</f>
        <v>47382.6100111174</v>
      </c>
      <c r="AA466" s="39" t="n">
        <f aca="false">'Inputs &amp; Assumptions'!AA$51/4*(AA422-AA433)</f>
        <v>43050.0680510683</v>
      </c>
      <c r="AB466" s="39" t="n">
        <f aca="false">'Inputs &amp; Assumptions'!AB$51/4*(AB422-AB433)</f>
        <v>39113.6823988119</v>
      </c>
      <c r="AC466" s="39" t="n">
        <f aca="false">'Inputs &amp; Assumptions'!AC$51/4*(AC422-AC433)</f>
        <v>35610.7870297881</v>
      </c>
      <c r="AD466" s="39" t="n">
        <f aca="false">'Inputs &amp; Assumptions'!AD$51/4*(AD422-AD433)</f>
        <v>32421.5996834765</v>
      </c>
      <c r="AE466" s="39" t="n">
        <f aca="false">'Inputs &amp; Assumptions'!AE$51/4*(AE422-AE433)</f>
        <v>29518.0256801491</v>
      </c>
      <c r="AF466" s="39" t="n">
        <f aca="false">'Inputs &amp; Assumptions'!AF$51/4*(AF422-AF433)</f>
        <v>26874.4864090714</v>
      </c>
      <c r="AG466" s="39" t="n">
        <f aca="false">'Inputs &amp; Assumptions'!AG$51/4*(AG422-AG433)</f>
        <v>0</v>
      </c>
      <c r="AH466" s="39" t="n">
        <f aca="false">'Inputs &amp; Assumptions'!AH$51/4*(AH422-AH433)</f>
        <v>0</v>
      </c>
      <c r="AI466" s="39" t="n">
        <f aca="false">'Inputs &amp; Assumptions'!AI$51/4*(AI422-AI433)</f>
        <v>0</v>
      </c>
      <c r="AJ466" s="39" t="n">
        <f aca="false">'Inputs &amp; Assumptions'!AJ$51/4*(AJ422-AJ433)</f>
        <v>0</v>
      </c>
      <c r="AK466" s="39" t="n">
        <f aca="false">'Inputs &amp; Assumptions'!AK$51/4*(AK422-AK433)</f>
        <v>0</v>
      </c>
      <c r="AL466" s="39" t="n">
        <f aca="false">'Inputs &amp; Assumptions'!AL$51/4*(AL422-AL433)</f>
        <v>0</v>
      </c>
      <c r="AM466" s="39" t="n">
        <f aca="false">'Inputs &amp; Assumptions'!AM$51/4*(AM422-AM433)</f>
        <v>0</v>
      </c>
      <c r="AN466" s="39" t="n">
        <f aca="false">'Inputs &amp; Assumptions'!AN$51/4*(AN422-AN433)</f>
        <v>0</v>
      </c>
    </row>
    <row r="467" customFormat="false" ht="15" hidden="false" customHeight="false" outlineLevel="0" collapsed="false">
      <c r="B467" s="37" t="n">
        <v>2</v>
      </c>
      <c r="C467" s="38" t="n">
        <f aca="false">'Inputs &amp; Assumptions'!$C$141</f>
        <v>1</v>
      </c>
      <c r="D467" s="38" t="n">
        <f aca="false">'Inputs &amp; Assumptions'!$D$141</f>
        <v>3</v>
      </c>
      <c r="E467" s="39" t="n">
        <f aca="false">'Inputs &amp; Assumptions'!E$51/4*(E423-E434)</f>
        <v>1081132.26</v>
      </c>
      <c r="F467" s="39" t="n">
        <f aca="false">'Inputs &amp; Assumptions'!F$51/4*(F423-F434)</f>
        <v>1006214.46208407</v>
      </c>
      <c r="G467" s="39" t="n">
        <f aca="false">'Inputs &amp; Assumptions'!G$51/4*(G423-G434)</f>
        <v>936488.144112112</v>
      </c>
      <c r="H467" s="39" t="n">
        <f aca="false">'Inputs &amp; Assumptions'!H$51/4*(H423-H434)</f>
        <v>866722.342014572</v>
      </c>
      <c r="I467" s="39" t="n">
        <f aca="false">'Inputs &amp; Assumptions'!I$51/4*(I423-I434)</f>
        <v>778089.284081289</v>
      </c>
      <c r="J467" s="39" t="n">
        <f aca="false">'Inputs &amp; Assumptions'!J$51/4*(J423-J434)</f>
        <v>698520.05037151</v>
      </c>
      <c r="K467" s="39" t="n">
        <f aca="false">'Inputs &amp; Assumptions'!K$51/4*(K423-K434)</f>
        <v>627087.752978285</v>
      </c>
      <c r="L467" s="39" t="n">
        <f aca="false">'Inputs &amp; Assumptions'!L$51/4*(L423-L434)</f>
        <v>564340.940342842</v>
      </c>
      <c r="M467" s="39" t="n">
        <f aca="false">'Inputs &amp; Assumptions'!M$51/4*(M423-M434)</f>
        <v>507872.61501194</v>
      </c>
      <c r="N467" s="39" t="n">
        <f aca="false">'Inputs &amp; Assumptions'!N$51/4*(N423-N434)</f>
        <v>457054.547420162</v>
      </c>
      <c r="O467" s="39" t="n">
        <f aca="false">'Inputs &amp; Assumptions'!O$51/4*(O423-O434)</f>
        <v>411321.369065228</v>
      </c>
      <c r="P467" s="39" t="n">
        <f aca="false">'Inputs &amp; Assumptions'!P$51/4*(P423-P434)</f>
        <v>371598.150350017</v>
      </c>
      <c r="Q467" s="39" t="n">
        <f aca="false">'Inputs &amp; Assumptions'!Q$51/4*(Q423-Q434)</f>
        <v>335711.18772012</v>
      </c>
      <c r="R467" s="39" t="n">
        <f aca="false">'Inputs &amp; Assumptions'!R$51/4*(R423-R434)</f>
        <v>303289.996073169</v>
      </c>
      <c r="S467" s="39" t="n">
        <f aca="false">'Inputs &amp; Assumptions'!S$51/4*(S423-S434)</f>
        <v>273999.869777203</v>
      </c>
      <c r="T467" s="39" t="n">
        <f aca="false">'Inputs &amp; Assumptions'!T$51/4*(T423-T434)</f>
        <v>248380.480216726</v>
      </c>
      <c r="U467" s="39" t="n">
        <f aca="false">'Inputs &amp; Assumptions'!U$51/4*(U423-U434)</f>
        <v>225156.541143086</v>
      </c>
      <c r="V467" s="39" t="n">
        <f aca="false">'Inputs &amp; Assumptions'!V$51/4*(V423-V434)</f>
        <v>204104.074423577</v>
      </c>
      <c r="W467" s="39" t="n">
        <f aca="false">'Inputs &amp; Assumptions'!W$51/4*(W423-W434)</f>
        <v>185020.044209292</v>
      </c>
      <c r="X467" s="39" t="n">
        <f aca="false">'Inputs &amp; Assumptions'!X$51/4*(X423-X434)</f>
        <v>168102.295170165</v>
      </c>
      <c r="Y467" s="39" t="n">
        <f aca="false">'Inputs &amp; Assumptions'!Y$51/4*(Y423-Y434)</f>
        <v>152731.460865461</v>
      </c>
      <c r="Z467" s="39" t="n">
        <f aca="false">'Inputs &amp; Assumptions'!Z$51/4*(Z423-Z434)</f>
        <v>138766.095456845</v>
      </c>
      <c r="AA467" s="39" t="n">
        <f aca="false">'Inputs &amp; Assumptions'!AA$51/4*(AA423-AA434)</f>
        <v>126077.686543577</v>
      </c>
      <c r="AB467" s="39" t="n">
        <f aca="false">'Inputs &amp; Assumptions'!AB$51/4*(AB423-AB434)</f>
        <v>114786.575166548</v>
      </c>
      <c r="AC467" s="39" t="n">
        <f aca="false">'Inputs &amp; Assumptions'!AC$51/4*(AC423-AC434)</f>
        <v>104506.659343812</v>
      </c>
      <c r="AD467" s="39" t="n">
        <f aca="false">'Inputs &amp; Assumptions'!AD$51/4*(AD423-AD434)</f>
        <v>95147.3796596595</v>
      </c>
      <c r="AE467" s="39" t="n">
        <f aca="false">'Inputs &amp; Assumptions'!AE$51/4*(AE423-AE434)</f>
        <v>86626.2869078632</v>
      </c>
      <c r="AF467" s="39" t="n">
        <f aca="false">'Inputs &amp; Assumptions'!AF$51/4*(AF423-AF434)</f>
        <v>0</v>
      </c>
      <c r="AG467" s="39" t="n">
        <f aca="false">'Inputs &amp; Assumptions'!AG$51/4*(AG423-AG434)</f>
        <v>0</v>
      </c>
      <c r="AH467" s="39" t="n">
        <f aca="false">'Inputs &amp; Assumptions'!AH$51/4*(AH423-AH434)</f>
        <v>0</v>
      </c>
      <c r="AI467" s="39" t="n">
        <f aca="false">'Inputs &amp; Assumptions'!AI$51/4*(AI423-AI434)</f>
        <v>0</v>
      </c>
      <c r="AJ467" s="39" t="n">
        <f aca="false">'Inputs &amp; Assumptions'!AJ$51/4*(AJ423-AJ434)</f>
        <v>0</v>
      </c>
      <c r="AK467" s="39" t="n">
        <f aca="false">'Inputs &amp; Assumptions'!AK$51/4*(AK423-AK434)</f>
        <v>0</v>
      </c>
      <c r="AL467" s="39" t="n">
        <f aca="false">'Inputs &amp; Assumptions'!AL$51/4*(AL423-AL434)</f>
        <v>0</v>
      </c>
      <c r="AM467" s="39" t="n">
        <f aca="false">'Inputs &amp; Assumptions'!AM$51/4*(AM423-AM434)</f>
        <v>0</v>
      </c>
      <c r="AN467" s="39" t="n">
        <f aca="false">'Inputs &amp; Assumptions'!AN$51/4*(AN423-AN434)</f>
        <v>0</v>
      </c>
    </row>
    <row r="468" customFormat="false" ht="15" hidden="false" customHeight="false" outlineLevel="0" collapsed="false">
      <c r="B468" s="37" t="n">
        <v>3</v>
      </c>
      <c r="C468" s="38" t="n">
        <f aca="false">'Inputs &amp; Assumptions'!$C$142</f>
        <v>2</v>
      </c>
      <c r="D468" s="38" t="n">
        <f aca="false">'Inputs &amp; Assumptions'!$D$142</f>
        <v>3</v>
      </c>
      <c r="E468" s="39" t="n">
        <f aca="false">'Inputs &amp; Assumptions'!E$51/4*(E424-E435)</f>
        <v>1081132.26</v>
      </c>
      <c r="F468" s="39" t="n">
        <f aca="false">'Inputs &amp; Assumptions'!F$51/4*(F424-F435)</f>
        <v>1006214.46208407</v>
      </c>
      <c r="G468" s="39" t="n">
        <f aca="false">'Inputs &amp; Assumptions'!G$51/4*(G424-G435)</f>
        <v>931254.240248057</v>
      </c>
      <c r="H468" s="39" t="n">
        <f aca="false">'Inputs &amp; Assumptions'!H$51/4*(H424-H435)</f>
        <v>836021.999165325</v>
      </c>
      <c r="I468" s="39" t="n">
        <f aca="false">'Inputs &amp; Assumptions'!I$51/4*(I424-I435)</f>
        <v>750528.430240718</v>
      </c>
      <c r="J468" s="39" t="n">
        <f aca="false">'Inputs &amp; Assumptions'!J$51/4*(J424-J435)</f>
        <v>673777.634035925</v>
      </c>
      <c r="K468" s="39" t="n">
        <f aca="false">'Inputs &amp; Assumptions'!K$51/4*(K424-K435)</f>
        <v>606359.00122096</v>
      </c>
      <c r="L468" s="39" t="n">
        <f aca="false">'Inputs &amp; Assumptions'!L$51/4*(L424-L435)</f>
        <v>545686.321107649</v>
      </c>
      <c r="M468" s="39" t="n">
        <f aca="false">'Inputs &amp; Assumptions'!M$51/4*(M424-M435)</f>
        <v>491084.58923576</v>
      </c>
      <c r="N468" s="39" t="n">
        <f aca="false">'Inputs &amp; Assumptions'!N$51/4*(N424-N435)</f>
        <v>441946.342534908</v>
      </c>
      <c r="O468" s="39" t="n">
        <f aca="false">'Inputs &amp; Assumptions'!O$51/4*(O424-O435)</f>
        <v>399265.527616882</v>
      </c>
      <c r="P468" s="39" t="n">
        <f aca="false">'Inputs &amp; Assumptions'!P$51/4*(P424-P435)</f>
        <v>360706.597612799</v>
      </c>
      <c r="Q468" s="39" t="n">
        <f aca="false">'Inputs &amp; Assumptions'!Q$51/4*(Q424-Q435)</f>
        <v>325871.482915121</v>
      </c>
      <c r="R468" s="39" t="n">
        <f aca="false">'Inputs &amp; Assumptions'!R$51/4*(R424-R435)</f>
        <v>294400.557350748</v>
      </c>
      <c r="S468" s="39" t="n">
        <f aca="false">'Inputs &amp; Assumptions'!S$51/4*(S424-S435)</f>
        <v>266873.673590827</v>
      </c>
      <c r="T468" s="39" t="n">
        <f aca="false">'Inputs &amp; Assumptions'!T$51/4*(T424-T435)</f>
        <v>241920.593822145</v>
      </c>
      <c r="U468" s="39" t="n">
        <f aca="false">'Inputs &amp; Assumptions'!U$51/4*(U424-U435)</f>
        <v>219300.66359783</v>
      </c>
      <c r="V468" s="39" t="n">
        <f aca="false">'Inputs &amp; Assumptions'!V$51/4*(V424-V435)</f>
        <v>198795.730014641</v>
      </c>
      <c r="W468" s="39" t="n">
        <f aca="false">'Inputs &amp; Assumptions'!W$51/4*(W424-W435)</f>
        <v>180618.368287101</v>
      </c>
      <c r="X468" s="39" t="n">
        <f aca="false">'Inputs &amp; Assumptions'!X$51/4*(X424-X435)</f>
        <v>164103.096984489</v>
      </c>
      <c r="Y468" s="39" t="n">
        <f aca="false">'Inputs &amp; Assumptions'!Y$51/4*(Y424-Y435)</f>
        <v>149097.9389045</v>
      </c>
      <c r="Z468" s="39" t="n">
        <f aca="false">'Inputs &amp; Assumptions'!Z$51/4*(Z424-Z435)</f>
        <v>135464.813242806</v>
      </c>
      <c r="AA468" s="39" t="n">
        <f aca="false">'Inputs &amp; Assumptions'!AA$51/4*(AA424-AA435)</f>
        <v>123333.021044475</v>
      </c>
      <c r="AB468" s="39" t="n">
        <f aca="false">'Inputs &amp; Assumptions'!AB$51/4*(AB424-AB435)</f>
        <v>112287.71306607</v>
      </c>
      <c r="AC468" s="39" t="n">
        <f aca="false">'Inputs &amp; Assumptions'!AC$51/4*(AC424-AC435)</f>
        <v>102231.58728157</v>
      </c>
      <c r="AD468" s="39" t="n">
        <f aca="false">'Inputs &amp; Assumptions'!AD$51/4*(AD424-AD435)</f>
        <v>93076.0557208944</v>
      </c>
      <c r="AE468" s="39" t="n">
        <f aca="false">'Inputs &amp; Assumptions'!AE$51/4*(AE424-AE435)</f>
        <v>0</v>
      </c>
      <c r="AF468" s="39" t="n">
        <f aca="false">'Inputs &amp; Assumptions'!AF$51/4*(AF424-AF435)</f>
        <v>0</v>
      </c>
      <c r="AG468" s="39" t="n">
        <f aca="false">'Inputs &amp; Assumptions'!AG$51/4*(AG424-AG435)</f>
        <v>0</v>
      </c>
      <c r="AH468" s="39" t="n">
        <f aca="false">'Inputs &amp; Assumptions'!AH$51/4*(AH424-AH435)</f>
        <v>0</v>
      </c>
      <c r="AI468" s="39" t="n">
        <f aca="false">'Inputs &amp; Assumptions'!AI$51/4*(AI424-AI435)</f>
        <v>0</v>
      </c>
      <c r="AJ468" s="39" t="n">
        <f aca="false">'Inputs &amp; Assumptions'!AJ$51/4*(AJ424-AJ435)</f>
        <v>0</v>
      </c>
      <c r="AK468" s="39" t="n">
        <f aca="false">'Inputs &amp; Assumptions'!AK$51/4*(AK424-AK435)</f>
        <v>0</v>
      </c>
      <c r="AL468" s="39" t="n">
        <f aca="false">'Inputs &amp; Assumptions'!AL$51/4*(AL424-AL435)</f>
        <v>0</v>
      </c>
      <c r="AM468" s="39" t="n">
        <f aca="false">'Inputs &amp; Assumptions'!AM$51/4*(AM424-AM435)</f>
        <v>0</v>
      </c>
      <c r="AN468" s="39" t="n">
        <f aca="false">'Inputs &amp; Assumptions'!AN$51/4*(AN424-AN435)</f>
        <v>0</v>
      </c>
    </row>
    <row r="469" customFormat="false" ht="15" hidden="false" customHeight="false" outlineLevel="0" collapsed="false">
      <c r="B469" s="37" t="n">
        <v>4</v>
      </c>
      <c r="C469" s="38" t="n">
        <f aca="false">'Inputs &amp; Assumptions'!$C$143</f>
        <v>3</v>
      </c>
      <c r="D469" s="38" t="n">
        <f aca="false">'Inputs &amp; Assumptions'!$D$143</f>
        <v>3</v>
      </c>
      <c r="E469" s="39" t="n">
        <f aca="false">'Inputs &amp; Assumptions'!E$51/4*(E425-E436)</f>
        <v>1081132.26</v>
      </c>
      <c r="F469" s="39" t="n">
        <f aca="false">'Inputs &amp; Assumptions'!F$51/4*(F425-F436)</f>
        <v>1000590.86738692</v>
      </c>
      <c r="G469" s="39" t="n">
        <f aca="false">'Inputs &amp; Assumptions'!G$51/4*(G425-G436)</f>
        <v>898268.100316579</v>
      </c>
      <c r="H469" s="39" t="n">
        <f aca="false">'Inputs &amp; Assumptions'!H$51/4*(H425-H436)</f>
        <v>806409.099209116</v>
      </c>
      <c r="I469" s="39" t="n">
        <f aca="false">'Inputs &amp; Assumptions'!I$51/4*(I425-I436)</f>
        <v>723943.814834427</v>
      </c>
      <c r="J469" s="39" t="n">
        <f aca="false">'Inputs &amp; Assumptions'!J$51/4*(J425-J436)</f>
        <v>651505.521003521</v>
      </c>
      <c r="K469" s="39" t="n">
        <f aca="false">'Inputs &amp; Assumptions'!K$51/4*(K425-K436)</f>
        <v>586315.450454048</v>
      </c>
      <c r="L469" s="39" t="n">
        <f aca="false">'Inputs &amp; Assumptions'!L$51/4*(L425-L436)</f>
        <v>527648.34120151</v>
      </c>
      <c r="M469" s="39" t="n">
        <f aca="false">'Inputs &amp; Assumptions'!M$51/4*(M425-M436)</f>
        <v>474851.501452161</v>
      </c>
      <c r="N469" s="39" t="n">
        <f aca="false">'Inputs &amp; Assumptions'!N$51/4*(N425-N436)</f>
        <v>428992.882211692</v>
      </c>
      <c r="O469" s="39" t="n">
        <f aca="false">'Inputs &amp; Assumptions'!O$51/4*(O425-O436)</f>
        <v>387563.043236655</v>
      </c>
      <c r="P469" s="39" t="n">
        <f aca="false">'Inputs &amp; Assumptions'!P$51/4*(P425-P436)</f>
        <v>350134.276607267</v>
      </c>
      <c r="Q469" s="39" t="n">
        <f aca="false">'Inputs &amp; Assumptions'!Q$51/4*(Q425-Q436)</f>
        <v>316320.180147919</v>
      </c>
      <c r="R469" s="39" t="n">
        <f aca="false">'Inputs &amp; Assumptions'!R$51/4*(R425-R436)</f>
        <v>286743.779518095</v>
      </c>
      <c r="S469" s="39" t="n">
        <f aca="false">'Inputs &amp; Assumptions'!S$51/4*(S425-S436)</f>
        <v>259932.815711831</v>
      </c>
      <c r="T469" s="39" t="n">
        <f aca="false">'Inputs &amp; Assumptions'!T$51/4*(T425-T436)</f>
        <v>235628.716331462</v>
      </c>
      <c r="U469" s="39" t="n">
        <f aca="false">'Inputs &amp; Assumptions'!U$51/4*(U425-U436)</f>
        <v>213597.085877624</v>
      </c>
      <c r="V469" s="39" t="n">
        <f aca="false">'Inputs &amp; Assumptions'!V$51/4*(V425-V436)</f>
        <v>194066.326873595</v>
      </c>
      <c r="W469" s="39" t="n">
        <f aca="false">'Inputs &amp; Assumptions'!W$51/4*(W425-W436)</f>
        <v>176321.409402498</v>
      </c>
      <c r="X469" s="39" t="n">
        <f aca="false">'Inputs &amp; Assumptions'!X$51/4*(X425-X436)</f>
        <v>160199.040784305</v>
      </c>
      <c r="Y469" s="39" t="n">
        <f aca="false">'Inputs &amp; Assumptions'!Y$51/4*(Y425-Y436)</f>
        <v>145550.859394661</v>
      </c>
      <c r="Z469" s="39" t="n">
        <f aca="false">'Inputs &amp; Assumptions'!Z$51/4*(Z425-Z436)</f>
        <v>132515.793400811</v>
      </c>
      <c r="AA469" s="39" t="n">
        <f aca="false">'Inputs &amp; Assumptions'!AA$51/4*(AA425-AA436)</f>
        <v>120648.105917611</v>
      </c>
      <c r="AB469" s="39" t="n">
        <f aca="false">'Inputs &amp; Assumptions'!AB$51/4*(AB425-AB436)</f>
        <v>109843.250287012</v>
      </c>
      <c r="AC469" s="39" t="n">
        <f aca="false">'Inputs &amp; Assumptions'!AC$51/4*(AC425-AC436)</f>
        <v>100006.0427128</v>
      </c>
      <c r="AD469" s="39" t="n">
        <f aca="false">'Inputs &amp; Assumptions'!AD$51/4*(AD425-AD436)</f>
        <v>0</v>
      </c>
      <c r="AE469" s="39" t="n">
        <f aca="false">'Inputs &amp; Assumptions'!AE$51/4*(AE425-AE436)</f>
        <v>0</v>
      </c>
      <c r="AF469" s="39" t="n">
        <f aca="false">'Inputs &amp; Assumptions'!AF$51/4*(AF425-AF436)</f>
        <v>0</v>
      </c>
      <c r="AG469" s="39" t="n">
        <f aca="false">'Inputs &amp; Assumptions'!AG$51/4*(AG425-AG436)</f>
        <v>0</v>
      </c>
      <c r="AH469" s="39" t="n">
        <f aca="false">'Inputs &amp; Assumptions'!AH$51/4*(AH425-AH436)</f>
        <v>0</v>
      </c>
      <c r="AI469" s="39" t="n">
        <f aca="false">'Inputs &amp; Assumptions'!AI$51/4*(AI425-AI436)</f>
        <v>0</v>
      </c>
      <c r="AJ469" s="39" t="n">
        <f aca="false">'Inputs &amp; Assumptions'!AJ$51/4*(AJ425-AJ436)</f>
        <v>0</v>
      </c>
      <c r="AK469" s="39" t="n">
        <f aca="false">'Inputs &amp; Assumptions'!AK$51/4*(AK425-AK436)</f>
        <v>0</v>
      </c>
      <c r="AL469" s="39" t="n">
        <f aca="false">'Inputs &amp; Assumptions'!AL$51/4*(AL425-AL436)</f>
        <v>0</v>
      </c>
      <c r="AM469" s="39" t="n">
        <f aca="false">'Inputs &amp; Assumptions'!AM$51/4*(AM425-AM436)</f>
        <v>0</v>
      </c>
      <c r="AN469" s="39" t="n">
        <f aca="false">'Inputs &amp; Assumptions'!AN$51/4*(AN425-AN436)</f>
        <v>0</v>
      </c>
    </row>
    <row r="470" customFormat="false" ht="15" hidden="false" customHeight="false" outlineLevel="0" collapsed="false">
      <c r="B470" s="37" t="n">
        <v>5</v>
      </c>
      <c r="C470" s="38" t="n">
        <f aca="false">'Inputs &amp; Assumptions'!$C$144</f>
        <v>4</v>
      </c>
      <c r="D470" s="38" t="n">
        <f aca="false">'Inputs &amp; Assumptions'!$D$144</f>
        <v>3</v>
      </c>
      <c r="E470" s="39" t="n">
        <f aca="false">'Inputs &amp; Assumptions'!E$51/4*(E426-E437)</f>
        <v>1075089.96</v>
      </c>
      <c r="F470" s="39" t="n">
        <f aca="false">'Inputs &amp; Assumptions'!F$51/4*(F426-F437)</f>
        <v>965148.741123968</v>
      </c>
      <c r="G470" s="39" t="n">
        <f aca="false">'Inputs &amp; Assumptions'!G$51/4*(G426-G437)</f>
        <v>866450.368946967</v>
      </c>
      <c r="H470" s="39" t="n">
        <f aca="false">'Inputs &amp; Assumptions'!H$51/4*(H426-H437)</f>
        <v>777845.12361697</v>
      </c>
      <c r="I470" s="39" t="n">
        <f aca="false">'Inputs &amp; Assumptions'!I$51/4*(I426-I437)</f>
        <v>700013.429409609</v>
      </c>
      <c r="J470" s="39" t="n">
        <f aca="false">'Inputs &amp; Assumptions'!J$51/4*(J426-J437)</f>
        <v>629969.625669465</v>
      </c>
      <c r="K470" s="39" t="n">
        <f aca="false">'Inputs &amp; Assumptions'!K$51/4*(K426-K437)</f>
        <v>566934.450958803</v>
      </c>
      <c r="L470" s="39" t="n">
        <f aca="false">'Inputs &amp; Assumptions'!L$51/4*(L426-L437)</f>
        <v>510206.617251418</v>
      </c>
      <c r="M470" s="39" t="n">
        <f aca="false">'Inputs &amp; Assumptions'!M$51/4*(M426-M437)</f>
        <v>460933.589951413</v>
      </c>
      <c r="N470" s="39" t="n">
        <f aca="false">'Inputs &amp; Assumptions'!N$51/4*(N426-N437)</f>
        <v>416419.088192269</v>
      </c>
      <c r="O470" s="39" t="n">
        <f aca="false">'Inputs &amp; Assumptions'!O$51/4*(O426-O437)</f>
        <v>376203.559018468</v>
      </c>
      <c r="P470" s="39" t="n">
        <f aca="false">'Inputs &amp; Assumptions'!P$51/4*(P426-P437)</f>
        <v>339871.830641959</v>
      </c>
      <c r="Q470" s="39" t="n">
        <f aca="false">'Inputs &amp; Assumptions'!Q$51/4*(Q426-Q437)</f>
        <v>308093.31615971</v>
      </c>
      <c r="R470" s="39" t="n">
        <f aca="false">'Inputs &amp; Assumptions'!R$51/4*(R426-R437)</f>
        <v>279286.139374943</v>
      </c>
      <c r="S470" s="39" t="n">
        <f aca="false">'Inputs &amp; Assumptions'!S$51/4*(S426-S437)</f>
        <v>253172.475856393</v>
      </c>
      <c r="T470" s="39" t="n">
        <f aca="false">'Inputs &amp; Assumptions'!T$51/4*(T426-T437)</f>
        <v>229500.478164461</v>
      </c>
      <c r="U470" s="39" t="n">
        <f aca="false">'Inputs &amp; Assumptions'!U$51/4*(U426-U437)</f>
        <v>208515.554555028</v>
      </c>
      <c r="V470" s="39" t="n">
        <f aca="false">'Inputs &amp; Assumptions'!V$51/4*(V426-V437)</f>
        <v>189449.437487593</v>
      </c>
      <c r="W470" s="39" t="n">
        <f aca="false">'Inputs &amp; Assumptions'!W$51/4*(W426-W437)</f>
        <v>172126.676309387</v>
      </c>
      <c r="X470" s="39" t="n">
        <f aca="false">'Inputs &amp; Assumptions'!X$51/4*(X426-X437)</f>
        <v>156387.863116546</v>
      </c>
      <c r="Y470" s="39" t="n">
        <f aca="false">'Inputs &amp; Assumptions'!Y$51/4*(Y426-Y437)</f>
        <v>142382.269986835</v>
      </c>
      <c r="Z470" s="39" t="n">
        <f aca="false">'Inputs &amp; Assumptions'!Z$51/4*(Z426-Z437)</f>
        <v>129630.972650966</v>
      </c>
      <c r="AA470" s="39" t="n">
        <f aca="false">'Inputs &amp; Assumptions'!AA$51/4*(AA426-AA437)</f>
        <v>118021.640419059</v>
      </c>
      <c r="AB470" s="39" t="n">
        <f aca="false">'Inputs &amp; Assumptions'!AB$51/4*(AB426-AB437)</f>
        <v>107452.002575881</v>
      </c>
      <c r="AC470" s="39" t="n">
        <f aca="false">'Inputs &amp; Assumptions'!AC$51/4*(AC426-AC437)</f>
        <v>0</v>
      </c>
      <c r="AD470" s="39" t="n">
        <f aca="false">'Inputs &amp; Assumptions'!AD$51/4*(AD426-AD437)</f>
        <v>0</v>
      </c>
      <c r="AE470" s="39" t="n">
        <f aca="false">'Inputs &amp; Assumptions'!AE$51/4*(AE426-AE437)</f>
        <v>0</v>
      </c>
      <c r="AF470" s="39" t="n">
        <f aca="false">'Inputs &amp; Assumptions'!AF$51/4*(AF426-AF437)</f>
        <v>0</v>
      </c>
      <c r="AG470" s="39" t="n">
        <f aca="false">'Inputs &amp; Assumptions'!AG$51/4*(AG426-AG437)</f>
        <v>0</v>
      </c>
      <c r="AH470" s="39" t="n">
        <f aca="false">'Inputs &amp; Assumptions'!AH$51/4*(AH426-AH437)</f>
        <v>0</v>
      </c>
      <c r="AI470" s="39" t="n">
        <f aca="false">'Inputs &amp; Assumptions'!AI$51/4*(AI426-AI437)</f>
        <v>0</v>
      </c>
      <c r="AJ470" s="39" t="n">
        <f aca="false">'Inputs &amp; Assumptions'!AJ$51/4*(AJ426-AJ437)</f>
        <v>0</v>
      </c>
      <c r="AK470" s="39" t="n">
        <f aca="false">'Inputs &amp; Assumptions'!AK$51/4*(AK426-AK437)</f>
        <v>0</v>
      </c>
      <c r="AL470" s="39" t="n">
        <f aca="false">'Inputs &amp; Assumptions'!AL$51/4*(AL426-AL437)</f>
        <v>0</v>
      </c>
      <c r="AM470" s="39" t="n">
        <f aca="false">'Inputs &amp; Assumptions'!AM$51/4*(AM426-AM437)</f>
        <v>0</v>
      </c>
      <c r="AN470" s="39" t="n">
        <f aca="false">'Inputs &amp; Assumptions'!AN$51/4*(AN426-AN437)</f>
        <v>0</v>
      </c>
    </row>
    <row r="471" customFormat="false" ht="15" hidden="false" customHeight="false" outlineLevel="0" collapsed="false">
      <c r="B471" s="37" t="n">
        <v>6</v>
      </c>
      <c r="C471" s="38" t="n">
        <f aca="false">'Inputs &amp; Assumptions'!$C$145</f>
        <v>5</v>
      </c>
      <c r="D471" s="38" t="n">
        <f aca="false">'Inputs &amp; Assumptions'!$D$145</f>
        <v>3</v>
      </c>
      <c r="E471" s="39" t="n">
        <f aca="false">'Inputs &amp; Assumptions'!E$51/4*(E427-E438)</f>
        <v>1042837.2612</v>
      </c>
      <c r="F471" s="39" t="n">
        <f aca="false">'Inputs &amp; Assumptions'!F$51/4*(F427-F438)</f>
        <v>936194.278890249</v>
      </c>
      <c r="G471" s="39" t="n">
        <f aca="false">'Inputs &amp; Assumptions'!G$51/4*(G427-G438)</f>
        <v>840456.857878558</v>
      </c>
      <c r="H471" s="39" t="n">
        <f aca="false">'Inputs &amp; Assumptions'!H$51/4*(H427-H438)</f>
        <v>756360.192397507</v>
      </c>
      <c r="I471" s="39" t="n">
        <f aca="false">'Inputs &amp; Assumptions'!I$51/4*(I427-I438)</f>
        <v>680678.294526161</v>
      </c>
      <c r="J471" s="39" t="n">
        <f aca="false">'Inputs &amp; Assumptions'!J$51/4*(J427-J438)</f>
        <v>612569.177087975</v>
      </c>
      <c r="K471" s="39" t="n">
        <f aca="false">'Inputs &amp; Assumptions'!K$51/4*(K427-K438)</f>
        <v>551275.102696575</v>
      </c>
      <c r="L471" s="39" t="n">
        <f aca="false">'Inputs &amp; Assumptions'!L$51/4*(L427-L438)</f>
        <v>498035.900642879</v>
      </c>
      <c r="M471" s="39" t="n">
        <f aca="false">'Inputs &amp; Assumptions'!M$51/4*(M427-M438)</f>
        <v>449938.256082799</v>
      </c>
      <c r="N471" s="39" t="n">
        <f aca="false">'Inputs &amp; Assumptions'!N$51/4*(N427-N438)</f>
        <v>406485.624882684</v>
      </c>
      <c r="O471" s="39" t="n">
        <f aca="false">'Inputs &amp; Assumptions'!O$51/4*(O427-O438)</f>
        <v>367229.416486558</v>
      </c>
      <c r="P471" s="39" t="n">
        <f aca="false">'Inputs &amp; Assumptions'!P$51/4*(P427-P438)</f>
        <v>332892.927616377</v>
      </c>
      <c r="Q471" s="39" t="n">
        <f aca="false">'Inputs &amp; Assumptions'!Q$51/4*(Q427-Q438)</f>
        <v>301766.950799429</v>
      </c>
      <c r="R471" s="39" t="n">
        <f aca="false">'Inputs &amp; Assumptions'!R$51/4*(R427-R438)</f>
        <v>273551.298451512</v>
      </c>
      <c r="S471" s="39" t="n">
        <f aca="false">'Inputs &amp; Assumptions'!S$51/4*(S427-S438)</f>
        <v>247973.850967678</v>
      </c>
      <c r="T471" s="39" t="n">
        <f aca="false">'Inputs &amp; Assumptions'!T$51/4*(T427-T438)</f>
        <v>225299.770454588</v>
      </c>
      <c r="U471" s="39" t="n">
        <f aca="false">'Inputs &amp; Assumptions'!U$51/4*(U427-U438)</f>
        <v>204698.948573841</v>
      </c>
      <c r="V471" s="39" t="n">
        <f aca="false">'Inputs &amp; Assumptions'!V$51/4*(V427-V438)</f>
        <v>185981.811977397</v>
      </c>
      <c r="W471" s="39" t="n">
        <f aca="false">'Inputs &amp; Assumptions'!W$51/4*(W427-W438)</f>
        <v>168976.121408453</v>
      </c>
      <c r="X471" s="39" t="n">
        <f aca="false">'Inputs &amp; Assumptions'!X$51/4*(X427-X438)</f>
        <v>153843.164426237</v>
      </c>
      <c r="Y471" s="39" t="n">
        <f aca="false">'Inputs &amp; Assumptions'!Y$51/4*(Y427-Y438)</f>
        <v>140065.46631206</v>
      </c>
      <c r="Z471" s="39" t="n">
        <f aca="false">'Inputs &amp; Assumptions'!Z$51/4*(Z427-Z438)</f>
        <v>127521.654448424</v>
      </c>
      <c r="AA471" s="39" t="n">
        <f aca="false">'Inputs &amp; Assumptions'!AA$51/4*(AA427-AA438)</f>
        <v>116101.225958387</v>
      </c>
      <c r="AB471" s="39" t="n">
        <f aca="false">'Inputs &amp; Assumptions'!AB$51/4*(AB427-AB438)</f>
        <v>0</v>
      </c>
      <c r="AC471" s="39" t="n">
        <f aca="false">'Inputs &amp; Assumptions'!AC$51/4*(AC427-AC438)</f>
        <v>0</v>
      </c>
      <c r="AD471" s="39" t="n">
        <f aca="false">'Inputs &amp; Assumptions'!AD$51/4*(AD427-AD438)</f>
        <v>0</v>
      </c>
      <c r="AE471" s="39" t="n">
        <f aca="false">'Inputs &amp; Assumptions'!AE$51/4*(AE427-AE438)</f>
        <v>0</v>
      </c>
      <c r="AF471" s="39" t="n">
        <f aca="false">'Inputs &amp; Assumptions'!AF$51/4*(AF427-AF438)</f>
        <v>0</v>
      </c>
      <c r="AG471" s="39" t="n">
        <f aca="false">'Inputs &amp; Assumptions'!AG$51/4*(AG427-AG438)</f>
        <v>0</v>
      </c>
      <c r="AH471" s="39" t="n">
        <f aca="false">'Inputs &amp; Assumptions'!AH$51/4*(AH427-AH438)</f>
        <v>0</v>
      </c>
      <c r="AI471" s="39" t="n">
        <f aca="false">'Inputs &amp; Assumptions'!AI$51/4*(AI427-AI438)</f>
        <v>0</v>
      </c>
      <c r="AJ471" s="39" t="n">
        <f aca="false">'Inputs &amp; Assumptions'!AJ$51/4*(AJ427-AJ438)</f>
        <v>0</v>
      </c>
      <c r="AK471" s="39" t="n">
        <f aca="false">'Inputs &amp; Assumptions'!AK$51/4*(AK427-AK438)</f>
        <v>0</v>
      </c>
      <c r="AL471" s="39" t="n">
        <f aca="false">'Inputs &amp; Assumptions'!AL$51/4*(AL427-AL438)</f>
        <v>0</v>
      </c>
      <c r="AM471" s="39" t="n">
        <f aca="false">'Inputs &amp; Assumptions'!AM$51/4*(AM427-AM438)</f>
        <v>0</v>
      </c>
      <c r="AN471" s="39" t="n">
        <f aca="false">'Inputs &amp; Assumptions'!AN$51/4*(AN427-AN438)</f>
        <v>0</v>
      </c>
    </row>
    <row r="472" customFormat="false" ht="15" hidden="false" customHeight="false" outlineLevel="0" collapsed="false">
      <c r="B472" s="37" t="n">
        <v>7</v>
      </c>
      <c r="C472" s="38" t="n">
        <f aca="false">'Inputs &amp; Assumptions'!$C$146</f>
        <v>6</v>
      </c>
      <c r="D472" s="38" t="n">
        <f aca="false">'Inputs &amp; Assumptions'!$D$146</f>
        <v>3</v>
      </c>
      <c r="E472" s="39" t="n">
        <f aca="false">'Inputs &amp; Assumptions'!E$51/4*(E428-E439)</f>
        <v>1011552.143364</v>
      </c>
      <c r="F472" s="39" t="n">
        <f aca="false">'Inputs &amp; Assumptions'!F$51/4*(F428-F439)</f>
        <v>908108.450523542</v>
      </c>
      <c r="G472" s="39" t="n">
        <f aca="false">'Inputs &amp; Assumptions'!G$51/4*(G428-G439)</f>
        <v>817242.522227161</v>
      </c>
      <c r="H472" s="39" t="n">
        <f aca="false">'Inputs &amp; Assumptions'!H$51/4*(H428-H439)</f>
        <v>735468.698426012</v>
      </c>
      <c r="I472" s="39" t="n">
        <f aca="false">'Inputs &amp; Assumptions'!I$51/4*(I428-I439)</f>
        <v>661877.217169691</v>
      </c>
      <c r="J472" s="39" t="n">
        <f aca="false">'Inputs &amp; Assumptions'!J$51/4*(J428-J439)</f>
        <v>595649.347886373</v>
      </c>
      <c r="K472" s="39" t="n">
        <f aca="false">'Inputs &amp; Assumptions'!K$51/4*(K428-K439)</f>
        <v>538124.718476926</v>
      </c>
      <c r="L472" s="39" t="n">
        <f aca="false">'Inputs &amp; Assumptions'!L$51/4*(L428-L439)</f>
        <v>486155.510223292</v>
      </c>
      <c r="M472" s="39" t="n">
        <f aca="false">'Inputs &amp; Assumptions'!M$51/4*(M428-M439)</f>
        <v>439205.210252024</v>
      </c>
      <c r="N472" s="39" t="n">
        <f aca="false">'Inputs &amp; Assumptions'!N$51/4*(N428-N439)</f>
        <v>396789.119234553</v>
      </c>
      <c r="O472" s="39" t="n">
        <f aca="false">'Inputs &amp; Assumptions'!O$51/4*(O428-O439)</f>
        <v>359688.754817246</v>
      </c>
      <c r="P472" s="39" t="n">
        <f aca="false">'Inputs &amp; Assumptions'!P$51/4*(P428-P439)</f>
        <v>326057.3288692</v>
      </c>
      <c r="Q472" s="39" t="n">
        <f aca="false">'Inputs &amp; Assumptions'!Q$51/4*(Q428-Q439)</f>
        <v>295570.490557411</v>
      </c>
      <c r="R472" s="39" t="n">
        <f aca="false">'Inputs &amp; Assumptions'!R$51/4*(R428-R439)</f>
        <v>267934.216327321</v>
      </c>
      <c r="S472" s="39" t="n">
        <f aca="false">'Inputs &amp; Assumptions'!S$51/4*(S428-S439)</f>
        <v>243435.012199506</v>
      </c>
      <c r="T472" s="39" t="n">
        <f aca="false">'Inputs &amp; Assumptions'!T$51/4*(T428-T439)</f>
        <v>221175.951234904</v>
      </c>
      <c r="U472" s="39" t="n">
        <f aca="false">'Inputs &amp; Assumptions'!U$51/4*(U428-U439)</f>
        <v>200952.200600354</v>
      </c>
      <c r="V472" s="39" t="n">
        <f aca="false">'Inputs &amp; Assumptions'!V$51/4*(V428-V439)</f>
        <v>182577.656841347</v>
      </c>
      <c r="W472" s="39" t="n">
        <f aca="false">'Inputs &amp; Assumptions'!W$51/4*(W428-W439)</f>
        <v>166226.590170718</v>
      </c>
      <c r="X472" s="39" t="n">
        <f aca="false">'Inputs &amp; Assumptions'!X$51/4*(X428-X439)</f>
        <v>151339.872347</v>
      </c>
      <c r="Y472" s="39" t="n">
        <f aca="false">'Inputs &amp; Assumptions'!Y$51/4*(Y428-Y439)</f>
        <v>137786.361005683</v>
      </c>
      <c r="Z472" s="39" t="n">
        <f aca="false">'Inputs &amp; Assumptions'!Z$51/4*(Z428-Z439)</f>
        <v>125446.658469874</v>
      </c>
      <c r="AA472" s="39" t="n">
        <f aca="false">'Inputs &amp; Assumptions'!AA$51/4*(AA428-AA439)</f>
        <v>0</v>
      </c>
      <c r="AB472" s="39" t="n">
        <f aca="false">'Inputs &amp; Assumptions'!AB$51/4*(AB428-AB439)</f>
        <v>0</v>
      </c>
      <c r="AC472" s="39" t="n">
        <f aca="false">'Inputs &amp; Assumptions'!AC$51/4*(AC428-AC439)</f>
        <v>0</v>
      </c>
      <c r="AD472" s="39" t="n">
        <f aca="false">'Inputs &amp; Assumptions'!AD$51/4*(AD428-AD439)</f>
        <v>0</v>
      </c>
      <c r="AE472" s="39" t="n">
        <f aca="false">'Inputs &amp; Assumptions'!AE$51/4*(AE428-AE439)</f>
        <v>0</v>
      </c>
      <c r="AF472" s="39" t="n">
        <f aca="false">'Inputs &amp; Assumptions'!AF$51/4*(AF428-AF439)</f>
        <v>0</v>
      </c>
      <c r="AG472" s="39" t="n">
        <f aca="false">'Inputs &amp; Assumptions'!AG$51/4*(AG428-AG439)</f>
        <v>0</v>
      </c>
      <c r="AH472" s="39" t="n">
        <f aca="false">'Inputs &amp; Assumptions'!AH$51/4*(AH428-AH439)</f>
        <v>0</v>
      </c>
      <c r="AI472" s="39" t="n">
        <f aca="false">'Inputs &amp; Assumptions'!AI$51/4*(AI428-AI439)</f>
        <v>0</v>
      </c>
      <c r="AJ472" s="39" t="n">
        <f aca="false">'Inputs &amp; Assumptions'!AJ$51/4*(AJ428-AJ439)</f>
        <v>0</v>
      </c>
      <c r="AK472" s="39" t="n">
        <f aca="false">'Inputs &amp; Assumptions'!AK$51/4*(AK428-AK439)</f>
        <v>0</v>
      </c>
      <c r="AL472" s="39" t="n">
        <f aca="false">'Inputs &amp; Assumptions'!AL$51/4*(AL428-AL439)</f>
        <v>0</v>
      </c>
      <c r="AM472" s="39" t="n">
        <f aca="false">'Inputs &amp; Assumptions'!AM$51/4*(AM428-AM439)</f>
        <v>0</v>
      </c>
      <c r="AN472" s="39" t="n">
        <f aca="false">'Inputs &amp; Assumptions'!AN$51/4*(AN428-AN439)</f>
        <v>0</v>
      </c>
    </row>
    <row r="473" customFormat="false" ht="15" hidden="false" customHeight="false" outlineLevel="0" collapsed="false">
      <c r="B473" s="37" t="n">
        <v>8</v>
      </c>
      <c r="C473" s="38" t="n">
        <f aca="false">'Inputs &amp; Assumptions'!$C$147</f>
        <v>7</v>
      </c>
      <c r="D473" s="38" t="n">
        <f aca="false">'Inputs &amp; Assumptions'!$D$147</f>
        <v>3</v>
      </c>
      <c r="E473" s="39" t="n">
        <f aca="false">'Inputs &amp; Assumptions'!E$51/4*(E429-E440)</f>
        <v>981205.57906308</v>
      </c>
      <c r="F473" s="39" t="n">
        <f aca="false">'Inputs &amp; Assumptions'!F$51/4*(F429-F440)</f>
        <v>883025.504051386</v>
      </c>
      <c r="G473" s="39" t="n">
        <f aca="false">'Inputs &amp; Assumptions'!G$51/4*(G429-G440)</f>
        <v>794669.391861536</v>
      </c>
      <c r="H473" s="39" t="n">
        <f aca="false">'Inputs &amp; Assumptions'!H$51/4*(H429-H440)</f>
        <v>715154.250318047</v>
      </c>
      <c r="I473" s="39" t="n">
        <f aca="false">'Inputs &amp; Assumptions'!I$51/4*(I429-I440)</f>
        <v>643595.446088456</v>
      </c>
      <c r="J473" s="39" t="n">
        <f aca="false">'Inputs &amp; Assumptions'!J$51/4*(J429-J440)</f>
        <v>581440.438856065</v>
      </c>
      <c r="K473" s="39" t="n">
        <f aca="false">'Inputs &amp; Assumptions'!K$51/4*(K429-K440)</f>
        <v>525288.029913545</v>
      </c>
      <c r="L473" s="39" t="n">
        <f aca="false">'Inputs &amp; Assumptions'!L$51/4*(L429-L440)</f>
        <v>474558.520410649</v>
      </c>
      <c r="M473" s="39" t="n">
        <f aca="false">'Inputs &amp; Assumptions'!M$51/4*(M429-M440)</f>
        <v>428728.195712761</v>
      </c>
      <c r="N473" s="39" t="n">
        <f aca="false">'Inputs &amp; Assumptions'!N$51/4*(N429-N440)</f>
        <v>388641.480815936</v>
      </c>
      <c r="O473" s="39" t="n">
        <f aca="false">'Inputs &amp; Assumptions'!O$51/4*(O429-O440)</f>
        <v>352302.932536769</v>
      </c>
      <c r="P473" s="39" t="n">
        <f aca="false">'Inputs &amp; Assumptions'!P$51/4*(P429-P440)</f>
        <v>319362.091800978</v>
      </c>
      <c r="Q473" s="39" t="n">
        <f aca="false">'Inputs &amp; Assumptions'!Q$51/4*(Q429-Q440)</f>
        <v>289501.267971568</v>
      </c>
      <c r="R473" s="39" t="n">
        <f aca="false">'Inputs &amp; Assumptions'!R$51/4*(R429-R440)</f>
        <v>263030.029036441</v>
      </c>
      <c r="S473" s="39" t="n">
        <f aca="false">'Inputs &amp; Assumptions'!S$51/4*(S429-S440)</f>
        <v>238979.250970692</v>
      </c>
      <c r="T473" s="39" t="n">
        <f aca="false">'Inputs &amp; Assumptions'!T$51/4*(T429-T440)</f>
        <v>217127.613161616</v>
      </c>
      <c r="U473" s="39" t="n">
        <f aca="false">'Inputs &amp; Assumptions'!U$51/4*(U429-U440)</f>
        <v>197274.031974609</v>
      </c>
      <c r="V473" s="39" t="n">
        <f aca="false">'Inputs &amp; Assumptions'!V$51/4*(V429-V440)</f>
        <v>179606.805299641</v>
      </c>
      <c r="W473" s="39" t="n">
        <f aca="false">'Inputs &amp; Assumptions'!W$51/4*(W429-W440)</f>
        <v>163521.798520827</v>
      </c>
      <c r="X473" s="39" t="n">
        <f aca="false">'Inputs &amp; Assumptions'!X$51/4*(X429-X440)</f>
        <v>148877.313122273</v>
      </c>
      <c r="Y473" s="39" t="n">
        <f aca="false">'Inputs &amp; Assumptions'!Y$51/4*(Y429-Y440)</f>
        <v>135544.340650611</v>
      </c>
      <c r="Z473" s="39" t="n">
        <f aca="false">'Inputs &amp; Assumptions'!Z$51/4*(Z429-Z440)</f>
        <v>0</v>
      </c>
      <c r="AA473" s="39" t="n">
        <f aca="false">'Inputs &amp; Assumptions'!AA$51/4*(AA429-AA440)</f>
        <v>0</v>
      </c>
      <c r="AB473" s="39" t="n">
        <f aca="false">'Inputs &amp; Assumptions'!AB$51/4*(AB429-AB440)</f>
        <v>0</v>
      </c>
      <c r="AC473" s="39" t="n">
        <f aca="false">'Inputs &amp; Assumptions'!AC$51/4*(AC429-AC440)</f>
        <v>0</v>
      </c>
      <c r="AD473" s="39" t="n">
        <f aca="false">'Inputs &amp; Assumptions'!AD$51/4*(AD429-AD440)</f>
        <v>0</v>
      </c>
      <c r="AE473" s="39" t="n">
        <f aca="false">'Inputs &amp; Assumptions'!AE$51/4*(AE429-AE440)</f>
        <v>0</v>
      </c>
      <c r="AF473" s="39" t="n">
        <f aca="false">'Inputs &amp; Assumptions'!AF$51/4*(AF429-AF440)</f>
        <v>0</v>
      </c>
      <c r="AG473" s="39" t="n">
        <f aca="false">'Inputs &amp; Assumptions'!AG$51/4*(AG429-AG440)</f>
        <v>0</v>
      </c>
      <c r="AH473" s="39" t="n">
        <f aca="false">'Inputs &amp; Assumptions'!AH$51/4*(AH429-AH440)</f>
        <v>0</v>
      </c>
      <c r="AI473" s="39" t="n">
        <f aca="false">'Inputs &amp; Assumptions'!AI$51/4*(AI429-AI440)</f>
        <v>0</v>
      </c>
      <c r="AJ473" s="39" t="n">
        <f aca="false">'Inputs &amp; Assumptions'!AJ$51/4*(AJ429-AJ440)</f>
        <v>0</v>
      </c>
      <c r="AK473" s="39" t="n">
        <f aca="false">'Inputs &amp; Assumptions'!AK$51/4*(AK429-AK440)</f>
        <v>0</v>
      </c>
      <c r="AL473" s="39" t="n">
        <f aca="false">'Inputs &amp; Assumptions'!AL$51/4*(AL429-AL440)</f>
        <v>0</v>
      </c>
      <c r="AM473" s="39" t="n">
        <f aca="false">'Inputs &amp; Assumptions'!AM$51/4*(AM429-AM440)</f>
        <v>0</v>
      </c>
      <c r="AN473" s="39" t="n">
        <f aca="false">'Inputs &amp; Assumptions'!AN$51/4*(AN429-AN440)</f>
        <v>0</v>
      </c>
    </row>
    <row r="474" customFormat="false" ht="15" hidden="false" customHeight="false" outlineLevel="0" collapsed="false">
      <c r="B474" s="37" t="n">
        <v>9</v>
      </c>
      <c r="C474" s="38" t="n">
        <f aca="false">'Inputs &amp; Assumptions'!$C$148</f>
        <v>8</v>
      </c>
      <c r="D474" s="38" t="n">
        <f aca="false">'Inputs &amp; Assumptions'!$D$148</f>
        <v>3</v>
      </c>
      <c r="E474" s="39" t="n">
        <f aca="false">'Inputs &amp; Assumptions'!E$51/4*(E430-E441)</f>
        <v>954103.610125746</v>
      </c>
      <c r="F474" s="39" t="n">
        <f aca="false">'Inputs &amp; Assumptions'!F$51/4*(F430-F441)</f>
        <v>858635.37593519</v>
      </c>
      <c r="G474" s="39" t="n">
        <f aca="false">'Inputs &amp; Assumptions'!G$51/4*(G430-G441)</f>
        <v>772719.755991909</v>
      </c>
      <c r="H474" s="39" t="n">
        <f aca="false">'Inputs &amp; Assumptions'!H$51/4*(H430-H441)</f>
        <v>695400.909437097</v>
      </c>
      <c r="I474" s="39" t="n">
        <f aca="false">'Inputs &amp; Assumptions'!I$51/4*(I430-I441)</f>
        <v>628242.807529811</v>
      </c>
      <c r="J474" s="39" t="n">
        <f aca="false">'Inputs &amp; Assumptions'!J$51/4*(J430-J441)</f>
        <v>567570.476047301</v>
      </c>
      <c r="K474" s="39" t="n">
        <f aca="false">'Inputs &amp; Assumptions'!K$51/4*(K430-K441)</f>
        <v>512757.553957789</v>
      </c>
      <c r="L474" s="39" t="n">
        <f aca="false">'Inputs &amp; Assumptions'!L$51/4*(L430-L441)</f>
        <v>463238.170829138</v>
      </c>
      <c r="M474" s="39" t="n">
        <f aca="false">'Inputs &amp; Assumptions'!M$51/4*(M430-M441)</f>
        <v>419924.722660696</v>
      </c>
      <c r="N474" s="39" t="n">
        <f aca="false">'Inputs &amp; Assumptions'!N$51/4*(N430-N441)</f>
        <v>380661.145401817</v>
      </c>
      <c r="O474" s="39" t="n">
        <f aca="false">'Inputs &amp; Assumptions'!O$51/4*(O430-O441)</f>
        <v>345068.770184571</v>
      </c>
      <c r="P474" s="39" t="n">
        <f aca="false">'Inputs &amp; Assumptions'!P$51/4*(P430-P441)</f>
        <v>312804.334235379</v>
      </c>
      <c r="Q474" s="39" t="n">
        <f aca="false">'Inputs &amp; Assumptions'!Q$51/4*(Q430-Q441)</f>
        <v>284202.323855579</v>
      </c>
      <c r="R474" s="39" t="n">
        <f aca="false">'Inputs &amp; Assumptions'!R$51/4*(R430-R441)</f>
        <v>258215.606514368</v>
      </c>
      <c r="S474" s="39" t="n">
        <f aca="false">'Inputs &amp; Assumptions'!S$51/4*(S430-S441)</f>
        <v>234605.046654948</v>
      </c>
      <c r="T474" s="39" t="n">
        <f aca="false">'Inputs &amp; Assumptions'!T$51/4*(T430-T441)</f>
        <v>213153.374650528</v>
      </c>
      <c r="U474" s="39" t="n">
        <f aca="false">'Inputs &amp; Assumptions'!U$51/4*(U430-U441)</f>
        <v>194064.045209692</v>
      </c>
      <c r="V474" s="39" t="n">
        <f aca="false">'Inputs &amp; Assumptions'!V$51/4*(V430-V441)</f>
        <v>176684.294606622</v>
      </c>
      <c r="W474" s="39" t="n">
        <f aca="false">'Inputs &amp; Assumptions'!W$51/4*(W430-W441)</f>
        <v>160861.018468971</v>
      </c>
      <c r="X474" s="39" t="n">
        <f aca="false">'Inputs &amp; Assumptions'!X$51/4*(X430-X441)</f>
        <v>146454.82395867</v>
      </c>
      <c r="Y474" s="39" t="n">
        <f aca="false">'Inputs &amp; Assumptions'!Y$51/4*(Y430-Y441)</f>
        <v>0</v>
      </c>
      <c r="Z474" s="39" t="n">
        <f aca="false">'Inputs &amp; Assumptions'!Z$51/4*(Z430-Z441)</f>
        <v>0</v>
      </c>
      <c r="AA474" s="39" t="n">
        <f aca="false">'Inputs &amp; Assumptions'!AA$51/4*(AA430-AA441)</f>
        <v>0</v>
      </c>
      <c r="AB474" s="39" t="n">
        <f aca="false">'Inputs &amp; Assumptions'!AB$51/4*(AB430-AB441)</f>
        <v>0</v>
      </c>
      <c r="AC474" s="39" t="n">
        <f aca="false">'Inputs &amp; Assumptions'!AC$51/4*(AC430-AC441)</f>
        <v>0</v>
      </c>
      <c r="AD474" s="39" t="n">
        <f aca="false">'Inputs &amp; Assumptions'!AD$51/4*(AD430-AD441)</f>
        <v>0</v>
      </c>
      <c r="AE474" s="39" t="n">
        <f aca="false">'Inputs &amp; Assumptions'!AE$51/4*(AE430-AE441)</f>
        <v>0</v>
      </c>
      <c r="AF474" s="39" t="n">
        <f aca="false">'Inputs &amp; Assumptions'!AF$51/4*(AF430-AF441)</f>
        <v>0</v>
      </c>
      <c r="AG474" s="39" t="n">
        <f aca="false">'Inputs &amp; Assumptions'!AG$51/4*(AG430-AG441)</f>
        <v>0</v>
      </c>
      <c r="AH474" s="39" t="n">
        <f aca="false">'Inputs &amp; Assumptions'!AH$51/4*(AH430-AH441)</f>
        <v>0</v>
      </c>
      <c r="AI474" s="39" t="n">
        <f aca="false">'Inputs &amp; Assumptions'!AI$51/4*(AI430-AI441)</f>
        <v>0</v>
      </c>
      <c r="AJ474" s="39" t="n">
        <f aca="false">'Inputs &amp; Assumptions'!AJ$51/4*(AJ430-AJ441)</f>
        <v>0</v>
      </c>
      <c r="AK474" s="39" t="n">
        <f aca="false">'Inputs &amp; Assumptions'!AK$51/4*(AK430-AK441)</f>
        <v>0</v>
      </c>
      <c r="AL474" s="39" t="n">
        <f aca="false">'Inputs &amp; Assumptions'!AL$51/4*(AL430-AL441)</f>
        <v>0</v>
      </c>
      <c r="AM474" s="39" t="n">
        <f aca="false">'Inputs &amp; Assumptions'!AM$51/4*(AM430-AM441)</f>
        <v>0</v>
      </c>
      <c r="AN474" s="39" t="n">
        <f aca="false">'Inputs &amp; Assumptions'!AN$51/4*(AN430-AN441)</f>
        <v>0</v>
      </c>
    </row>
    <row r="475" customFormat="false" ht="15" hidden="false" customHeight="false" outlineLevel="0" collapsed="false">
      <c r="B475" s="37" t="n">
        <v>10</v>
      </c>
      <c r="C475" s="38" t="n">
        <f aca="false">'Inputs &amp; Assumptions'!$C$149</f>
        <v>9</v>
      </c>
      <c r="D475" s="38" t="n">
        <f aca="false">'Inputs &amp; Assumptions'!$D$149</f>
        <v>3</v>
      </c>
      <c r="E475" s="39" t="n">
        <f aca="false">'Inputs &amp; Assumptions'!E$51/4*(E431-E442)</f>
        <v>925480.501821974</v>
      </c>
      <c r="F475" s="39" t="n">
        <f aca="false">'Inputs &amp; Assumptions'!F$51/4*(F431-F442)</f>
        <v>832876.314657135</v>
      </c>
      <c r="G475" s="39" t="n">
        <f aca="false">'Inputs &amp; Assumptions'!G$51/4*(G431-G442)</f>
        <v>749538.163312152</v>
      </c>
      <c r="H475" s="39" t="n">
        <f aca="false">'Inputs &amp; Assumptions'!H$51/4*(H431-H442)</f>
        <v>677151.774867731</v>
      </c>
      <c r="I475" s="39" t="n">
        <f aca="false">'Inputs &amp; Assumptions'!I$51/4*(I431-I442)</f>
        <v>611756.07680907</v>
      </c>
      <c r="J475" s="39" t="n">
        <f aca="false">'Inputs &amp; Assumptions'!J$51/4*(J431-J442)</f>
        <v>552675.945634089</v>
      </c>
      <c r="K475" s="39" t="n">
        <f aca="false">'Inputs &amp; Assumptions'!K$51/4*(K431-K442)</f>
        <v>499301.457659024</v>
      </c>
      <c r="L475" s="39" t="n">
        <f aca="false">'Inputs &amp; Assumptions'!L$51/4*(L431-L442)</f>
        <v>452616.039296298</v>
      </c>
      <c r="M475" s="39" t="n">
        <f aca="false">'Inputs &amp; Assumptions'!M$51/4*(M431-M442)</f>
        <v>410295.776000257</v>
      </c>
      <c r="N475" s="39" t="n">
        <f aca="false">'Inputs &amp; Assumptions'!N$51/4*(N431-N442)</f>
        <v>371932.51937201</v>
      </c>
      <c r="O475" s="39" t="n">
        <f aca="false">'Inputs &amp; Assumptions'!O$51/4*(O431-O442)</f>
        <v>337156.283486389</v>
      </c>
      <c r="P475" s="39" t="n">
        <f aca="false">'Inputs &amp; Assumptions'!P$51/4*(P431-P442)</f>
        <v>306327.594544259</v>
      </c>
      <c r="Q475" s="39" t="n">
        <f aca="false">'Inputs &amp; Assumptions'!Q$51/4*(Q431-Q442)</f>
        <v>278317.800305982</v>
      </c>
      <c r="R475" s="39" t="n">
        <f aca="false">'Inputs &amp; Assumptions'!R$51/4*(R431-R442)</f>
        <v>252869.148410882</v>
      </c>
      <c r="S475" s="39" t="n">
        <f aca="false">'Inputs &amp; Assumptions'!S$51/4*(S431-S442)</f>
        <v>229747.454700152</v>
      </c>
      <c r="T475" s="39" t="n">
        <f aca="false">'Inputs &amp; Assumptions'!T$51/4*(T431-T442)</f>
        <v>209172.012917186</v>
      </c>
      <c r="U475" s="39" t="n">
        <f aca="false">'Inputs &amp; Assumptions'!U$51/4*(U431-U442)</f>
        <v>190439.241405003</v>
      </c>
      <c r="V475" s="39" t="n">
        <f aca="false">'Inputs &amp; Assumptions'!V$51/4*(V431-V442)</f>
        <v>173384.116551347</v>
      </c>
      <c r="W475" s="39" t="n">
        <f aca="false">'Inputs &amp; Assumptions'!W$51/4*(W431-W442)</f>
        <v>157856.393726956</v>
      </c>
      <c r="X475" s="39" t="n">
        <f aca="false">'Inputs &amp; Assumptions'!X$51/4*(X431-X442)</f>
        <v>0</v>
      </c>
      <c r="Y475" s="39" t="n">
        <f aca="false">'Inputs &amp; Assumptions'!Y$51/4*(Y431-Y442)</f>
        <v>0</v>
      </c>
      <c r="Z475" s="39" t="n">
        <f aca="false">'Inputs &amp; Assumptions'!Z$51/4*(Z431-Z442)</f>
        <v>0</v>
      </c>
      <c r="AA475" s="39" t="n">
        <f aca="false">'Inputs &amp; Assumptions'!AA$51/4*(AA431-AA442)</f>
        <v>0</v>
      </c>
      <c r="AB475" s="39" t="n">
        <f aca="false">'Inputs &amp; Assumptions'!AB$51/4*(AB431-AB442)</f>
        <v>0</v>
      </c>
      <c r="AC475" s="39" t="n">
        <f aca="false">'Inputs &amp; Assumptions'!AC$51/4*(AC431-AC442)</f>
        <v>0</v>
      </c>
      <c r="AD475" s="39" t="n">
        <f aca="false">'Inputs &amp; Assumptions'!AD$51/4*(AD431-AD442)</f>
        <v>0</v>
      </c>
      <c r="AE475" s="39" t="n">
        <f aca="false">'Inputs &amp; Assumptions'!AE$51/4*(AE431-AE442)</f>
        <v>0</v>
      </c>
      <c r="AF475" s="39" t="n">
        <f aca="false">'Inputs &amp; Assumptions'!AF$51/4*(AF431-AF442)</f>
        <v>0</v>
      </c>
      <c r="AG475" s="39" t="n">
        <f aca="false">'Inputs &amp; Assumptions'!AG$51/4*(AG431-AG442)</f>
        <v>0</v>
      </c>
      <c r="AH475" s="39" t="n">
        <f aca="false">'Inputs &amp; Assumptions'!AH$51/4*(AH431-AH442)</f>
        <v>0</v>
      </c>
      <c r="AI475" s="39" t="n">
        <f aca="false">'Inputs &amp; Assumptions'!AI$51/4*(AI431-AI442)</f>
        <v>0</v>
      </c>
      <c r="AJ475" s="39" t="n">
        <f aca="false">'Inputs &amp; Assumptions'!AJ$51/4*(AJ431-AJ442)</f>
        <v>0</v>
      </c>
      <c r="AK475" s="39" t="n">
        <f aca="false">'Inputs &amp; Assumptions'!AK$51/4*(AK431-AK442)</f>
        <v>0</v>
      </c>
      <c r="AL475" s="39" t="n">
        <f aca="false">'Inputs &amp; Assumptions'!AL$51/4*(AL431-AL442)</f>
        <v>0</v>
      </c>
      <c r="AM475" s="39" t="n">
        <f aca="false">'Inputs &amp; Assumptions'!AM$51/4*(AM431-AM442)</f>
        <v>0</v>
      </c>
      <c r="AN475" s="39" t="n">
        <f aca="false">'Inputs &amp; Assumptions'!AN$51/4*(AN431-AN442)</f>
        <v>0</v>
      </c>
    </row>
    <row r="476" customFormat="false" ht="15" hidden="false" customHeight="false" outlineLevel="0" collapsed="false">
      <c r="B476" s="37" t="n">
        <v>11</v>
      </c>
      <c r="C476" s="38" t="n">
        <f aca="false">'Inputs &amp; Assumptions'!$C$150</f>
        <v>10</v>
      </c>
      <c r="D476" s="38" t="n">
        <f aca="false">'Inputs &amp; Assumptions'!$D$150</f>
        <v>2</v>
      </c>
      <c r="E476" s="39" t="n">
        <f aca="false">'Inputs &amp; Assumptions'!E$51/4*(E432-E443)</f>
        <v>598477.39117821</v>
      </c>
      <c r="F476" s="39" t="n">
        <f aca="false">'Inputs &amp; Assumptions'!F$51/4*(F432-F443)</f>
        <v>538593.350144947</v>
      </c>
      <c r="G476" s="39" t="n">
        <f aca="false">'Inputs &amp; Assumptions'!G$51/4*(G432-G443)</f>
        <v>486578.883950332</v>
      </c>
      <c r="H476" s="39" t="n">
        <f aca="false">'Inputs &amp; Assumptions'!H$51/4*(H432-H443)</f>
        <v>439587.696808052</v>
      </c>
      <c r="I476" s="39" t="n">
        <f aca="false">'Inputs &amp; Assumptions'!I$51/4*(I432-I443)</f>
        <v>397134.667283945</v>
      </c>
      <c r="J476" s="39" t="n">
        <f aca="false">'Inputs &amp; Assumptions'!J$51/4*(J432-J443)</f>
        <v>358781.524378279</v>
      </c>
      <c r="K476" s="39" t="n">
        <f aca="false">'Inputs &amp; Assumptions'!K$51/4*(K432-K443)</f>
        <v>325234.92580645</v>
      </c>
      <c r="L476" s="39" t="n">
        <f aca="false">'Inputs &amp; Assumptions'!L$51/4*(L432-L443)</f>
        <v>294824.983386829</v>
      </c>
      <c r="M476" s="39" t="n">
        <f aca="false">'Inputs &amp; Assumptions'!M$51/4*(M432-M443)</f>
        <v>267258.415170244</v>
      </c>
      <c r="N476" s="39" t="n">
        <f aca="false">'Inputs &amp; Assumptions'!N$51/4*(N432-N443)</f>
        <v>242269.361499781</v>
      </c>
      <c r="O476" s="39" t="n">
        <f aca="false">'Inputs &amp; Assumptions'!O$51/4*(O432-O443)</f>
        <v>220116.884587137</v>
      </c>
      <c r="P476" s="39" t="n">
        <f aca="false">'Inputs &amp; Assumptions'!P$51/4*(P432-P443)</f>
        <v>199989.972237537</v>
      </c>
      <c r="Q476" s="39" t="n">
        <f aca="false">'Inputs &amp; Assumptions'!Q$51/4*(Q432-Q443)</f>
        <v>181703.412123924</v>
      </c>
      <c r="R476" s="39" t="n">
        <f aca="false">'Inputs &amp; Assumptions'!R$51/4*(R432-R443)</f>
        <v>165088.927250121</v>
      </c>
      <c r="S476" s="39" t="n">
        <f aca="false">'Inputs &amp; Assumptions'!S$51/4*(S432-S443)</f>
        <v>150304.094851954</v>
      </c>
      <c r="T476" s="39" t="n">
        <f aca="false">'Inputs &amp; Assumptions'!T$51/4*(T432-T443)</f>
        <v>136843.344405757</v>
      </c>
      <c r="U476" s="39" t="n">
        <f aca="false">'Inputs &amp; Assumptions'!U$51/4*(U432-U443)</f>
        <v>124588.095398181</v>
      </c>
      <c r="V476" s="39" t="n">
        <f aca="false">'Inputs &amp; Assumptions'!V$51/4*(V432-V443)</f>
        <v>113430.387004582</v>
      </c>
      <c r="W476" s="39" t="n">
        <f aca="false">'Inputs &amp; Assumptions'!W$51/4*(W432-W443)</f>
        <v>0</v>
      </c>
      <c r="X476" s="39" t="n">
        <f aca="false">'Inputs &amp; Assumptions'!X$51/4*(X432-X443)</f>
        <v>0</v>
      </c>
      <c r="Y476" s="39" t="n">
        <f aca="false">'Inputs &amp; Assumptions'!Y$51/4*(Y432-Y443)</f>
        <v>0</v>
      </c>
      <c r="Z476" s="39" t="n">
        <f aca="false">'Inputs &amp; Assumptions'!Z$51/4*(Z432-Z443)</f>
        <v>0</v>
      </c>
      <c r="AA476" s="39" t="n">
        <f aca="false">'Inputs &amp; Assumptions'!AA$51/4*(AA432-AA443)</f>
        <v>0</v>
      </c>
      <c r="AB476" s="39" t="n">
        <f aca="false">'Inputs &amp; Assumptions'!AB$51/4*(AB432-AB443)</f>
        <v>0</v>
      </c>
      <c r="AC476" s="39" t="n">
        <f aca="false">'Inputs &amp; Assumptions'!AC$51/4*(AC432-AC443)</f>
        <v>0</v>
      </c>
      <c r="AD476" s="39" t="n">
        <f aca="false">'Inputs &amp; Assumptions'!AD$51/4*(AD432-AD443)</f>
        <v>0</v>
      </c>
      <c r="AE476" s="39" t="n">
        <f aca="false">'Inputs &amp; Assumptions'!AE$51/4*(AE432-AE443)</f>
        <v>0</v>
      </c>
      <c r="AF476" s="39" t="n">
        <f aca="false">'Inputs &amp; Assumptions'!AF$51/4*(AF432-AF443)</f>
        <v>0</v>
      </c>
      <c r="AG476" s="39" t="n">
        <f aca="false">'Inputs &amp; Assumptions'!AG$51/4*(AG432-AG443)</f>
        <v>0</v>
      </c>
      <c r="AH476" s="39" t="n">
        <f aca="false">'Inputs &amp; Assumptions'!AH$51/4*(AH432-AH443)</f>
        <v>0</v>
      </c>
      <c r="AI476" s="39" t="n">
        <f aca="false">'Inputs &amp; Assumptions'!AI$51/4*(AI432-AI443)</f>
        <v>0</v>
      </c>
      <c r="AJ476" s="39" t="n">
        <f aca="false">'Inputs &amp; Assumptions'!AJ$51/4*(AJ432-AJ443)</f>
        <v>0</v>
      </c>
      <c r="AK476" s="39" t="n">
        <f aca="false">'Inputs &amp; Assumptions'!AK$51/4*(AK432-AK443)</f>
        <v>0</v>
      </c>
      <c r="AL476" s="39" t="n">
        <f aca="false">'Inputs &amp; Assumptions'!AL$51/4*(AL432-AL443)</f>
        <v>0</v>
      </c>
      <c r="AM476" s="39" t="n">
        <f aca="false">'Inputs &amp; Assumptions'!AM$51/4*(AM432-AM443)</f>
        <v>0</v>
      </c>
      <c r="AN476" s="39" t="n">
        <f aca="false">'Inputs &amp; Assumptions'!AN$51/4*(AN432-AN443)</f>
        <v>0</v>
      </c>
    </row>
    <row r="477" customFormat="false" ht="15" hidden="false" customHeight="false" outlineLevel="0" collapsed="false">
      <c r="A477" s="12" t="s">
        <v>131</v>
      </c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customFormat="false" ht="15" hidden="false" customHeight="false" outlineLevel="0" collapsed="false">
      <c r="A478" s="5" t="s">
        <v>132</v>
      </c>
      <c r="E478" s="39" t="n">
        <f aca="false">SUM(E422:E432)</f>
        <v>567374870.33916</v>
      </c>
      <c r="F478" s="39" t="n">
        <f aca="false">SUM(F422:F432)</f>
        <v>516250864.351846</v>
      </c>
      <c r="G478" s="39" t="n">
        <f aca="false">SUM(G422:G432)</f>
        <v>468134939.66127</v>
      </c>
      <c r="H478" s="39" t="n">
        <f aca="false">SUM(H422:H432)</f>
        <v>423084496.997182</v>
      </c>
      <c r="I478" s="39" t="n">
        <f aca="false">SUM(I422:I432)</f>
        <v>381058436.882548</v>
      </c>
      <c r="J478" s="39" t="n">
        <f aca="false">SUM(J422:J432)</f>
        <v>342936158.739291</v>
      </c>
      <c r="K478" s="39" t="n">
        <f aca="false">SUM(K422:K432)</f>
        <v>308821803.356248</v>
      </c>
      <c r="L478" s="39" t="n">
        <f aca="false">SUM(L422:L432)</f>
        <v>278336359.934224</v>
      </c>
      <c r="M478" s="39" t="n">
        <f aca="false">SUM(M422:M432)</f>
        <v>251104474.319081</v>
      </c>
      <c r="N478" s="39" t="n">
        <f aca="false">SUM(N422:N432)</f>
        <v>226720550.393674</v>
      </c>
      <c r="O478" s="39" t="n">
        <f aca="false">SUM(O422:O432)</f>
        <v>204855034.243808</v>
      </c>
      <c r="P478" s="39" t="n">
        <f aca="false">SUM(P422:P432)</f>
        <v>185263055.766741</v>
      </c>
      <c r="Q478" s="39" t="n">
        <f aca="false">SUM(Q422:Q432)</f>
        <v>167709312.858175</v>
      </c>
      <c r="R478" s="39" t="n">
        <f aca="false">SUM(R422:R432)</f>
        <v>151926641.08418</v>
      </c>
      <c r="S478" s="39" t="n">
        <f aca="false">SUM(S422:S432)</f>
        <v>137708563.434234</v>
      </c>
      <c r="T478" s="39" t="n">
        <f aca="false">SUM(T422:T432)</f>
        <v>124910267.125034</v>
      </c>
      <c r="U478" s="39" t="n">
        <f aca="false">SUM(U422:U432)</f>
        <v>113391393.369603</v>
      </c>
      <c r="V478" s="39" t="n">
        <f aca="false">SUM(V422:V432)</f>
        <v>102992004.487559</v>
      </c>
      <c r="W478" s="39" t="n">
        <f aca="false">SUM(W422:W432)</f>
        <v>87904208.0875355</v>
      </c>
      <c r="X478" s="39" t="n">
        <f aca="false">SUM(X422:X432)</f>
        <v>71996320.2135063</v>
      </c>
      <c r="Y478" s="39" t="n">
        <f aca="false">SUM(Y422:Y432)</f>
        <v>58131070.9030595</v>
      </c>
      <c r="Z478" s="39" t="n">
        <f aca="false">SUM(Z422:Z432)</f>
        <v>46082180.2148006</v>
      </c>
      <c r="AA478" s="39" t="n">
        <f aca="false">SUM(AA422:AA432)</f>
        <v>35636715.3399756</v>
      </c>
      <c r="AB478" s="39" t="n">
        <f aca="false">SUM(AB422:AB432)</f>
        <v>26610751.9066498</v>
      </c>
      <c r="AC478" s="39" t="n">
        <f aca="false">SUM(AC422:AC432)</f>
        <v>18839951.9797722</v>
      </c>
      <c r="AD478" s="39" t="n">
        <f aca="false">SUM(AD422:AD432)</f>
        <v>12142194.3243322</v>
      </c>
      <c r="AE478" s="39" t="n">
        <f aca="false">SUM(AE422:AE432)</f>
        <v>6391473.13104228</v>
      </c>
      <c r="AF478" s="39" t="n">
        <f aca="false">SUM(AF422:AF432)</f>
        <v>1478914.92890776</v>
      </c>
      <c r="AG478" s="39" t="n">
        <f aca="false">SUM(AG422:AG432)</f>
        <v>0</v>
      </c>
      <c r="AH478" s="39" t="n">
        <f aca="false">SUM(AH422:AH432)</f>
        <v>0</v>
      </c>
      <c r="AI478" s="39" t="n">
        <f aca="false">SUM(AI422:AI432)</f>
        <v>0</v>
      </c>
      <c r="AJ478" s="39" t="n">
        <f aca="false">SUM(AJ422:AJ432)</f>
        <v>0</v>
      </c>
      <c r="AK478" s="39" t="n">
        <f aca="false">SUM(AK422:AK432)</f>
        <v>0</v>
      </c>
      <c r="AL478" s="39" t="n">
        <f aca="false">SUM(AL422:AL432)</f>
        <v>0</v>
      </c>
      <c r="AM478" s="39" t="n">
        <f aca="false">SUM(AM422:AM432)</f>
        <v>0</v>
      </c>
      <c r="AN478" s="39" t="n">
        <f aca="false">SUM(AN422:AN432)</f>
        <v>0</v>
      </c>
    </row>
    <row r="479" customFormat="false" ht="15" hidden="false" customHeight="false" outlineLevel="0" collapsed="false">
      <c r="A479" s="5" t="s">
        <v>133</v>
      </c>
      <c r="E479" s="39" t="n">
        <f aca="false">SUM(E444:E454)</f>
        <v>10795324.5987215</v>
      </c>
      <c r="F479" s="39" t="n">
        <f aca="false">SUM(F444:F454)</f>
        <v>11343265.2365593</v>
      </c>
      <c r="G479" s="39" t="n">
        <f aca="false">SUM(G444:G454)</f>
        <v>11726671.138285</v>
      </c>
      <c r="H479" s="39" t="n">
        <f aca="false">SUM(H444:H454)</f>
        <v>11970707.9512732</v>
      </c>
      <c r="I479" s="39" t="n">
        <f aca="false">SUM(I444:I454)</f>
        <v>11214768.2302768</v>
      </c>
      <c r="J479" s="39" t="n">
        <f aca="false">SUM(J444:J454)</f>
        <v>10099153.6203955</v>
      </c>
      <c r="K479" s="39" t="n">
        <f aca="false">SUM(K444:K454)</f>
        <v>9102212.42984841</v>
      </c>
      <c r="L479" s="39" t="n">
        <f aca="false">SUM(L444:L454)</f>
        <v>8211669.75050553</v>
      </c>
      <c r="M479" s="39" t="n">
        <f aca="false">SUM(M444:M454)</f>
        <v>7414261.69539275</v>
      </c>
      <c r="N479" s="39" t="n">
        <f aca="false">SUM(N444:N454)</f>
        <v>6699211.12517119</v>
      </c>
      <c r="O479" s="39" t="n">
        <f aca="false">SUM(O444:O454)</f>
        <v>6058510.2477816</v>
      </c>
      <c r="P479" s="39" t="n">
        <f aca="false">SUM(P444:P454)</f>
        <v>5484464.16580199</v>
      </c>
      <c r="Q479" s="39" t="n">
        <f aca="false">SUM(Q444:Q454)</f>
        <v>4968336.01340598</v>
      </c>
      <c r="R479" s="39" t="n">
        <f aca="false">SUM(R444:R454)</f>
        <v>4503373.53726932</v>
      </c>
      <c r="S479" s="39" t="n">
        <f aca="false">SUM(S444:S454)</f>
        <v>4084841.04020708</v>
      </c>
      <c r="T479" s="39" t="n">
        <f aca="false">SUM(T444:T454)</f>
        <v>3708148.48053101</v>
      </c>
      <c r="U479" s="39" t="n">
        <f aca="false">SUM(U444:U454)</f>
        <v>3368065.54358619</v>
      </c>
      <c r="V479" s="39" t="n">
        <f aca="false">SUM(V444:V454)</f>
        <v>9069657.90694852</v>
      </c>
      <c r="W479" s="39" t="n">
        <f aca="false">SUM(W444:W454)</f>
        <v>10975759.6921335</v>
      </c>
      <c r="X479" s="39" t="n">
        <f aca="false">SUM(X444:X454)</f>
        <v>9899639.15219816</v>
      </c>
      <c r="Y479" s="39" t="n">
        <f aca="false">SUM(Y444:Y454)</f>
        <v>8909738.21209816</v>
      </c>
      <c r="Z479" s="39" t="n">
        <f aca="false">SUM(Z444:Z454)</f>
        <v>8016663.93480081</v>
      </c>
      <c r="AA479" s="39" t="n">
        <f aca="false">SUM(AA444:AA454)</f>
        <v>7211094.57223709</v>
      </c>
      <c r="AB479" s="39" t="n">
        <f aca="false">SUM(AB444:AB454)</f>
        <v>6484595.25960863</v>
      </c>
      <c r="AC479" s="39" t="n">
        <f aca="false">SUM(AC444:AC454)</f>
        <v>5858902.98866494</v>
      </c>
      <c r="AD479" s="39" t="n">
        <f aca="false">SUM(AD444:AD454)</f>
        <v>5292360.73736693</v>
      </c>
      <c r="AE479" s="39" t="n">
        <f aca="false">SUM(AE444:AE454)</f>
        <v>4779455.36200261</v>
      </c>
      <c r="AF479" s="39" t="n">
        <f aca="false">SUM(AF444:AF454)</f>
        <v>1467749.1211945</v>
      </c>
      <c r="AG479" s="39" t="n">
        <f aca="false">SUM(AG444:AG454)</f>
        <v>0</v>
      </c>
      <c r="AH479" s="39" t="n">
        <f aca="false">SUM(AH444:AH454)</f>
        <v>0</v>
      </c>
      <c r="AI479" s="39" t="n">
        <f aca="false">SUM(AI444:AI454)</f>
        <v>0</v>
      </c>
      <c r="AJ479" s="39" t="n">
        <f aca="false">SUM(AJ444:AJ454)</f>
        <v>0</v>
      </c>
      <c r="AK479" s="39" t="n">
        <f aca="false">SUM(AK444:AK454)</f>
        <v>0</v>
      </c>
      <c r="AL479" s="39" t="n">
        <f aca="false">SUM(AL444:AL454)</f>
        <v>0</v>
      </c>
      <c r="AM479" s="39" t="n">
        <f aca="false">SUM(AM444:AM454)</f>
        <v>0</v>
      </c>
      <c r="AN479" s="39" t="n">
        <f aca="false">SUM(AN444:AN454)</f>
        <v>0</v>
      </c>
    </row>
    <row r="480" customFormat="false" ht="15" hidden="false" customHeight="false" outlineLevel="0" collapsed="false">
      <c r="A480" s="5" t="s">
        <v>129</v>
      </c>
      <c r="E480" s="39" t="n">
        <f aca="false">SUM(E455:E465)</f>
        <v>29617964.3401487</v>
      </c>
      <c r="F480" s="39" t="n">
        <f aca="false">SUM(F455:F465)</f>
        <v>26857492.9490393</v>
      </c>
      <c r="G480" s="39" t="n">
        <f aca="false">SUM(G455:G465)</f>
        <v>24272892.1348439</v>
      </c>
      <c r="H480" s="39" t="n">
        <f aca="false">SUM(H455:H465)</f>
        <v>21861803.9686382</v>
      </c>
      <c r="I480" s="39" t="n">
        <f aca="false">SUM(I455:I465)</f>
        <v>19674680.706327</v>
      </c>
      <c r="J480" s="39" t="n">
        <f aca="false">SUM(J455:J465)</f>
        <v>17717497.0365414</v>
      </c>
      <c r="K480" s="39" t="n">
        <f aca="false">SUM(K455:K465)</f>
        <v>15968508.6308741</v>
      </c>
      <c r="L480" s="39" t="n">
        <f aca="false">SUM(L455:L465)</f>
        <v>14406180.9472644</v>
      </c>
      <c r="M480" s="39" t="n">
        <f aca="false">SUM(M455:M465)</f>
        <v>13007244.4240251</v>
      </c>
      <c r="N480" s="39" t="n">
        <f aca="false">SUM(N455:N465)</f>
        <v>11752792.1367273</v>
      </c>
      <c r="O480" s="39" t="n">
        <f aca="false">SUM(O455:O465)</f>
        <v>10628775.5781976</v>
      </c>
      <c r="P480" s="39" t="n">
        <f aca="false">SUM(P455:P465)</f>
        <v>9621695.16942236</v>
      </c>
      <c r="Q480" s="39" t="n">
        <f aca="false">SUM(Q455:Q465)</f>
        <v>8716223.34928049</v>
      </c>
      <c r="R480" s="39" t="n">
        <f aca="false">SUM(R455:R465)</f>
        <v>7900514.27080708</v>
      </c>
      <c r="S480" s="39" t="n">
        <f aca="false">SUM(S455:S465)</f>
        <v>7166259.84166155</v>
      </c>
      <c r="T480" s="39" t="n">
        <f aca="false">SUM(T455:T465)</f>
        <v>6505407.50090011</v>
      </c>
      <c r="U480" s="39" t="n">
        <f aca="false">SUM(U455:U465)</f>
        <v>5908781.42172752</v>
      </c>
      <c r="V480" s="39" t="n">
        <f aca="false">SUM(V455:V465)</f>
        <v>5043175.47972417</v>
      </c>
      <c r="W480" s="39" t="n">
        <f aca="false">SUM(W455:W465)</f>
        <v>4130519.85372028</v>
      </c>
      <c r="X480" s="39" t="n">
        <f aca="false">SUM(X455:X465)</f>
        <v>3335052.98286154</v>
      </c>
      <c r="Y480" s="39" t="n">
        <f aca="false">SUM(Y455:Y465)</f>
        <v>2643792.90101888</v>
      </c>
      <c r="Z480" s="39" t="n">
        <f aca="false">SUM(Z455:Z465)</f>
        <v>2044523.38392613</v>
      </c>
      <c r="AA480" s="39" t="n">
        <f aca="false">SUM(AA455:AA465)</f>
        <v>1526692.4579879</v>
      </c>
      <c r="AB480" s="39" t="n">
        <f aca="false">SUM(AB455:AB465)</f>
        <v>1080871.84823909</v>
      </c>
      <c r="AC480" s="39" t="n">
        <f aca="false">SUM(AC455:AC465)</f>
        <v>696613.029327787</v>
      </c>
      <c r="AD480" s="39" t="n">
        <f aca="false">SUM(AD455:AD465)</f>
        <v>366686.888774314</v>
      </c>
      <c r="AE480" s="39" t="n">
        <f aca="false">SUM(AE455:AE465)</f>
        <v>84847.2179925501</v>
      </c>
      <c r="AF480" s="39" t="n">
        <f aca="false">SUM(AF455:AF465)</f>
        <v>0</v>
      </c>
      <c r="AG480" s="39" t="n">
        <f aca="false">SUM(AG455:AG465)</f>
        <v>0</v>
      </c>
      <c r="AH480" s="39" t="n">
        <f aca="false">SUM(AH455:AH465)</f>
        <v>0</v>
      </c>
      <c r="AI480" s="39" t="n">
        <f aca="false">SUM(AI455:AI465)</f>
        <v>0</v>
      </c>
      <c r="AJ480" s="39" t="n">
        <f aca="false">SUM(AJ455:AJ465)</f>
        <v>0</v>
      </c>
      <c r="AK480" s="39" t="n">
        <f aca="false">SUM(AK455:AK465)</f>
        <v>0</v>
      </c>
      <c r="AL480" s="39" t="n">
        <f aca="false">SUM(AL455:AL465)</f>
        <v>0</v>
      </c>
      <c r="AM480" s="39" t="n">
        <f aca="false">SUM(AM455:AM465)</f>
        <v>0</v>
      </c>
      <c r="AN480" s="39" t="n">
        <f aca="false">SUM(AN455:AN465)</f>
        <v>0</v>
      </c>
    </row>
    <row r="481" customFormat="false" ht="15" hidden="false" customHeight="false" outlineLevel="0" collapsed="false">
      <c r="A481" s="5" t="s">
        <v>128</v>
      </c>
      <c r="E481" s="39" t="n">
        <f aca="false">SUM(E433:E443)</f>
        <v>10710717.048444</v>
      </c>
      <c r="F481" s="39" t="n">
        <f aca="false">SUM(F433:F443)</f>
        <v>9915166.504977</v>
      </c>
      <c r="G481" s="39" t="n">
        <f aca="false">SUM(G433:G443)</f>
        <v>9050879.39095892</v>
      </c>
      <c r="H481" s="39" t="n">
        <f aca="false">SUM(H433:H443)</f>
        <v>8193548.19472308</v>
      </c>
      <c r="I481" s="39" t="n">
        <f aca="false">SUM(I433:I443)</f>
        <v>7232829.20665344</v>
      </c>
      <c r="J481" s="39" t="n">
        <f aca="false">SUM(J433:J443)</f>
        <v>6297704.72610626</v>
      </c>
      <c r="K481" s="39" t="n">
        <f aca="false">SUM(K433:K443)</f>
        <v>5414722.36130063</v>
      </c>
      <c r="L481" s="39" t="n">
        <f aca="false">SUM(L433:L443)</f>
        <v>4614034.9173734</v>
      </c>
      <c r="M481" s="39" t="n">
        <f aca="false">SUM(M433:M443)</f>
        <v>3962417.80598944</v>
      </c>
      <c r="N481" s="39" t="n">
        <f aca="false">SUM(N433:N443)</f>
        <v>3413512.88796754</v>
      </c>
      <c r="O481" s="39" t="n">
        <f aca="false">SUM(O433:O443)</f>
        <v>2904692.65108779</v>
      </c>
      <c r="P481" s="39" t="n">
        <f aca="false">SUM(P433:P443)</f>
        <v>2447583.57334121</v>
      </c>
      <c r="Q481" s="39" t="n">
        <f aca="false">SUM(Q433:Q443)</f>
        <v>2098112.41130927</v>
      </c>
      <c r="R481" s="39" t="n">
        <f aca="false">SUM(R433:R443)</f>
        <v>1814189.84186887</v>
      </c>
      <c r="S481" s="39" t="n">
        <f aca="false">SUM(S433:S443)</f>
        <v>1547195.42733172</v>
      </c>
      <c r="T481" s="39" t="n">
        <f aca="false">SUM(T433:T443)</f>
        <v>1305317.77400013</v>
      </c>
      <c r="U481" s="39" t="n">
        <f aca="false">SUM(U433:U443)</f>
        <v>1122541.91672964</v>
      </c>
      <c r="V481" s="39" t="n">
        <f aca="false">SUM(V433:V443)</f>
        <v>974963.013351069</v>
      </c>
      <c r="W481" s="39" t="n">
        <f aca="false">SUM(W433:W443)</f>
        <v>801608.328175497</v>
      </c>
      <c r="X481" s="39" t="n">
        <f aca="false">SUM(X433:X443)</f>
        <v>630557.175387105</v>
      </c>
      <c r="Y481" s="39" t="n">
        <f aca="false">SUM(Y433:Y443)</f>
        <v>495359.575141812</v>
      </c>
      <c r="Z481" s="39" t="n">
        <f aca="false">SUM(Z433:Z443)</f>
        <v>384277.556098071</v>
      </c>
      <c r="AA481" s="39" t="n">
        <f aca="false">SUM(AA433:AA443)</f>
        <v>288176.403100797</v>
      </c>
      <c r="AB481" s="39" t="n">
        <f aca="false">SUM(AB433:AB443)</f>
        <v>205332.819029855</v>
      </c>
      <c r="AC481" s="39" t="n">
        <f aca="false">SUM(AC433:AC443)</f>
        <v>142241.63744728</v>
      </c>
      <c r="AD481" s="39" t="n">
        <f aca="false">SUM(AD433:AD443)</f>
        <v>91673.5671487084</v>
      </c>
      <c r="AE481" s="39" t="n">
        <f aca="false">SUM(AE433:AE443)</f>
        <v>48255.6221393693</v>
      </c>
      <c r="AF481" s="39" t="n">
        <f aca="false">SUM(AF433:AF443)</f>
        <v>11165.8077132536</v>
      </c>
      <c r="AG481" s="39" t="n">
        <f aca="false">SUM(AG433:AG443)</f>
        <v>0</v>
      </c>
      <c r="AH481" s="39" t="n">
        <f aca="false">SUM(AH433:AH443)</f>
        <v>0</v>
      </c>
      <c r="AI481" s="39" t="n">
        <f aca="false">SUM(AI433:AI443)</f>
        <v>0</v>
      </c>
      <c r="AJ481" s="39" t="n">
        <f aca="false">SUM(AJ433:AJ443)</f>
        <v>0</v>
      </c>
      <c r="AK481" s="39" t="n">
        <f aca="false">SUM(AK433:AK443)</f>
        <v>0</v>
      </c>
      <c r="AL481" s="39" t="n">
        <f aca="false">SUM(AL433:AL443)</f>
        <v>0</v>
      </c>
      <c r="AM481" s="39" t="n">
        <f aca="false">SUM(AM433:AM443)</f>
        <v>0</v>
      </c>
      <c r="AN481" s="39" t="n">
        <f aca="false">SUM(AN433:AN443)</f>
        <v>0</v>
      </c>
    </row>
    <row r="482" customFormat="false" ht="15" hidden="false" customHeight="false" outlineLevel="0" collapsed="false">
      <c r="A482" s="5" t="s">
        <v>134</v>
      </c>
      <c r="E482" s="39" t="n">
        <v>0</v>
      </c>
      <c r="F482" s="39" t="n">
        <v>0</v>
      </c>
      <c r="G482" s="39" t="n">
        <v>0</v>
      </c>
      <c r="H482" s="39" t="n">
        <v>0</v>
      </c>
      <c r="I482" s="39" t="n">
        <v>0</v>
      </c>
      <c r="J482" s="39" t="n">
        <v>0</v>
      </c>
      <c r="K482" s="39" t="n">
        <v>0</v>
      </c>
      <c r="L482" s="39" t="n">
        <v>0</v>
      </c>
      <c r="M482" s="39" t="n">
        <f aca="false">'Inputs &amp; Assumptions'!$E$61*E481</f>
        <v>3213215.11453321</v>
      </c>
      <c r="N482" s="39" t="n">
        <f aca="false">'Inputs &amp; Assumptions'!$E$61*F481</f>
        <v>2974549.9514931</v>
      </c>
      <c r="O482" s="39" t="n">
        <f aca="false">'Inputs &amp; Assumptions'!$E$61*G481</f>
        <v>2715263.81728768</v>
      </c>
      <c r="P482" s="39" t="n">
        <f aca="false">'Inputs &amp; Assumptions'!$E$61*H481</f>
        <v>2458064.45841692</v>
      </c>
      <c r="Q482" s="39" t="n">
        <f aca="false">'Inputs &amp; Assumptions'!$E$61*I481</f>
        <v>2169848.76199603</v>
      </c>
      <c r="R482" s="39" t="n">
        <f aca="false">'Inputs &amp; Assumptions'!$E$61*J481</f>
        <v>1889311.41783188</v>
      </c>
      <c r="S482" s="39" t="n">
        <f aca="false">'Inputs &amp; Assumptions'!$E$61*K481</f>
        <v>1624416.70839019</v>
      </c>
      <c r="T482" s="39" t="n">
        <f aca="false">'Inputs &amp; Assumptions'!$E$61*L481</f>
        <v>1384210.47521202</v>
      </c>
      <c r="U482" s="39" t="n">
        <f aca="false">'Inputs &amp; Assumptions'!$E$61*M481</f>
        <v>1188725.34179683</v>
      </c>
      <c r="V482" s="39" t="n">
        <f aca="false">'Inputs &amp; Assumptions'!$E$61*N481</f>
        <v>1024053.86639026</v>
      </c>
      <c r="W482" s="39" t="n">
        <f aca="false">'Inputs &amp; Assumptions'!$E$61*O481</f>
        <v>871407.795326338</v>
      </c>
      <c r="X482" s="39" t="n">
        <f aca="false">'Inputs &amp; Assumptions'!$E$61*P481</f>
        <v>734275.072002362</v>
      </c>
      <c r="Y482" s="39" t="n">
        <f aca="false">'Inputs &amp; Assumptions'!$E$61*Q481</f>
        <v>629433.723392782</v>
      </c>
      <c r="Z482" s="39" t="n">
        <f aca="false">'Inputs &amp; Assumptions'!$E$61*R481</f>
        <v>544256.95256066</v>
      </c>
      <c r="AA482" s="39" t="n">
        <f aca="false">'Inputs &amp; Assumptions'!$E$61*S481</f>
        <v>464158.628199515</v>
      </c>
      <c r="AB482" s="39" t="n">
        <f aca="false">'Inputs &amp; Assumptions'!$E$61*T481</f>
        <v>391595.332200039</v>
      </c>
      <c r="AC482" s="39" t="n">
        <f aca="false">'Inputs &amp; Assumptions'!$E$61*U481</f>
        <v>336762.575018892</v>
      </c>
      <c r="AD482" s="39" t="n">
        <f aca="false">'Inputs &amp; Assumptions'!$E$61*V481</f>
        <v>292488.904005321</v>
      </c>
      <c r="AE482" s="39" t="n">
        <f aca="false">'Inputs &amp; Assumptions'!$E$61*W481</f>
        <v>240482.498452649</v>
      </c>
      <c r="AF482" s="39" t="n">
        <f aca="false">'Inputs &amp; Assumptions'!$E$61*X481</f>
        <v>189167.152616132</v>
      </c>
      <c r="AG482" s="39" t="n">
        <f aca="false">'Inputs &amp; Assumptions'!$E$61*Y481</f>
        <v>148607.872542543</v>
      </c>
      <c r="AH482" s="39" t="n">
        <f aca="false">'Inputs &amp; Assumptions'!$E$61*Z481</f>
        <v>115283.266829421</v>
      </c>
      <c r="AI482" s="39" t="n">
        <f aca="false">'Inputs &amp; Assumptions'!$E$61*AA481</f>
        <v>86452.9209302391</v>
      </c>
      <c r="AJ482" s="39" t="n">
        <f aca="false">'Inputs &amp; Assumptions'!$E$61*AB481</f>
        <v>61599.8457089566</v>
      </c>
      <c r="AK482" s="39" t="n">
        <f aca="false">'Inputs &amp; Assumptions'!$E$61*AC481</f>
        <v>42672.4912341841</v>
      </c>
      <c r="AL482" s="39" t="n">
        <f aca="false">'Inputs &amp; Assumptions'!$E$61*AD481</f>
        <v>27502.0701446125</v>
      </c>
      <c r="AM482" s="39" t="n">
        <f aca="false">'Inputs &amp; Assumptions'!$E$61*AE481</f>
        <v>14476.6866418108</v>
      </c>
      <c r="AN482" s="39" t="n">
        <f aca="false">'Inputs &amp; Assumptions'!$E$61*AF481</f>
        <v>3349.74231397607</v>
      </c>
    </row>
    <row r="483" customFormat="false" ht="15" hidden="false" customHeight="false" outlineLevel="0" collapsed="false">
      <c r="A483" s="14" t="s">
        <v>135</v>
      </c>
      <c r="E483" s="40" t="n">
        <f aca="false">E479+E480+E482</f>
        <v>40413288.9388702</v>
      </c>
      <c r="F483" s="40" t="n">
        <f aca="false">F479+F480+F482</f>
        <v>38200758.1855986</v>
      </c>
      <c r="G483" s="40" t="n">
        <f aca="false">G479+G480+G482</f>
        <v>35999563.2731289</v>
      </c>
      <c r="H483" s="40" t="n">
        <f aca="false">H479+H480+H482</f>
        <v>33832511.9199115</v>
      </c>
      <c r="I483" s="40" t="n">
        <f aca="false">I479+I480+I482</f>
        <v>30889448.9366038</v>
      </c>
      <c r="J483" s="40" t="n">
        <f aca="false">J479+J480+J482</f>
        <v>27816650.6569369</v>
      </c>
      <c r="K483" s="40" t="n">
        <f aca="false">K479+K480+K482</f>
        <v>25070721.0607225</v>
      </c>
      <c r="L483" s="40" t="n">
        <f aca="false">L479+L480+L482</f>
        <v>22617850.6977699</v>
      </c>
      <c r="M483" s="40" t="n">
        <f aca="false">M479+M480+M482</f>
        <v>23634721.2339511</v>
      </c>
      <c r="N483" s="40" t="n">
        <f aca="false">N479+N480+N482</f>
        <v>21426553.2133916</v>
      </c>
      <c r="O483" s="40" t="n">
        <f aca="false">O479+O480+O482</f>
        <v>19402549.6432669</v>
      </c>
      <c r="P483" s="40" t="n">
        <f aca="false">P479+P480+P482</f>
        <v>17564223.7936413</v>
      </c>
      <c r="Q483" s="40" t="n">
        <f aca="false">Q479+Q480+Q482</f>
        <v>15854408.1246825</v>
      </c>
      <c r="R483" s="40" t="n">
        <f aca="false">R479+R480+R482</f>
        <v>14293199.2259083</v>
      </c>
      <c r="S483" s="40" t="n">
        <f aca="false">S479+S480+S482</f>
        <v>12875517.5902588</v>
      </c>
      <c r="T483" s="40" t="n">
        <f aca="false">T479+T480+T482</f>
        <v>11597766.4566431</v>
      </c>
      <c r="U483" s="40" t="n">
        <f aca="false">U479+U480+U482</f>
        <v>10465572.3071105</v>
      </c>
      <c r="V483" s="40" t="n">
        <f aca="false">V479+V480+V482</f>
        <v>15136887.2530629</v>
      </c>
      <c r="W483" s="40" t="n">
        <f aca="false">W479+W480+W482</f>
        <v>15977687.3411801</v>
      </c>
      <c r="X483" s="40" t="n">
        <f aca="false">X479+X480+X482</f>
        <v>13968967.2070621</v>
      </c>
      <c r="Y483" s="40" t="n">
        <f aca="false">Y479+Y480+Y482</f>
        <v>12182964.8365098</v>
      </c>
      <c r="Z483" s="40" t="n">
        <f aca="false">Z479+Z480+Z482</f>
        <v>10605444.2712876</v>
      </c>
      <c r="AA483" s="40" t="n">
        <f aca="false">AA479+AA480+AA482</f>
        <v>9201945.6584245</v>
      </c>
      <c r="AB483" s="40" t="n">
        <f aca="false">AB479+AB480+AB482</f>
        <v>7957062.44004776</v>
      </c>
      <c r="AC483" s="40" t="n">
        <f aca="false">AC479+AC480+AC482</f>
        <v>6892278.59301162</v>
      </c>
      <c r="AD483" s="40" t="n">
        <f aca="false">AD479+AD480+AD482</f>
        <v>5951536.53014656</v>
      </c>
      <c r="AE483" s="40" t="n">
        <f aca="false">AE479+AE480+AE482</f>
        <v>5104785.07844781</v>
      </c>
      <c r="AF483" s="40" t="n">
        <f aca="false">AF479+AF480+AF482</f>
        <v>1656916.27381064</v>
      </c>
      <c r="AG483" s="40" t="n">
        <f aca="false">AG479+AG480+AG482</f>
        <v>148607.872542543</v>
      </c>
      <c r="AH483" s="40" t="n">
        <f aca="false">AH479+AH480+AH482</f>
        <v>115283.266829421</v>
      </c>
      <c r="AI483" s="40" t="n">
        <f aca="false">AI479+AI480+AI482</f>
        <v>86452.9209302391</v>
      </c>
      <c r="AJ483" s="40" t="n">
        <f aca="false">AJ479+AJ480+AJ482</f>
        <v>61599.8457089566</v>
      </c>
      <c r="AK483" s="40" t="n">
        <f aca="false">AK479+AK480+AK482</f>
        <v>42672.4912341841</v>
      </c>
      <c r="AL483" s="40" t="n">
        <f aca="false">AL479+AL480+AL482</f>
        <v>27502.0701446125</v>
      </c>
      <c r="AM483" s="40" t="n">
        <f aca="false">AM479+AM480+AM482</f>
        <v>14476.6866418108</v>
      </c>
      <c r="AN483" s="40" t="n">
        <f aca="false">AN479+AN480+AN482</f>
        <v>3349.74231397607</v>
      </c>
    </row>
    <row r="484" customFormat="false" ht="15" hidden="false" customHeight="false" outlineLevel="0" collapsed="false">
      <c r="A484" s="14" t="s">
        <v>136</v>
      </c>
      <c r="E484" s="39" t="n">
        <f aca="false">SUM(E466:E476)</f>
        <v>10192520.646753</v>
      </c>
      <c r="F484" s="39" t="n">
        <f aca="false">SUM(F466:F476)</f>
        <v>9271006.62757617</v>
      </c>
      <c r="G484" s="39" t="n">
        <f aca="false">SUM(G466:G476)</f>
        <v>8405829.1435494</v>
      </c>
      <c r="H484" s="39" t="n">
        <f aca="false">SUM(H466:H476)</f>
        <v>7596653.27257303</v>
      </c>
      <c r="I484" s="39" t="n">
        <f aca="false">SUM(I466:I476)</f>
        <v>6844746.87654563</v>
      </c>
      <c r="J484" s="39" t="n">
        <f aca="false">SUM(J466:J476)</f>
        <v>6163850.09298141</v>
      </c>
      <c r="K484" s="39" t="n">
        <f aca="false">SUM(K466:K476)</f>
        <v>5555383.65301748</v>
      </c>
      <c r="L484" s="39" t="n">
        <f aca="false">SUM(L466:L476)</f>
        <v>5011855.77105854</v>
      </c>
      <c r="M484" s="39" t="n">
        <f aca="false">SUM(M466:M476)</f>
        <v>4525171.05475471</v>
      </c>
      <c r="N484" s="39" t="n">
        <f aca="false">SUM(N466:N476)</f>
        <v>4088751.85672948</v>
      </c>
      <c r="O484" s="39" t="n">
        <f aca="false">SUM(O466:O476)</f>
        <v>3697710.7545627</v>
      </c>
      <c r="P484" s="39" t="n">
        <f aca="false">SUM(P466:P476)</f>
        <v>3347351.29586115</v>
      </c>
      <c r="Q484" s="39" t="n">
        <f aca="false">SUM(Q466:Q476)</f>
        <v>3032341.08018212</v>
      </c>
      <c r="R484" s="39" t="n">
        <f aca="false">SUM(R466:R476)</f>
        <v>2748558.98224671</v>
      </c>
      <c r="S484" s="39" t="n">
        <f aca="false">SUM(S466:S476)</f>
        <v>2493114.64820639</v>
      </c>
      <c r="T484" s="39" t="n">
        <f aca="false">SUM(T466:T476)</f>
        <v>2263206.62261743</v>
      </c>
      <c r="U484" s="39" t="n">
        <f aca="false">SUM(U466:U476)</f>
        <v>2055642.6701021</v>
      </c>
      <c r="V484" s="39" t="n">
        <f aca="false">SUM(V466:V476)</f>
        <v>1867932.02939275</v>
      </c>
      <c r="W484" s="39" t="n">
        <f aca="false">SUM(W466:W476)</f>
        <v>1594848.60159388</v>
      </c>
      <c r="X484" s="39" t="n">
        <f aca="false">SUM(X466:X476)</f>
        <v>1306707.12122796</v>
      </c>
      <c r="Y484" s="39" t="n">
        <f aca="false">SUM(Y466:Y476)</f>
        <v>1055309.87441417</v>
      </c>
      <c r="Z484" s="39" t="n">
        <f aca="false">SUM(Z466:Z476)</f>
        <v>836728.597680844</v>
      </c>
      <c r="AA484" s="39" t="n">
        <f aca="false">SUM(AA466:AA476)</f>
        <v>647231.747934178</v>
      </c>
      <c r="AB484" s="39" t="n">
        <f aca="false">SUM(AB466:AB476)</f>
        <v>483483.223494321</v>
      </c>
      <c r="AC484" s="39" t="n">
        <f aca="false">SUM(AC466:AC476)</f>
        <v>342355.07636797</v>
      </c>
      <c r="AD484" s="39" t="n">
        <f aca="false">SUM(AD466:AD476)</f>
        <v>220645.03506403</v>
      </c>
      <c r="AE484" s="39" t="n">
        <f aca="false">SUM(AE466:AE476)</f>
        <v>116144.312588012</v>
      </c>
      <c r="AF484" s="39" t="n">
        <f aca="false">SUM(AF466:AF476)</f>
        <v>26874.4864090714</v>
      </c>
      <c r="AG484" s="39" t="n">
        <f aca="false">SUM(AG466:AG476)</f>
        <v>0</v>
      </c>
      <c r="AH484" s="39" t="n">
        <f aca="false">SUM(AH466:AH476)</f>
        <v>0</v>
      </c>
      <c r="AI484" s="39" t="n">
        <f aca="false">SUM(AI466:AI476)</f>
        <v>0</v>
      </c>
      <c r="AJ484" s="39" t="n">
        <f aca="false">SUM(AJ466:AJ476)</f>
        <v>0</v>
      </c>
      <c r="AK484" s="39" t="n">
        <f aca="false">SUM(AK466:AK476)</f>
        <v>0</v>
      </c>
      <c r="AL484" s="39" t="n">
        <f aca="false">SUM(AL466:AL476)</f>
        <v>0</v>
      </c>
      <c r="AM484" s="39" t="n">
        <f aca="false">SUM(AM466:AM476)</f>
        <v>0</v>
      </c>
      <c r="AN484" s="39" t="n">
        <f aca="false">SUM(AN466:AN476)</f>
        <v>0</v>
      </c>
    </row>
    <row r="485" customFormat="false" ht="15" hidden="false" customHeight="false" outlineLevel="0" collapsed="false">
      <c r="A485" s="14" t="s">
        <v>137</v>
      </c>
      <c r="E485" s="40" t="n">
        <f aca="false">E483+E484</f>
        <v>50605809.5856232</v>
      </c>
      <c r="F485" s="40" t="n">
        <f aca="false">F483+F484</f>
        <v>47471764.8131748</v>
      </c>
      <c r="G485" s="40" t="n">
        <f aca="false">G483+G484</f>
        <v>44405392.4166783</v>
      </c>
      <c r="H485" s="40" t="n">
        <f aca="false">H483+H484</f>
        <v>41429165.1924845</v>
      </c>
      <c r="I485" s="40" t="n">
        <f aca="false">I483+I484</f>
        <v>37734195.8131494</v>
      </c>
      <c r="J485" s="40" t="n">
        <f aca="false">J483+J484</f>
        <v>33980500.7499183</v>
      </c>
      <c r="K485" s="40" t="n">
        <f aca="false">K483+K484</f>
        <v>30626104.7137399</v>
      </c>
      <c r="L485" s="40" t="n">
        <f aca="false">L483+L484</f>
        <v>27629706.4688284</v>
      </c>
      <c r="M485" s="40" t="n">
        <f aca="false">M483+M484</f>
        <v>28159892.2887058</v>
      </c>
      <c r="N485" s="40" t="n">
        <f aca="false">N483+N484</f>
        <v>25515305.070121</v>
      </c>
      <c r="O485" s="40" t="n">
        <f aca="false">O483+O484</f>
        <v>23100260.3978296</v>
      </c>
      <c r="P485" s="40" t="n">
        <f aca="false">P483+P484</f>
        <v>20911575.0895024</v>
      </c>
      <c r="Q485" s="40" t="n">
        <f aca="false">Q483+Q484</f>
        <v>18886749.2048646</v>
      </c>
      <c r="R485" s="40" t="n">
        <f aca="false">R483+R484</f>
        <v>17041758.208155</v>
      </c>
      <c r="S485" s="40" t="n">
        <f aca="false">S483+S484</f>
        <v>15368632.2384652</v>
      </c>
      <c r="T485" s="40" t="n">
        <f aca="false">T483+T484</f>
        <v>13860973.0792606</v>
      </c>
      <c r="U485" s="40" t="n">
        <f aca="false">U483+U484</f>
        <v>12521214.9772127</v>
      </c>
      <c r="V485" s="40" t="n">
        <f aca="false">V483+V484</f>
        <v>17004819.2824557</v>
      </c>
      <c r="W485" s="40" t="n">
        <f aca="false">W483+W484</f>
        <v>17572535.942774</v>
      </c>
      <c r="X485" s="40" t="n">
        <f aca="false">X483+X484</f>
        <v>15275674.32829</v>
      </c>
      <c r="Y485" s="40" t="n">
        <f aca="false">Y483+Y484</f>
        <v>13238274.710924</v>
      </c>
      <c r="Z485" s="40" t="n">
        <f aca="false">Z483+Z484</f>
        <v>11442172.8689684</v>
      </c>
      <c r="AA485" s="40" t="n">
        <f aca="false">AA483+AA484</f>
        <v>9849177.40635868</v>
      </c>
      <c r="AB485" s="40" t="n">
        <f aca="false">AB483+AB484</f>
        <v>8440545.66354208</v>
      </c>
      <c r="AC485" s="40" t="n">
        <f aca="false">AC483+AC484</f>
        <v>7234633.66937959</v>
      </c>
      <c r="AD485" s="40" t="n">
        <f aca="false">AD483+AD484</f>
        <v>6172181.5652106</v>
      </c>
      <c r="AE485" s="40" t="n">
        <f aca="false">AE483+AE484</f>
        <v>5220929.39103582</v>
      </c>
      <c r="AF485" s="40" t="n">
        <f aca="false">AF483+AF484</f>
        <v>1683790.76021971</v>
      </c>
      <c r="AG485" s="40" t="n">
        <f aca="false">AG483+AG484</f>
        <v>148607.872542543</v>
      </c>
      <c r="AH485" s="40" t="n">
        <f aca="false">AH483+AH484</f>
        <v>115283.266829421</v>
      </c>
      <c r="AI485" s="40" t="n">
        <f aca="false">AI483+AI484</f>
        <v>86452.9209302391</v>
      </c>
      <c r="AJ485" s="40" t="n">
        <f aca="false">AJ483+AJ484</f>
        <v>61599.8457089566</v>
      </c>
      <c r="AK485" s="40" t="n">
        <f aca="false">AK483+AK484</f>
        <v>42672.4912341841</v>
      </c>
      <c r="AL485" s="40" t="n">
        <f aca="false">AL483+AL484</f>
        <v>27502.0701446125</v>
      </c>
      <c r="AM485" s="40" t="n">
        <f aca="false">AM483+AM484</f>
        <v>14476.6866418108</v>
      </c>
      <c r="AN485" s="40" t="n">
        <f aca="false">AN483+AN484</f>
        <v>3349.74231397607</v>
      </c>
    </row>
    <row r="486" customFormat="false" ht="15" hidden="false" customHeight="false" outlineLevel="0" collapsed="false">
      <c r="A486" s="5" t="s">
        <v>138</v>
      </c>
      <c r="E486" s="43" t="n">
        <f aca="false">SUMPRODUCT(('Inputs &amp; Assumptions'!$E$140:$E$150&gt;=1)*'Inputs &amp; Assumptions'!$D$140:$D$150)</f>
        <v>30</v>
      </c>
      <c r="F486" s="43" t="n">
        <f aca="false">SUMPRODUCT(('Inputs &amp; Assumptions'!$E$140:$E$150&gt;=2)*'Inputs &amp; Assumptions'!$D$140:$D$150)</f>
        <v>30</v>
      </c>
      <c r="G486" s="43" t="n">
        <f aca="false">SUMPRODUCT(('Inputs &amp; Assumptions'!$E$140:$E$150&gt;=3)*'Inputs &amp; Assumptions'!$D$140:$D$150)</f>
        <v>30</v>
      </c>
      <c r="H486" s="43" t="n">
        <f aca="false">SUMPRODUCT(('Inputs &amp; Assumptions'!$E$140:$E$150&gt;=4)*'Inputs &amp; Assumptions'!$D$140:$D$150)</f>
        <v>30</v>
      </c>
      <c r="I486" s="43" t="n">
        <f aca="false">SUMPRODUCT(('Inputs &amp; Assumptions'!$E$140:$E$150&gt;=5)*'Inputs &amp; Assumptions'!$D$140:$D$150)</f>
        <v>30</v>
      </c>
      <c r="J486" s="43" t="n">
        <f aca="false">SUMPRODUCT(('Inputs &amp; Assumptions'!$E$140:$E$150&gt;=6)*'Inputs &amp; Assumptions'!$D$140:$D$150)</f>
        <v>30</v>
      </c>
      <c r="K486" s="43" t="n">
        <f aca="false">SUMPRODUCT(('Inputs &amp; Assumptions'!$E$140:$E$150&gt;=7)*'Inputs &amp; Assumptions'!$D$140:$D$150)</f>
        <v>30</v>
      </c>
      <c r="L486" s="43" t="n">
        <f aca="false">SUMPRODUCT(('Inputs &amp; Assumptions'!$E$140:$E$150&gt;=8)*'Inputs &amp; Assumptions'!$D$140:$D$150)</f>
        <v>30</v>
      </c>
      <c r="M486" s="43" t="n">
        <f aca="false">SUMPRODUCT(('Inputs &amp; Assumptions'!$E$140:$E$150&gt;=9)*'Inputs &amp; Assumptions'!$D$140:$D$150)</f>
        <v>30</v>
      </c>
      <c r="N486" s="43" t="n">
        <f aca="false">SUMPRODUCT(('Inputs &amp; Assumptions'!$E$140:$E$150&gt;=10)*'Inputs &amp; Assumptions'!$D$140:$D$150)</f>
        <v>30</v>
      </c>
      <c r="O486" s="43" t="n">
        <f aca="false">SUMPRODUCT(('Inputs &amp; Assumptions'!$E$140:$E$150&gt;=11)*'Inputs &amp; Assumptions'!$D$140:$D$150)</f>
        <v>30</v>
      </c>
      <c r="P486" s="43" t="n">
        <f aca="false">SUMPRODUCT(('Inputs &amp; Assumptions'!$E$140:$E$150&gt;=12)*'Inputs &amp; Assumptions'!$D$140:$D$150)</f>
        <v>30</v>
      </c>
      <c r="Q486" s="43" t="n">
        <f aca="false">SUMPRODUCT(('Inputs &amp; Assumptions'!$E$140:$E$150&gt;=13)*'Inputs &amp; Assumptions'!$D$140:$D$150)</f>
        <v>30</v>
      </c>
      <c r="R486" s="43" t="n">
        <f aca="false">SUMPRODUCT(('Inputs &amp; Assumptions'!$E$140:$E$150&gt;=14)*'Inputs &amp; Assumptions'!$D$140:$D$150)</f>
        <v>30</v>
      </c>
      <c r="S486" s="43" t="n">
        <f aca="false">SUMPRODUCT(('Inputs &amp; Assumptions'!$E$140:$E$150&gt;=15)*'Inputs &amp; Assumptions'!$D$140:$D$150)</f>
        <v>30</v>
      </c>
      <c r="T486" s="43" t="n">
        <f aca="false">SUMPRODUCT(('Inputs &amp; Assumptions'!$E$140:$E$150&gt;=16)*'Inputs &amp; Assumptions'!$D$140:$D$150)</f>
        <v>30</v>
      </c>
      <c r="U486" s="43" t="n">
        <f aca="false">SUMPRODUCT(('Inputs &amp; Assumptions'!$E$140:$E$150&gt;=17)*'Inputs &amp; Assumptions'!$D$140:$D$150)</f>
        <v>30</v>
      </c>
      <c r="V486" s="43" t="n">
        <f aca="false">SUMPRODUCT(('Inputs &amp; Assumptions'!$E$140:$E$150&gt;=18)*'Inputs &amp; Assumptions'!$D$140:$D$150)</f>
        <v>30</v>
      </c>
      <c r="W486" s="43" t="n">
        <f aca="false">SUMPRODUCT(('Inputs &amp; Assumptions'!$E$140:$E$150&gt;=19)*'Inputs &amp; Assumptions'!$D$140:$D$150)</f>
        <v>28</v>
      </c>
      <c r="X486" s="43" t="n">
        <f aca="false">SUMPRODUCT(('Inputs &amp; Assumptions'!$E$140:$E$150&gt;=20)*'Inputs &amp; Assumptions'!$D$140:$D$150)</f>
        <v>25</v>
      </c>
      <c r="Y486" s="43" t="n">
        <f aca="false">SUMPRODUCT(('Inputs &amp; Assumptions'!$E$140:$E$150&gt;=21)*'Inputs &amp; Assumptions'!$D$140:$D$150)</f>
        <v>22</v>
      </c>
      <c r="Z486" s="43" t="n">
        <f aca="false">SUMPRODUCT(('Inputs &amp; Assumptions'!$E$140:$E$150&gt;=22)*'Inputs &amp; Assumptions'!$D$140:$D$150)</f>
        <v>19</v>
      </c>
      <c r="AA486" s="43" t="n">
        <f aca="false">SUMPRODUCT(('Inputs &amp; Assumptions'!$E$140:$E$150&gt;=23)*'Inputs &amp; Assumptions'!$D$140:$D$150)</f>
        <v>16</v>
      </c>
      <c r="AB486" s="43" t="n">
        <f aca="false">SUMPRODUCT(('Inputs &amp; Assumptions'!$E$140:$E$150&gt;=24)*'Inputs &amp; Assumptions'!$D$140:$D$150)</f>
        <v>13</v>
      </c>
      <c r="AC486" s="43" t="n">
        <f aca="false">SUMPRODUCT(('Inputs &amp; Assumptions'!$E$140:$E$150&gt;=25)*'Inputs &amp; Assumptions'!$D$140:$D$150)</f>
        <v>10</v>
      </c>
      <c r="AD486" s="43" t="n">
        <f aca="false">SUMPRODUCT(('Inputs &amp; Assumptions'!$E$140:$E$150&gt;=26)*'Inputs &amp; Assumptions'!$D$140:$D$150)</f>
        <v>7</v>
      </c>
      <c r="AE486" s="43" t="n">
        <f aca="false">SUMPRODUCT(('Inputs &amp; Assumptions'!$E$140:$E$150&gt;=27)*'Inputs &amp; Assumptions'!$D$140:$D$150)</f>
        <v>4</v>
      </c>
      <c r="AF486" s="43" t="n">
        <f aca="false">SUMPRODUCT(('Inputs &amp; Assumptions'!$E$140:$E$150&gt;=28)*'Inputs &amp; Assumptions'!$D$140:$D$150)</f>
        <v>1</v>
      </c>
      <c r="AG486" s="43" t="n">
        <f aca="false">SUMPRODUCT(('Inputs &amp; Assumptions'!$E$140:$E$150&gt;=29)*'Inputs &amp; Assumptions'!$D$140:$D$150)</f>
        <v>0</v>
      </c>
      <c r="AH486" s="43" t="n">
        <f aca="false">SUMPRODUCT(('Inputs &amp; Assumptions'!$E$140:$E$150&gt;=30)*'Inputs &amp; Assumptions'!$D$140:$D$150)</f>
        <v>0</v>
      </c>
      <c r="AI486" s="43" t="n">
        <f aca="false">SUMPRODUCT(('Inputs &amp; Assumptions'!$E$140:$E$150&gt;=31)*'Inputs &amp; Assumptions'!$D$140:$D$150)</f>
        <v>0</v>
      </c>
      <c r="AJ486" s="43" t="n">
        <f aca="false">SUMPRODUCT(('Inputs &amp; Assumptions'!$E$140:$E$150&gt;=32)*'Inputs &amp; Assumptions'!$D$140:$D$150)</f>
        <v>0</v>
      </c>
      <c r="AK486" s="43" t="n">
        <f aca="false">SUMPRODUCT(('Inputs &amp; Assumptions'!$E$140:$E$150&gt;=33)*'Inputs &amp; Assumptions'!$D$140:$D$150)</f>
        <v>0</v>
      </c>
      <c r="AL486" s="43" t="n">
        <f aca="false">SUMPRODUCT(('Inputs &amp; Assumptions'!$E$140:$E$150&gt;=34)*'Inputs &amp; Assumptions'!$D$140:$D$150)</f>
        <v>0</v>
      </c>
      <c r="AM486" s="43" t="n">
        <f aca="false">SUMPRODUCT(('Inputs &amp; Assumptions'!$E$140:$E$150&gt;=35)*'Inputs &amp; Assumptions'!$D$140:$D$150)</f>
        <v>0</v>
      </c>
      <c r="AN486" s="43" t="n">
        <f aca="false">SUMPRODUCT(('Inputs &amp; Assumptions'!$E$140:$E$150&gt;=36)*'Inputs &amp; Assumptions'!$D$140:$D$150)</f>
        <v>0</v>
      </c>
    </row>
    <row r="487" customFormat="false" ht="15" hidden="false" customHeight="false" outlineLevel="0" collapsed="false">
      <c r="A487" s="5" t="s">
        <v>139</v>
      </c>
      <c r="E487" s="39" t="n">
        <f aca="false">E478-E479-E481-E480</f>
        <v>516250864.351846</v>
      </c>
      <c r="F487" s="39" t="n">
        <f aca="false">F478-F479-F481-F480</f>
        <v>468134939.66127</v>
      </c>
      <c r="G487" s="39" t="n">
        <f aca="false">G478-G479-G481-G480</f>
        <v>423084496.997183</v>
      </c>
      <c r="H487" s="39" t="n">
        <f aca="false">H478-H479-H481-H480</f>
        <v>381058436.882548</v>
      </c>
      <c r="I487" s="39" t="n">
        <f aca="false">I478-I479-I481-I480</f>
        <v>342936158.739291</v>
      </c>
      <c r="J487" s="39" t="n">
        <f aca="false">J478-J479-J481-J480</f>
        <v>308821803.356248</v>
      </c>
      <c r="K487" s="39" t="n">
        <f aca="false">K478-K479-K481-K480</f>
        <v>278336359.934224</v>
      </c>
      <c r="L487" s="39" t="n">
        <f aca="false">L478-L479-L481-L480</f>
        <v>251104474.319081</v>
      </c>
      <c r="M487" s="39" t="n">
        <f aca="false">M478-M479-M481-M480</f>
        <v>226720550.393674</v>
      </c>
      <c r="N487" s="39" t="n">
        <f aca="false">N478-N479-N481-N480</f>
        <v>204855034.243808</v>
      </c>
      <c r="O487" s="39" t="n">
        <f aca="false">O478-O479-O481-O480</f>
        <v>185263055.766741</v>
      </c>
      <c r="P487" s="39" t="n">
        <f aca="false">P478-P479-P481-P480</f>
        <v>167709312.858175</v>
      </c>
      <c r="Q487" s="39" t="n">
        <f aca="false">Q478-Q479-Q481-Q480</f>
        <v>151926641.08418</v>
      </c>
      <c r="R487" s="39" t="n">
        <f aca="false">R478-R479-R481-R480</f>
        <v>137708563.434234</v>
      </c>
      <c r="S487" s="39" t="n">
        <f aca="false">S478-S479-S481-S480</f>
        <v>124910267.125034</v>
      </c>
      <c r="T487" s="39" t="n">
        <f aca="false">T478-T479-T481-T480</f>
        <v>113391393.369603</v>
      </c>
      <c r="U487" s="39" t="n">
        <f aca="false">U478-U479-U481-U480</f>
        <v>102992004.487559</v>
      </c>
      <c r="V487" s="39" t="n">
        <f aca="false">V478-V479-V481-V480</f>
        <v>87904208.0875355</v>
      </c>
      <c r="W487" s="39" t="n">
        <f aca="false">W478-W479-W481-W480</f>
        <v>71996320.2135063</v>
      </c>
      <c r="X487" s="39" t="n">
        <f aca="false">X478-X479-X481-X480</f>
        <v>58131070.9030595</v>
      </c>
      <c r="Y487" s="39" t="n">
        <f aca="false">Y478-Y479-Y481-Y480</f>
        <v>46082180.2148006</v>
      </c>
      <c r="Z487" s="39" t="n">
        <f aca="false">Z478-Z479-Z481-Z480</f>
        <v>35636715.3399756</v>
      </c>
      <c r="AA487" s="39" t="n">
        <f aca="false">AA478-AA479-AA481-AA480</f>
        <v>26610751.9066498</v>
      </c>
      <c r="AB487" s="39" t="n">
        <f aca="false">AB478-AB479-AB481-AB480</f>
        <v>18839951.9797722</v>
      </c>
      <c r="AC487" s="39" t="n">
        <f aca="false">AC478-AC479-AC481-AC480</f>
        <v>12142194.3243322</v>
      </c>
      <c r="AD487" s="39" t="n">
        <f aca="false">AD478-AD479-AD481-AD480</f>
        <v>6391473.13104228</v>
      </c>
      <c r="AE487" s="39" t="n">
        <f aca="false">AE478-AE479-AE481-AE480</f>
        <v>1478914.92890776</v>
      </c>
      <c r="AF487" s="39" t="n">
        <f aca="false">AF478-AF479-AF481-AF480</f>
        <v>8.00355337560177E-011</v>
      </c>
      <c r="AG487" s="39" t="n">
        <f aca="false">AG478-AG479-AG481-AG480</f>
        <v>0</v>
      </c>
      <c r="AH487" s="39" t="n">
        <f aca="false">AH478-AH479-AH481-AH480</f>
        <v>0</v>
      </c>
      <c r="AI487" s="39" t="n">
        <f aca="false">AI478-AI479-AI481-AI480</f>
        <v>0</v>
      </c>
      <c r="AJ487" s="39" t="n">
        <f aca="false">AJ478-AJ479-AJ481-AJ480</f>
        <v>0</v>
      </c>
      <c r="AK487" s="39" t="n">
        <f aca="false">AK478-AK479-AK481-AK480</f>
        <v>0</v>
      </c>
      <c r="AL487" s="39" t="n">
        <f aca="false">AL478-AL479-AL481-AL480</f>
        <v>0</v>
      </c>
      <c r="AM487" s="39" t="n">
        <f aca="false">AM478-AM479-AM481-AM480</f>
        <v>0</v>
      </c>
      <c r="AN487" s="39" t="n">
        <f aca="false">AN478-AN479-AN481-AN480</f>
        <v>0</v>
      </c>
    </row>
    <row r="488" customFormat="false" ht="15" hidden="false" customHeight="false" outlineLevel="0" collapsed="false">
      <c r="A488" s="5" t="s">
        <v>121</v>
      </c>
      <c r="E488" s="18" t="n">
        <f aca="false">E487/'Inputs &amp; Assumptions'!$C$7</f>
        <v>0.860418107253076</v>
      </c>
      <c r="F488" s="18" t="n">
        <f aca="false">F487/'Inputs &amp; Assumptions'!$C$7</f>
        <v>0.78022489943545</v>
      </c>
      <c r="G488" s="18" t="n">
        <f aca="false">G487/'Inputs &amp; Assumptions'!$C$7</f>
        <v>0.705140828328637</v>
      </c>
      <c r="H488" s="18" t="n">
        <f aca="false">H487/'Inputs &amp; Assumptions'!$C$7</f>
        <v>0.635097394804246</v>
      </c>
      <c r="I488" s="18" t="n">
        <f aca="false">I487/'Inputs &amp; Assumptions'!$C$7</f>
        <v>0.571560264565485</v>
      </c>
      <c r="J488" s="18" t="n">
        <f aca="false">J487/'Inputs &amp; Assumptions'!$C$7</f>
        <v>0.514703005593746</v>
      </c>
      <c r="K488" s="18" t="n">
        <f aca="false">K487/'Inputs &amp; Assumptions'!$C$7</f>
        <v>0.463893933223707</v>
      </c>
      <c r="L488" s="18" t="n">
        <f aca="false">L487/'Inputs &amp; Assumptions'!$C$7</f>
        <v>0.418507457198469</v>
      </c>
      <c r="M488" s="18" t="n">
        <f aca="false">M487/'Inputs &amp; Assumptions'!$C$7</f>
        <v>0.377867583989456</v>
      </c>
      <c r="N488" s="18" t="n">
        <f aca="false">N487/'Inputs &amp; Assumptions'!$C$7</f>
        <v>0.341425057073013</v>
      </c>
      <c r="O488" s="18" t="n">
        <f aca="false">O487/'Inputs &amp; Assumptions'!$C$7</f>
        <v>0.308771759611235</v>
      </c>
      <c r="P488" s="18" t="n">
        <f aca="false">P487/'Inputs &amp; Assumptions'!$C$7</f>
        <v>0.279515521430292</v>
      </c>
      <c r="Q488" s="18" t="n">
        <f aca="false">Q487/'Inputs &amp; Assumptions'!$C$7</f>
        <v>0.253211068473633</v>
      </c>
      <c r="R488" s="18" t="n">
        <f aca="false">R487/'Inputs &amp; Assumptions'!$C$7</f>
        <v>0.22951427239039</v>
      </c>
      <c r="S488" s="18" t="n">
        <f aca="false">S487/'Inputs &amp; Assumptions'!$C$7</f>
        <v>0.208183778541723</v>
      </c>
      <c r="T488" s="18" t="n">
        <f aca="false">T487/'Inputs &amp; Assumptions'!$C$7</f>
        <v>0.188985655616004</v>
      </c>
      <c r="U488" s="18" t="n">
        <f aca="false">U487/'Inputs &amp; Assumptions'!$C$7</f>
        <v>0.171653340812599</v>
      </c>
      <c r="V488" s="18" t="n">
        <f aca="false">V487/'Inputs &amp; Assumptions'!$C$7</f>
        <v>0.146507013479226</v>
      </c>
      <c r="W488" s="18" t="n">
        <f aca="false">W487/'Inputs &amp; Assumptions'!$C$7</f>
        <v>0.11999386702251</v>
      </c>
      <c r="X488" s="18" t="n">
        <f aca="false">X487/'Inputs &amp; Assumptions'!$C$7</f>
        <v>0.0968851181717658</v>
      </c>
      <c r="Y488" s="18" t="n">
        <f aca="false">Y487/'Inputs &amp; Assumptions'!$C$7</f>
        <v>0.0768036336913344</v>
      </c>
      <c r="Z488" s="18" t="n">
        <f aca="false">Z487/'Inputs &amp; Assumptions'!$C$7</f>
        <v>0.059394525566626</v>
      </c>
      <c r="AA488" s="18" t="n">
        <f aca="false">AA487/'Inputs &amp; Assumptions'!$C$7</f>
        <v>0.0443512531777497</v>
      </c>
      <c r="AB488" s="18" t="n">
        <f aca="false">AB487/'Inputs &amp; Assumptions'!$C$7</f>
        <v>0.0313999199662871</v>
      </c>
      <c r="AC488" s="18" t="n">
        <f aca="false">AC487/'Inputs &amp; Assumptions'!$C$7</f>
        <v>0.0202369905405537</v>
      </c>
      <c r="AD488" s="18" t="n">
        <f aca="false">AD487/'Inputs &amp; Assumptions'!$C$7</f>
        <v>0.0106524552184038</v>
      </c>
      <c r="AE488" s="18" t="n">
        <f aca="false">AE487/'Inputs &amp; Assumptions'!$C$7</f>
        <v>0.00246485821484626</v>
      </c>
      <c r="AF488" s="18" t="n">
        <f aca="false">AF487/'Inputs &amp; Assumptions'!$C$7</f>
        <v>1.33392556260029E-019</v>
      </c>
      <c r="AG488" s="18" t="n">
        <f aca="false">AG487/'Inputs &amp; Assumptions'!$C$7</f>
        <v>0</v>
      </c>
      <c r="AH488" s="18" t="n">
        <f aca="false">AH487/'Inputs &amp; Assumptions'!$C$7</f>
        <v>0</v>
      </c>
      <c r="AI488" s="18" t="n">
        <f aca="false">AI487/'Inputs &amp; Assumptions'!$C$7</f>
        <v>0</v>
      </c>
      <c r="AJ488" s="18" t="n">
        <f aca="false">AJ487/'Inputs &amp; Assumptions'!$C$7</f>
        <v>0</v>
      </c>
      <c r="AK488" s="18" t="n">
        <f aca="false">AK487/'Inputs &amp; Assumptions'!$C$7</f>
        <v>0</v>
      </c>
      <c r="AL488" s="18" t="n">
        <f aca="false">AL487/'Inputs &amp; Assumptions'!$C$7</f>
        <v>0</v>
      </c>
      <c r="AM488" s="18" t="n">
        <f aca="false">AM487/'Inputs &amp; Assumptions'!$C$7</f>
        <v>0</v>
      </c>
      <c r="AN488" s="18" t="n">
        <f aca="false">AN487/'Inputs &amp; Assumptions'!$C$7</f>
        <v>0</v>
      </c>
    </row>
    <row r="489" customFormat="false" ht="15" hidden="false" customHeight="false" outlineLevel="0" collapsed="false">
      <c r="A489" s="5" t="s">
        <v>140</v>
      </c>
      <c r="E489" s="39" t="n">
        <f aca="false">E481</f>
        <v>10710717.048444</v>
      </c>
      <c r="F489" s="39" t="n">
        <f aca="false">E489+F481</f>
        <v>20625883.553421</v>
      </c>
      <c r="G489" s="39" t="n">
        <f aca="false">F489+G481</f>
        <v>29676762.94438</v>
      </c>
      <c r="H489" s="39" t="n">
        <f aca="false">G489+H481</f>
        <v>37870311.139103</v>
      </c>
      <c r="I489" s="39" t="n">
        <f aca="false">H489+I481</f>
        <v>45103140.3457565</v>
      </c>
      <c r="J489" s="39" t="n">
        <f aca="false">I489+J481</f>
        <v>51400845.0718628</v>
      </c>
      <c r="K489" s="39" t="n">
        <f aca="false">J489+K481</f>
        <v>56815567.4331634</v>
      </c>
      <c r="L489" s="39" t="n">
        <f aca="false">K489+L481</f>
        <v>61429602.3505368</v>
      </c>
      <c r="M489" s="39" t="n">
        <f aca="false">L489+M481</f>
        <v>65392020.1565262</v>
      </c>
      <c r="N489" s="39" t="n">
        <f aca="false">M489+N481</f>
        <v>68805533.0444938</v>
      </c>
      <c r="O489" s="39" t="n">
        <f aca="false">N489+O481</f>
        <v>71710225.6955816</v>
      </c>
      <c r="P489" s="39" t="n">
        <f aca="false">O489+P481</f>
        <v>74157809.2689228</v>
      </c>
      <c r="Q489" s="39" t="n">
        <f aca="false">P489+Q481</f>
        <v>76255921.680232</v>
      </c>
      <c r="R489" s="39" t="n">
        <f aca="false">Q489+R481</f>
        <v>78070111.5221009</v>
      </c>
      <c r="S489" s="39" t="n">
        <f aca="false">R489+S481</f>
        <v>79617306.9494326</v>
      </c>
      <c r="T489" s="39" t="n">
        <f aca="false">S489+T481</f>
        <v>80922624.7234327</v>
      </c>
      <c r="U489" s="39" t="n">
        <f aca="false">T489+U481</f>
        <v>82045166.6401624</v>
      </c>
      <c r="V489" s="39" t="n">
        <f aca="false">U489+V481</f>
        <v>83020129.6535135</v>
      </c>
      <c r="W489" s="39" t="n">
        <f aca="false">V489+W481</f>
        <v>83821737.981689</v>
      </c>
      <c r="X489" s="39" t="n">
        <f aca="false">W489+X481</f>
        <v>84452295.1570761</v>
      </c>
      <c r="Y489" s="39" t="n">
        <f aca="false">X489+Y481</f>
        <v>84947654.7322179</v>
      </c>
      <c r="Z489" s="39" t="n">
        <f aca="false">Y489+Z481</f>
        <v>85331932.2883159</v>
      </c>
      <c r="AA489" s="39" t="n">
        <f aca="false">Z489+AA481</f>
        <v>85620108.6914167</v>
      </c>
      <c r="AB489" s="39" t="n">
        <f aca="false">AA489+AB481</f>
        <v>85825441.5104466</v>
      </c>
      <c r="AC489" s="39" t="n">
        <f aca="false">AB489+AC481</f>
        <v>85967683.1478939</v>
      </c>
      <c r="AD489" s="39" t="n">
        <f aca="false">AC489+AD481</f>
        <v>86059356.7150426</v>
      </c>
      <c r="AE489" s="39" t="n">
        <f aca="false">AD489+AE481</f>
        <v>86107612.337182</v>
      </c>
      <c r="AF489" s="39" t="n">
        <f aca="false">AE489+AF481</f>
        <v>86118778.1448952</v>
      </c>
      <c r="AG489" s="39" t="n">
        <f aca="false">AF489+AG481</f>
        <v>86118778.1448952</v>
      </c>
      <c r="AH489" s="39" t="n">
        <f aca="false">AG489+AH481</f>
        <v>86118778.1448952</v>
      </c>
      <c r="AI489" s="39" t="n">
        <f aca="false">AH489+AI481</f>
        <v>86118778.1448952</v>
      </c>
      <c r="AJ489" s="39" t="n">
        <f aca="false">AI489+AJ481</f>
        <v>86118778.1448952</v>
      </c>
      <c r="AK489" s="39" t="n">
        <f aca="false">AJ489+AK481</f>
        <v>86118778.1448952</v>
      </c>
      <c r="AL489" s="39" t="n">
        <f aca="false">AK489+AL481</f>
        <v>86118778.1448952</v>
      </c>
      <c r="AM489" s="39" t="n">
        <f aca="false">AL489+AM481</f>
        <v>86118778.1448952</v>
      </c>
      <c r="AN489" s="39" t="n">
        <f aca="false">AM489+AN481</f>
        <v>86118778.1448952</v>
      </c>
    </row>
    <row r="490" customFormat="false" ht="15" hidden="false" customHeight="false" outlineLevel="0" collapsed="false">
      <c r="A490" s="5" t="s">
        <v>141</v>
      </c>
      <c r="E490" s="39" t="n">
        <f aca="false">E482</f>
        <v>0</v>
      </c>
      <c r="F490" s="39" t="n">
        <f aca="false">E490+F482</f>
        <v>0</v>
      </c>
      <c r="G490" s="39" t="n">
        <f aca="false">F490+G482</f>
        <v>0</v>
      </c>
      <c r="H490" s="39" t="n">
        <f aca="false">G490+H482</f>
        <v>0</v>
      </c>
      <c r="I490" s="39" t="n">
        <f aca="false">H490+I482</f>
        <v>0</v>
      </c>
      <c r="J490" s="39" t="n">
        <f aca="false">I490+J482</f>
        <v>0</v>
      </c>
      <c r="K490" s="39" t="n">
        <f aca="false">J490+K482</f>
        <v>0</v>
      </c>
      <c r="L490" s="39" t="n">
        <f aca="false">K490+L482</f>
        <v>0</v>
      </c>
      <c r="M490" s="39" t="n">
        <f aca="false">L490+M482</f>
        <v>3213215.11453321</v>
      </c>
      <c r="N490" s="39" t="n">
        <f aca="false">M490+N482</f>
        <v>6187765.06602631</v>
      </c>
      <c r="O490" s="39" t="n">
        <f aca="false">N490+O482</f>
        <v>8903028.88331399</v>
      </c>
      <c r="P490" s="39" t="n">
        <f aca="false">O490+P482</f>
        <v>11361093.3417309</v>
      </c>
      <c r="Q490" s="39" t="n">
        <f aca="false">P490+Q482</f>
        <v>13530942.1037269</v>
      </c>
      <c r="R490" s="39" t="n">
        <f aca="false">Q490+R482</f>
        <v>15420253.5215588</v>
      </c>
      <c r="S490" s="39" t="n">
        <f aca="false">R490+S482</f>
        <v>17044670.229949</v>
      </c>
      <c r="T490" s="39" t="n">
        <f aca="false">S490+T482</f>
        <v>18428880.705161</v>
      </c>
      <c r="U490" s="39" t="n">
        <f aca="false">T490+U482</f>
        <v>19617606.0469579</v>
      </c>
      <c r="V490" s="39" t="n">
        <f aca="false">U490+V482</f>
        <v>20641659.9133481</v>
      </c>
      <c r="W490" s="39" t="n">
        <f aca="false">V490+W482</f>
        <v>21513067.7086745</v>
      </c>
      <c r="X490" s="39" t="n">
        <f aca="false">W490+X482</f>
        <v>22247342.7806768</v>
      </c>
      <c r="Y490" s="39" t="n">
        <f aca="false">X490+Y482</f>
        <v>22876776.5040696</v>
      </c>
      <c r="Z490" s="39" t="n">
        <f aca="false">Y490+Z482</f>
        <v>23421033.4566303</v>
      </c>
      <c r="AA490" s="39" t="n">
        <f aca="false">Z490+AA482</f>
        <v>23885192.0848298</v>
      </c>
      <c r="AB490" s="39" t="n">
        <f aca="false">AA490+AB482</f>
        <v>24276787.4170298</v>
      </c>
      <c r="AC490" s="39" t="n">
        <f aca="false">AB490+AC482</f>
        <v>24613549.9920487</v>
      </c>
      <c r="AD490" s="39" t="n">
        <f aca="false">AC490+AD482</f>
        <v>24906038.896054</v>
      </c>
      <c r="AE490" s="39" t="n">
        <f aca="false">AD490+AE482</f>
        <v>25146521.3945067</v>
      </c>
      <c r="AF490" s="39" t="n">
        <f aca="false">AE490+AF482</f>
        <v>25335688.5471228</v>
      </c>
      <c r="AG490" s="39" t="n">
        <f aca="false">AF490+AG482</f>
        <v>25484296.4196654</v>
      </c>
      <c r="AH490" s="39" t="n">
        <f aca="false">AG490+AH482</f>
        <v>25599579.6864948</v>
      </c>
      <c r="AI490" s="39" t="n">
        <f aca="false">AH490+AI482</f>
        <v>25686032.607425</v>
      </c>
      <c r="AJ490" s="39" t="n">
        <f aca="false">AI490+AJ482</f>
        <v>25747632.453134</v>
      </c>
      <c r="AK490" s="39" t="n">
        <f aca="false">AJ490+AK482</f>
        <v>25790304.9443682</v>
      </c>
      <c r="AL490" s="39" t="n">
        <f aca="false">AK490+AL482</f>
        <v>25817807.0145128</v>
      </c>
      <c r="AM490" s="39" t="n">
        <f aca="false">AL490+AM482</f>
        <v>25832283.7011546</v>
      </c>
      <c r="AN490" s="39" t="n">
        <f aca="false">AM490+AN482</f>
        <v>25835633.4434686</v>
      </c>
    </row>
    <row r="492" customFormat="false" ht="15" hidden="false" customHeight="false" outlineLevel="0" collapsed="false">
      <c r="A492" s="12" t="s">
        <v>225</v>
      </c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 customFormat="false" ht="15" hidden="false" customHeight="false" outlineLevel="0" collapsed="false">
      <c r="A493" s="14" t="s">
        <v>146</v>
      </c>
      <c r="E493" s="39" t="n">
        <f aca="false">'Inputs &amp; Assumptions'!$C$134</f>
        <v>340424922.203496</v>
      </c>
      <c r="F493" s="39" t="n">
        <f aca="false">E519</f>
        <v>312135619.946287</v>
      </c>
      <c r="G493" s="39" t="n">
        <f aca="false">F519</f>
        <v>285395089.216368</v>
      </c>
      <c r="H493" s="39" t="n">
        <f aca="false">G519</f>
        <v>260195394.925178</v>
      </c>
      <c r="I493" s="39" t="n">
        <f aca="false">H519</f>
        <v>236512636.58124</v>
      </c>
      <c r="J493" s="39" t="n">
        <f aca="false">I519</f>
        <v>214890022.325617</v>
      </c>
      <c r="K493" s="39" t="n">
        <f aca="false">J519</f>
        <v>195418366.865761</v>
      </c>
      <c r="L493" s="39" t="n">
        <f aca="false">K519</f>
        <v>177868862.123255</v>
      </c>
      <c r="M493" s="39" t="n">
        <f aca="false">L519</f>
        <v>162036366.634816</v>
      </c>
      <c r="N493" s="39" t="n">
        <f aca="false">M519</f>
        <v>145492061.771051</v>
      </c>
      <c r="O493" s="39" t="n">
        <f aca="false">N519</f>
        <v>130493474.521677</v>
      </c>
      <c r="P493" s="39" t="n">
        <f aca="false">O519</f>
        <v>116911689.77139</v>
      </c>
      <c r="Q493" s="39" t="n">
        <f aca="false">P519</f>
        <v>104616733.115841</v>
      </c>
      <c r="R493" s="39" t="n">
        <f aca="false">Q519</f>
        <v>93518647.4285632</v>
      </c>
      <c r="S493" s="39" t="n">
        <f aca="false">R519</f>
        <v>83513407.9704274</v>
      </c>
      <c r="T493" s="39" t="n">
        <f aca="false">S519</f>
        <v>74500545.6572462</v>
      </c>
      <c r="U493" s="39" t="n">
        <f aca="false">T519</f>
        <v>66382109.137596</v>
      </c>
      <c r="V493" s="39" t="n">
        <f aca="false">U519</f>
        <v>59056208.5226186</v>
      </c>
      <c r="W493" s="39" t="n">
        <f aca="false">V519</f>
        <v>48460387.4454745</v>
      </c>
      <c r="X493" s="39" t="n">
        <f aca="false">W519</f>
        <v>37276006.3066485</v>
      </c>
      <c r="Y493" s="39" t="n">
        <f aca="false">X519</f>
        <v>27497729.261705</v>
      </c>
      <c r="Z493" s="39" t="n">
        <f aca="false">Y519</f>
        <v>18969653.8761482</v>
      </c>
      <c r="AA493" s="39" t="n">
        <f aca="false">Z519</f>
        <v>10485298.4591181</v>
      </c>
      <c r="AB493" s="39" t="n">
        <f aca="false">AA519</f>
        <v>3123741.93237847</v>
      </c>
      <c r="AC493" s="39" t="n">
        <f aca="false">AB519</f>
        <v>0</v>
      </c>
      <c r="AD493" s="39" t="n">
        <f aca="false">AC519</f>
        <v>0</v>
      </c>
      <c r="AE493" s="39" t="n">
        <f aca="false">AD519</f>
        <v>0</v>
      </c>
      <c r="AF493" s="39" t="n">
        <f aca="false">AE519</f>
        <v>0</v>
      </c>
      <c r="AG493" s="39" t="n">
        <f aca="false">AF519</f>
        <v>0</v>
      </c>
      <c r="AH493" s="39" t="n">
        <f aca="false">AG519</f>
        <v>0</v>
      </c>
      <c r="AI493" s="39" t="n">
        <f aca="false">AH519</f>
        <v>0</v>
      </c>
      <c r="AJ493" s="39" t="n">
        <f aca="false">AI519</f>
        <v>0</v>
      </c>
      <c r="AK493" s="39" t="n">
        <f aca="false">AJ519</f>
        <v>0</v>
      </c>
      <c r="AL493" s="39" t="n">
        <f aca="false">AK519</f>
        <v>0</v>
      </c>
      <c r="AM493" s="39" t="n">
        <f aca="false">AL519</f>
        <v>0</v>
      </c>
      <c r="AN493" s="39" t="n">
        <f aca="false">AM519</f>
        <v>0</v>
      </c>
    </row>
    <row r="494" customFormat="false" ht="15" hidden="false" customHeight="false" outlineLevel="0" collapsed="false">
      <c r="A494" s="14" t="s">
        <v>147</v>
      </c>
      <c r="E494" s="10" t="n">
        <f aca="false">'Inputs &amp; Assumptions'!E$52</f>
        <v>0.04324</v>
      </c>
      <c r="F494" s="10" t="n">
        <f aca="false">'Inputs &amp; Assumptions'!F$52</f>
        <v>0.04324</v>
      </c>
      <c r="G494" s="10" t="n">
        <f aca="false">'Inputs &amp; Assumptions'!G$52</f>
        <v>0.04324</v>
      </c>
      <c r="H494" s="10" t="n">
        <f aca="false">'Inputs &amp; Assumptions'!H$52</f>
        <v>0.04324</v>
      </c>
      <c r="I494" s="10" t="n">
        <f aca="false">'Inputs &amp; Assumptions'!I$52</f>
        <v>0.04324</v>
      </c>
      <c r="J494" s="10" t="n">
        <f aca="false">'Inputs &amp; Assumptions'!J$52</f>
        <v>0.04324</v>
      </c>
      <c r="K494" s="10" t="n">
        <f aca="false">'Inputs &amp; Assumptions'!K$52</f>
        <v>0.04324</v>
      </c>
      <c r="L494" s="10" t="n">
        <f aca="false">'Inputs &amp; Assumptions'!L$52</f>
        <v>0.04324</v>
      </c>
      <c r="M494" s="10" t="n">
        <f aca="false">'Inputs &amp; Assumptions'!M$52</f>
        <v>0.04324</v>
      </c>
      <c r="N494" s="10" t="n">
        <f aca="false">'Inputs &amp; Assumptions'!N$52</f>
        <v>0.04324</v>
      </c>
      <c r="O494" s="10" t="n">
        <f aca="false">'Inputs &amp; Assumptions'!O$52</f>
        <v>0.04324</v>
      </c>
      <c r="P494" s="10" t="n">
        <f aca="false">'Inputs &amp; Assumptions'!P$52</f>
        <v>0.04324</v>
      </c>
      <c r="Q494" s="10" t="n">
        <f aca="false">'Inputs &amp; Assumptions'!Q$52</f>
        <v>0.04324</v>
      </c>
      <c r="R494" s="10" t="n">
        <f aca="false">'Inputs &amp; Assumptions'!R$52</f>
        <v>0.04324</v>
      </c>
      <c r="S494" s="10" t="n">
        <f aca="false">'Inputs &amp; Assumptions'!S$52</f>
        <v>0.04324</v>
      </c>
      <c r="T494" s="10" t="n">
        <f aca="false">'Inputs &amp; Assumptions'!T$52</f>
        <v>0.04324</v>
      </c>
      <c r="U494" s="10" t="n">
        <f aca="false">'Inputs &amp; Assumptions'!U$52</f>
        <v>0.04324</v>
      </c>
      <c r="V494" s="10" t="n">
        <f aca="false">'Inputs &amp; Assumptions'!V$52</f>
        <v>0.04324</v>
      </c>
      <c r="W494" s="10" t="n">
        <f aca="false">'Inputs &amp; Assumptions'!W$52</f>
        <v>0.04324</v>
      </c>
      <c r="X494" s="10" t="n">
        <f aca="false">'Inputs &amp; Assumptions'!X$52</f>
        <v>0.04324</v>
      </c>
      <c r="Y494" s="10" t="n">
        <f aca="false">'Inputs &amp; Assumptions'!Y$52</f>
        <v>0.04324</v>
      </c>
      <c r="Z494" s="10" t="n">
        <f aca="false">'Inputs &amp; Assumptions'!Z$52</f>
        <v>0.04324</v>
      </c>
      <c r="AA494" s="10" t="n">
        <f aca="false">'Inputs &amp; Assumptions'!AA$52</f>
        <v>0.04324</v>
      </c>
      <c r="AB494" s="10" t="n">
        <f aca="false">'Inputs &amp; Assumptions'!AB$52</f>
        <v>0.04324</v>
      </c>
      <c r="AC494" s="10" t="n">
        <f aca="false">'Inputs &amp; Assumptions'!AC$52</f>
        <v>0.04324</v>
      </c>
      <c r="AD494" s="10" t="n">
        <f aca="false">'Inputs &amp; Assumptions'!AD$52</f>
        <v>0.04324</v>
      </c>
      <c r="AE494" s="10" t="n">
        <f aca="false">'Inputs &amp; Assumptions'!AE$52</f>
        <v>0.04324</v>
      </c>
      <c r="AF494" s="10" t="n">
        <f aca="false">'Inputs &amp; Assumptions'!AF$52</f>
        <v>0.04324</v>
      </c>
      <c r="AG494" s="10" t="n">
        <f aca="false">'Inputs &amp; Assumptions'!AG$52</f>
        <v>0.04324</v>
      </c>
      <c r="AH494" s="10" t="n">
        <f aca="false">'Inputs &amp; Assumptions'!AH$52</f>
        <v>0.04324</v>
      </c>
      <c r="AI494" s="10" t="n">
        <f aca="false">'Inputs &amp; Assumptions'!AI$52</f>
        <v>0.04324</v>
      </c>
      <c r="AJ494" s="10" t="n">
        <f aca="false">'Inputs &amp; Assumptions'!AJ$52</f>
        <v>0.04324</v>
      </c>
      <c r="AK494" s="10" t="n">
        <f aca="false">'Inputs &amp; Assumptions'!AK$52</f>
        <v>0.04324</v>
      </c>
      <c r="AL494" s="10" t="n">
        <f aca="false">'Inputs &amp; Assumptions'!AL$52</f>
        <v>0.04324</v>
      </c>
      <c r="AM494" s="10" t="n">
        <f aca="false">'Inputs &amp; Assumptions'!AM$52</f>
        <v>0.04324</v>
      </c>
      <c r="AN494" s="10" t="n">
        <f aca="false">'Inputs &amp; Assumptions'!AN$52</f>
        <v>0.04324</v>
      </c>
    </row>
    <row r="495" customFormat="false" ht="15" hidden="false" customHeight="false" outlineLevel="0" collapsed="false">
      <c r="A495" s="14" t="s">
        <v>148</v>
      </c>
      <c r="E495" s="39" t="n">
        <f aca="false">E494/4*E493</f>
        <v>3679993.40901979</v>
      </c>
      <c r="F495" s="39" t="n">
        <f aca="false">F494/4*F493</f>
        <v>3374186.05161936</v>
      </c>
      <c r="G495" s="39" t="n">
        <f aca="false">G494/4*G493</f>
        <v>3085120.91442894</v>
      </c>
      <c r="H495" s="39" t="n">
        <f aca="false">H494/4*H493</f>
        <v>2812712.21914117</v>
      </c>
      <c r="I495" s="39" t="n">
        <f aca="false">I494/4*I493</f>
        <v>2556701.6014432</v>
      </c>
      <c r="J495" s="39" t="n">
        <f aca="false">J494/4*J493</f>
        <v>2322961.14133992</v>
      </c>
      <c r="K495" s="39" t="n">
        <f aca="false">K494/4*K493</f>
        <v>2112472.54581888</v>
      </c>
      <c r="L495" s="39" t="n">
        <f aca="false">L494/4*L493</f>
        <v>1922762.39955239</v>
      </c>
      <c r="M495" s="39" t="n">
        <f aca="false">M494/4*M493</f>
        <v>1751613.12332237</v>
      </c>
      <c r="N495" s="39" t="n">
        <f aca="false">N494/4*N493</f>
        <v>1572769.18774506</v>
      </c>
      <c r="O495" s="39" t="n">
        <f aca="false">O494/4*O493</f>
        <v>1410634.45957932</v>
      </c>
      <c r="P495" s="39" t="n">
        <f aca="false">P494/4*P493</f>
        <v>1263815.36642872</v>
      </c>
      <c r="Q495" s="39" t="n">
        <f aca="false">Q494/4*Q493</f>
        <v>1130906.88498224</v>
      </c>
      <c r="R495" s="39" t="n">
        <f aca="false">R494/4*R493</f>
        <v>1010936.57870277</v>
      </c>
      <c r="S495" s="39" t="n">
        <f aca="false">S494/4*S493</f>
        <v>902779.94016032</v>
      </c>
      <c r="T495" s="39" t="n">
        <f aca="false">T494/4*T493</f>
        <v>805350.898554831</v>
      </c>
      <c r="U495" s="39" t="n">
        <f aca="false">U494/4*U493</f>
        <v>717590.599777413</v>
      </c>
      <c r="V495" s="39" t="n">
        <f aca="false">V494/4*V493</f>
        <v>638397.614129507</v>
      </c>
      <c r="W495" s="39" t="n">
        <f aca="false">W494/4*W493</f>
        <v>523856.78828558</v>
      </c>
      <c r="X495" s="39" t="n">
        <f aca="false">X494/4*X493</f>
        <v>402953.62817487</v>
      </c>
      <c r="Y495" s="39" t="n">
        <f aca="false">Y494/4*Y493</f>
        <v>297250.453319031</v>
      </c>
      <c r="Z495" s="39" t="n">
        <f aca="false">Z494/4*Z493</f>
        <v>205061.958401162</v>
      </c>
      <c r="AA495" s="39" t="n">
        <f aca="false">AA494/4*AA493</f>
        <v>113346.076343066</v>
      </c>
      <c r="AB495" s="39" t="n">
        <f aca="false">AB494/4*AB493</f>
        <v>33767.6502890113</v>
      </c>
      <c r="AC495" s="39" t="n">
        <f aca="false">AC494/4*AC493</f>
        <v>0</v>
      </c>
      <c r="AD495" s="39" t="n">
        <f aca="false">AD494/4*AD493</f>
        <v>0</v>
      </c>
      <c r="AE495" s="39" t="n">
        <f aca="false">AE494/4*AE493</f>
        <v>0</v>
      </c>
      <c r="AF495" s="39" t="n">
        <f aca="false">AF494/4*AF493</f>
        <v>0</v>
      </c>
      <c r="AG495" s="39" t="n">
        <f aca="false">AG494/4*AG493</f>
        <v>0</v>
      </c>
      <c r="AH495" s="39" t="n">
        <f aca="false">AH494/4*AH493</f>
        <v>0</v>
      </c>
      <c r="AI495" s="39" t="n">
        <f aca="false">AI494/4*AI493</f>
        <v>0</v>
      </c>
      <c r="AJ495" s="39" t="n">
        <f aca="false">AJ494/4*AJ493</f>
        <v>0</v>
      </c>
      <c r="AK495" s="39" t="n">
        <f aca="false">AK494/4*AK493</f>
        <v>0</v>
      </c>
      <c r="AL495" s="39" t="n">
        <f aca="false">AL494/4*AL493</f>
        <v>0</v>
      </c>
      <c r="AM495" s="39" t="n">
        <f aca="false">AM494/4*AM493</f>
        <v>0</v>
      </c>
      <c r="AN495" s="39" t="n">
        <f aca="false">AN494/4*AN493</f>
        <v>0</v>
      </c>
    </row>
    <row r="496" customFormat="false" ht="15" hidden="false" customHeight="false" outlineLevel="0" collapsed="false">
      <c r="A496" s="14" t="s">
        <v>149</v>
      </c>
      <c r="E496" s="39" t="n">
        <f aca="false">'Scenario Analysis'!E484</f>
        <v>10192520.646753</v>
      </c>
      <c r="F496" s="39" t="n">
        <f aca="false">'Scenario Analysis'!F484</f>
        <v>9271006.62757617</v>
      </c>
      <c r="G496" s="39" t="n">
        <f aca="false">'Scenario Analysis'!G484</f>
        <v>8405829.1435494</v>
      </c>
      <c r="H496" s="39" t="n">
        <f aca="false">'Scenario Analysis'!H484</f>
        <v>7596653.27257303</v>
      </c>
      <c r="I496" s="39" t="n">
        <f aca="false">'Scenario Analysis'!I484</f>
        <v>6844746.87654563</v>
      </c>
      <c r="J496" s="39" t="n">
        <f aca="false">'Scenario Analysis'!J484</f>
        <v>6163850.09298141</v>
      </c>
      <c r="K496" s="39" t="n">
        <f aca="false">'Scenario Analysis'!K484</f>
        <v>5555383.65301748</v>
      </c>
      <c r="L496" s="39" t="n">
        <f aca="false">'Scenario Analysis'!L484</f>
        <v>5011855.77105854</v>
      </c>
      <c r="M496" s="39" t="n">
        <f aca="false">'Scenario Analysis'!M484</f>
        <v>4525171.05475471</v>
      </c>
      <c r="N496" s="39" t="n">
        <f aca="false">'Scenario Analysis'!N484</f>
        <v>4088751.85672948</v>
      </c>
      <c r="O496" s="39" t="n">
        <f aca="false">'Scenario Analysis'!O484</f>
        <v>3697710.7545627</v>
      </c>
      <c r="P496" s="39" t="n">
        <f aca="false">'Scenario Analysis'!P484</f>
        <v>3347351.29586115</v>
      </c>
      <c r="Q496" s="39" t="n">
        <f aca="false">'Scenario Analysis'!Q484</f>
        <v>3032341.08018212</v>
      </c>
      <c r="R496" s="39" t="n">
        <f aca="false">'Scenario Analysis'!R484</f>
        <v>2748558.98224671</v>
      </c>
      <c r="S496" s="39" t="n">
        <f aca="false">'Scenario Analysis'!S484</f>
        <v>2493114.64820639</v>
      </c>
      <c r="T496" s="39" t="n">
        <f aca="false">'Scenario Analysis'!T484</f>
        <v>2263206.62261743</v>
      </c>
      <c r="U496" s="39" t="n">
        <f aca="false">'Scenario Analysis'!U484</f>
        <v>2055642.6701021</v>
      </c>
      <c r="V496" s="39" t="n">
        <f aca="false">'Scenario Analysis'!V484</f>
        <v>1867932.02939275</v>
      </c>
      <c r="W496" s="39" t="n">
        <f aca="false">'Scenario Analysis'!W484</f>
        <v>1594848.60159388</v>
      </c>
      <c r="X496" s="39" t="n">
        <f aca="false">'Scenario Analysis'!X484</f>
        <v>1306707.12122796</v>
      </c>
      <c r="Y496" s="39" t="n">
        <f aca="false">'Scenario Analysis'!Y484</f>
        <v>1055309.87441417</v>
      </c>
      <c r="Z496" s="39" t="n">
        <f aca="false">'Scenario Analysis'!Z484</f>
        <v>836728.597680844</v>
      </c>
      <c r="AA496" s="39" t="n">
        <f aca="false">'Scenario Analysis'!AA484</f>
        <v>647231.747934178</v>
      </c>
      <c r="AB496" s="39" t="n">
        <f aca="false">'Scenario Analysis'!AB484</f>
        <v>483483.223494321</v>
      </c>
      <c r="AC496" s="39" t="n">
        <f aca="false">'Scenario Analysis'!AC484</f>
        <v>342355.07636797</v>
      </c>
      <c r="AD496" s="39" t="n">
        <f aca="false">'Scenario Analysis'!AD484</f>
        <v>220645.03506403</v>
      </c>
      <c r="AE496" s="39" t="n">
        <f aca="false">'Scenario Analysis'!AE484</f>
        <v>116144.312588012</v>
      </c>
      <c r="AF496" s="39" t="n">
        <f aca="false">'Scenario Analysis'!AF484</f>
        <v>26874.4864090714</v>
      </c>
      <c r="AG496" s="39" t="n">
        <f aca="false">'Scenario Analysis'!AG484</f>
        <v>0</v>
      </c>
      <c r="AH496" s="39" t="n">
        <f aca="false">'Scenario Analysis'!AH484</f>
        <v>0</v>
      </c>
      <c r="AI496" s="39" t="n">
        <f aca="false">'Scenario Analysis'!AI484</f>
        <v>0</v>
      </c>
      <c r="AJ496" s="39" t="n">
        <f aca="false">'Scenario Analysis'!AJ484</f>
        <v>0</v>
      </c>
      <c r="AK496" s="39" t="n">
        <f aca="false">'Scenario Analysis'!AK484</f>
        <v>0</v>
      </c>
      <c r="AL496" s="39" t="n">
        <f aca="false">'Scenario Analysis'!AL484</f>
        <v>0</v>
      </c>
      <c r="AM496" s="39" t="n">
        <f aca="false">'Scenario Analysis'!AM484</f>
        <v>0</v>
      </c>
      <c r="AN496" s="39" t="n">
        <f aca="false">'Scenario Analysis'!AN484</f>
        <v>0</v>
      </c>
    </row>
    <row r="497" customFormat="false" ht="15" hidden="false" customHeight="false" outlineLevel="0" collapsed="false">
      <c r="A497" s="5" t="s">
        <v>150</v>
      </c>
      <c r="E497" s="39" t="n">
        <f aca="false">MIN(E496,'Inputs &amp; Assumptions'!$C$36)</f>
        <v>37500</v>
      </c>
      <c r="F497" s="39" t="n">
        <f aca="false">MIN(F496,'Inputs &amp; Assumptions'!$C$36)</f>
        <v>37500</v>
      </c>
      <c r="G497" s="39" t="n">
        <f aca="false">MIN(G496,'Inputs &amp; Assumptions'!$C$36)</f>
        <v>37500</v>
      </c>
      <c r="H497" s="39" t="n">
        <f aca="false">MIN(H496,'Inputs &amp; Assumptions'!$C$36)</f>
        <v>37500</v>
      </c>
      <c r="I497" s="39" t="n">
        <f aca="false">MIN(I496,'Inputs &amp; Assumptions'!$C$36)</f>
        <v>37500</v>
      </c>
      <c r="J497" s="39" t="n">
        <f aca="false">MIN(J496,'Inputs &amp; Assumptions'!$C$36)</f>
        <v>37500</v>
      </c>
      <c r="K497" s="39" t="n">
        <f aca="false">MIN(K496,'Inputs &amp; Assumptions'!$C$36)</f>
        <v>37500</v>
      </c>
      <c r="L497" s="39" t="n">
        <f aca="false">MIN(L496,'Inputs &amp; Assumptions'!$C$36)</f>
        <v>37500</v>
      </c>
      <c r="M497" s="39" t="n">
        <f aca="false">MIN(M496,'Inputs &amp; Assumptions'!$C$36)</f>
        <v>37500</v>
      </c>
      <c r="N497" s="39" t="n">
        <f aca="false">MIN(N496,'Inputs &amp; Assumptions'!$C$36)</f>
        <v>37500</v>
      </c>
      <c r="O497" s="39" t="n">
        <f aca="false">MIN(O496,'Inputs &amp; Assumptions'!$C$36)</f>
        <v>37500</v>
      </c>
      <c r="P497" s="39" t="n">
        <f aca="false">MIN(P496,'Inputs &amp; Assumptions'!$C$36)</f>
        <v>37500</v>
      </c>
      <c r="Q497" s="39" t="n">
        <f aca="false">MIN(Q496,'Inputs &amp; Assumptions'!$C$36)</f>
        <v>37500</v>
      </c>
      <c r="R497" s="39" t="n">
        <f aca="false">MIN(R496,'Inputs &amp; Assumptions'!$C$36)</f>
        <v>37500</v>
      </c>
      <c r="S497" s="39" t="n">
        <f aca="false">MIN(S496,'Inputs &amp; Assumptions'!$C$36)</f>
        <v>37500</v>
      </c>
      <c r="T497" s="39" t="n">
        <f aca="false">MIN(T496,'Inputs &amp; Assumptions'!$C$36)</f>
        <v>37500</v>
      </c>
      <c r="U497" s="39" t="n">
        <f aca="false">MIN(U496,'Inputs &amp; Assumptions'!$C$36)</f>
        <v>37500</v>
      </c>
      <c r="V497" s="39" t="n">
        <f aca="false">MIN(V496,'Inputs &amp; Assumptions'!$C$36)</f>
        <v>37500</v>
      </c>
      <c r="W497" s="39" t="n">
        <f aca="false">MIN(W496,'Inputs &amp; Assumptions'!$C$36)</f>
        <v>37500</v>
      </c>
      <c r="X497" s="39" t="n">
        <f aca="false">MIN(X496,'Inputs &amp; Assumptions'!$C$36)</f>
        <v>37500</v>
      </c>
      <c r="Y497" s="39" t="n">
        <f aca="false">MIN(Y496,'Inputs &amp; Assumptions'!$C$36)</f>
        <v>37500</v>
      </c>
      <c r="Z497" s="39" t="n">
        <f aca="false">MIN(Z496,'Inputs &amp; Assumptions'!$C$36)</f>
        <v>37500</v>
      </c>
      <c r="AA497" s="39" t="n">
        <f aca="false">MIN(AA496,'Inputs &amp; Assumptions'!$C$36)</f>
        <v>37500</v>
      </c>
      <c r="AB497" s="39" t="n">
        <f aca="false">MIN(AB496,'Inputs &amp; Assumptions'!$C$36)</f>
        <v>37500</v>
      </c>
      <c r="AC497" s="39" t="n">
        <f aca="false">MIN(AC496,'Inputs &amp; Assumptions'!$C$36)</f>
        <v>37500</v>
      </c>
      <c r="AD497" s="39" t="n">
        <f aca="false">MIN(AD496,'Inputs &amp; Assumptions'!$C$36)</f>
        <v>37500</v>
      </c>
      <c r="AE497" s="39" t="n">
        <f aca="false">MIN(AE496,'Inputs &amp; Assumptions'!$C$36)</f>
        <v>37500</v>
      </c>
      <c r="AF497" s="39" t="n">
        <f aca="false">MIN(AF496,'Inputs &amp; Assumptions'!$C$36)</f>
        <v>26874.4864090714</v>
      </c>
      <c r="AG497" s="39" t="n">
        <f aca="false">MIN(AG496,'Inputs &amp; Assumptions'!$C$36)</f>
        <v>0</v>
      </c>
      <c r="AH497" s="39" t="n">
        <f aca="false">MIN(AH496,'Inputs &amp; Assumptions'!$C$36)</f>
        <v>0</v>
      </c>
      <c r="AI497" s="39" t="n">
        <f aca="false">MIN(AI496,'Inputs &amp; Assumptions'!$C$36)</f>
        <v>0</v>
      </c>
      <c r="AJ497" s="39" t="n">
        <f aca="false">MIN(AJ496,'Inputs &amp; Assumptions'!$C$36)</f>
        <v>0</v>
      </c>
      <c r="AK497" s="39" t="n">
        <f aca="false">MIN(AK496,'Inputs &amp; Assumptions'!$C$36)</f>
        <v>0</v>
      </c>
      <c r="AL497" s="39" t="n">
        <f aca="false">MIN(AL496,'Inputs &amp; Assumptions'!$C$36)</f>
        <v>0</v>
      </c>
      <c r="AM497" s="39" t="n">
        <f aca="false">MIN(AM496,'Inputs &amp; Assumptions'!$C$36)</f>
        <v>0</v>
      </c>
      <c r="AN497" s="39" t="n">
        <f aca="false">MIN(AN496,'Inputs &amp; Assumptions'!$C$36)</f>
        <v>0</v>
      </c>
    </row>
    <row r="498" customFormat="false" ht="15" hidden="false" customHeight="false" outlineLevel="0" collapsed="false">
      <c r="A498" s="5" t="s">
        <v>151</v>
      </c>
      <c r="E498" s="39" t="n">
        <f aca="false">E496-E497</f>
        <v>10155020.646753</v>
      </c>
      <c r="F498" s="39" t="n">
        <f aca="false">F496-F497</f>
        <v>9233506.62757617</v>
      </c>
      <c r="G498" s="39" t="n">
        <f aca="false">G496-G497</f>
        <v>8368329.1435494</v>
      </c>
      <c r="H498" s="39" t="n">
        <f aca="false">H496-H497</f>
        <v>7559153.27257303</v>
      </c>
      <c r="I498" s="39" t="n">
        <f aca="false">I496-I497</f>
        <v>6807246.87654563</v>
      </c>
      <c r="J498" s="39" t="n">
        <f aca="false">J496-J497</f>
        <v>6126350.09298141</v>
      </c>
      <c r="K498" s="39" t="n">
        <f aca="false">K496-K497</f>
        <v>5517883.65301748</v>
      </c>
      <c r="L498" s="39" t="n">
        <f aca="false">L496-L497</f>
        <v>4974355.77105854</v>
      </c>
      <c r="M498" s="39" t="n">
        <f aca="false">M496-M497</f>
        <v>4487671.05475471</v>
      </c>
      <c r="N498" s="39" t="n">
        <f aca="false">N496-N497</f>
        <v>4051251.85672948</v>
      </c>
      <c r="O498" s="39" t="n">
        <f aca="false">O496-O497</f>
        <v>3660210.7545627</v>
      </c>
      <c r="P498" s="39" t="n">
        <f aca="false">P496-P497</f>
        <v>3309851.29586115</v>
      </c>
      <c r="Q498" s="39" t="n">
        <f aca="false">Q496-Q497</f>
        <v>2994841.08018212</v>
      </c>
      <c r="R498" s="39" t="n">
        <f aca="false">R496-R497</f>
        <v>2711058.98224671</v>
      </c>
      <c r="S498" s="39" t="n">
        <f aca="false">S496-S497</f>
        <v>2455614.64820639</v>
      </c>
      <c r="T498" s="39" t="n">
        <f aca="false">T496-T497</f>
        <v>2225706.62261743</v>
      </c>
      <c r="U498" s="39" t="n">
        <f aca="false">U496-U497</f>
        <v>2018142.6701021</v>
      </c>
      <c r="V498" s="39" t="n">
        <f aca="false">V496-V497</f>
        <v>1830432.02939275</v>
      </c>
      <c r="W498" s="39" t="n">
        <f aca="false">W496-W497</f>
        <v>1557348.60159388</v>
      </c>
      <c r="X498" s="39" t="n">
        <f aca="false">X496-X497</f>
        <v>1269207.12122796</v>
      </c>
      <c r="Y498" s="39" t="n">
        <f aca="false">Y496-Y497</f>
        <v>1017809.87441417</v>
      </c>
      <c r="Z498" s="39" t="n">
        <f aca="false">Z496-Z497</f>
        <v>799228.597680844</v>
      </c>
      <c r="AA498" s="39" t="n">
        <f aca="false">AA496-AA497</f>
        <v>609731.747934178</v>
      </c>
      <c r="AB498" s="39" t="n">
        <f aca="false">AB496-AB497</f>
        <v>445983.223494321</v>
      </c>
      <c r="AC498" s="39" t="n">
        <f aca="false">AC496-AC497</f>
        <v>304855.07636797</v>
      </c>
      <c r="AD498" s="39" t="n">
        <f aca="false">AD496-AD497</f>
        <v>183145.03506403</v>
      </c>
      <c r="AE498" s="39" t="n">
        <f aca="false">AE496-AE497</f>
        <v>78644.3125880124</v>
      </c>
      <c r="AF498" s="39" t="n">
        <f aca="false">AF496-AF497</f>
        <v>0</v>
      </c>
      <c r="AG498" s="39" t="n">
        <f aca="false">AG496-AG497</f>
        <v>0</v>
      </c>
      <c r="AH498" s="39" t="n">
        <f aca="false">AH496-AH497</f>
        <v>0</v>
      </c>
      <c r="AI498" s="39" t="n">
        <f aca="false">AI496-AI497</f>
        <v>0</v>
      </c>
      <c r="AJ498" s="39" t="n">
        <f aca="false">AJ496-AJ497</f>
        <v>0</v>
      </c>
      <c r="AK498" s="39" t="n">
        <f aca="false">AK496-AK497</f>
        <v>0</v>
      </c>
      <c r="AL498" s="39" t="n">
        <f aca="false">AL496-AL497</f>
        <v>0</v>
      </c>
      <c r="AM498" s="39" t="n">
        <f aca="false">AM496-AM497</f>
        <v>0</v>
      </c>
      <c r="AN498" s="39" t="n">
        <f aca="false">AN496-AN497</f>
        <v>0</v>
      </c>
    </row>
    <row r="499" customFormat="false" ht="15" hidden="false" customHeight="false" outlineLevel="0" collapsed="false">
      <c r="A499" s="5" t="s">
        <v>152</v>
      </c>
      <c r="E499" s="39" t="n">
        <f aca="false">MIN(E498,E495)</f>
        <v>3679993.40901979</v>
      </c>
      <c r="F499" s="39" t="n">
        <f aca="false">MIN(F498,F495)</f>
        <v>3374186.05161936</v>
      </c>
      <c r="G499" s="39" t="n">
        <f aca="false">MIN(G498,G495)</f>
        <v>3085120.91442894</v>
      </c>
      <c r="H499" s="39" t="n">
        <f aca="false">MIN(H498,H495)</f>
        <v>2812712.21914117</v>
      </c>
      <c r="I499" s="39" t="n">
        <f aca="false">MIN(I498,I495)</f>
        <v>2556701.6014432</v>
      </c>
      <c r="J499" s="39" t="n">
        <f aca="false">MIN(J498,J495)</f>
        <v>2322961.14133992</v>
      </c>
      <c r="K499" s="39" t="n">
        <f aca="false">MIN(K498,K495)</f>
        <v>2112472.54581888</v>
      </c>
      <c r="L499" s="39" t="n">
        <f aca="false">MIN(L498,L495)</f>
        <v>1922762.39955239</v>
      </c>
      <c r="M499" s="39" t="n">
        <f aca="false">MIN(M498,M495)</f>
        <v>1751613.12332237</v>
      </c>
      <c r="N499" s="39" t="n">
        <f aca="false">MIN(N498,N495)</f>
        <v>1572769.18774506</v>
      </c>
      <c r="O499" s="39" t="n">
        <f aca="false">MIN(O498,O495)</f>
        <v>1410634.45957932</v>
      </c>
      <c r="P499" s="39" t="n">
        <f aca="false">MIN(P498,P495)</f>
        <v>1263815.36642872</v>
      </c>
      <c r="Q499" s="39" t="n">
        <f aca="false">MIN(Q498,Q495)</f>
        <v>1130906.88498224</v>
      </c>
      <c r="R499" s="39" t="n">
        <f aca="false">MIN(R498,R495)</f>
        <v>1010936.57870277</v>
      </c>
      <c r="S499" s="39" t="n">
        <f aca="false">MIN(S498,S495)</f>
        <v>902779.94016032</v>
      </c>
      <c r="T499" s="39" t="n">
        <f aca="false">MIN(T498,T495)</f>
        <v>805350.898554831</v>
      </c>
      <c r="U499" s="39" t="n">
        <f aca="false">MIN(U498,U495)</f>
        <v>717590.599777413</v>
      </c>
      <c r="V499" s="39" t="n">
        <f aca="false">MIN(V498,V495)</f>
        <v>638397.614129507</v>
      </c>
      <c r="W499" s="39" t="n">
        <f aca="false">MIN(W498,W495)</f>
        <v>523856.78828558</v>
      </c>
      <c r="X499" s="39" t="n">
        <f aca="false">MIN(X498,X495)</f>
        <v>402953.62817487</v>
      </c>
      <c r="Y499" s="39" t="n">
        <f aca="false">MIN(Y498,Y495)</f>
        <v>297250.453319031</v>
      </c>
      <c r="Z499" s="39" t="n">
        <f aca="false">MIN(Z498,Z495)</f>
        <v>205061.958401162</v>
      </c>
      <c r="AA499" s="39" t="n">
        <f aca="false">MIN(AA498,AA495)</f>
        <v>113346.076343066</v>
      </c>
      <c r="AB499" s="39" t="n">
        <f aca="false">MIN(AB498,AB495)</f>
        <v>33767.6502890113</v>
      </c>
      <c r="AC499" s="39" t="n">
        <f aca="false">MIN(AC498,AC495)</f>
        <v>0</v>
      </c>
      <c r="AD499" s="39" t="n">
        <f aca="false">MIN(AD498,AD495)</f>
        <v>0</v>
      </c>
      <c r="AE499" s="39" t="n">
        <f aca="false">MIN(AE498,AE495)</f>
        <v>0</v>
      </c>
      <c r="AF499" s="39" t="n">
        <f aca="false">MIN(AF498,AF495)</f>
        <v>0</v>
      </c>
      <c r="AG499" s="39" t="n">
        <f aca="false">MIN(AG498,AG495)</f>
        <v>0</v>
      </c>
      <c r="AH499" s="39" t="n">
        <f aca="false">MIN(AH498,AH495)</f>
        <v>0</v>
      </c>
      <c r="AI499" s="39" t="n">
        <f aca="false">MIN(AI498,AI495)</f>
        <v>0</v>
      </c>
      <c r="AJ499" s="39" t="n">
        <f aca="false">MIN(AJ498,AJ495)</f>
        <v>0</v>
      </c>
      <c r="AK499" s="39" t="n">
        <f aca="false">MIN(AK498,AK495)</f>
        <v>0</v>
      </c>
      <c r="AL499" s="39" t="n">
        <f aca="false">MIN(AL498,AL495)</f>
        <v>0</v>
      </c>
      <c r="AM499" s="39" t="n">
        <f aca="false">MIN(AM498,AM495)</f>
        <v>0</v>
      </c>
      <c r="AN499" s="39" t="n">
        <f aca="false">MIN(AN498,AN495)</f>
        <v>0</v>
      </c>
    </row>
    <row r="500" customFormat="false" ht="15" hidden="false" customHeight="false" outlineLevel="0" collapsed="false">
      <c r="A500" s="5" t="s">
        <v>153</v>
      </c>
      <c r="E500" s="39" t="n">
        <f aca="false">E498-E499</f>
        <v>6475027.23773322</v>
      </c>
      <c r="F500" s="39" t="n">
        <f aca="false">F498-F499</f>
        <v>5859320.57595681</v>
      </c>
      <c r="G500" s="39" t="n">
        <f aca="false">G498-G499</f>
        <v>5283208.22912046</v>
      </c>
      <c r="H500" s="39" t="n">
        <f aca="false">H498-H499</f>
        <v>4746441.05343186</v>
      </c>
      <c r="I500" s="39" t="n">
        <f aca="false">I498-I499</f>
        <v>4250545.27510243</v>
      </c>
      <c r="J500" s="39" t="n">
        <f aca="false">J498-J499</f>
        <v>3803388.95164149</v>
      </c>
      <c r="K500" s="39" t="n">
        <f aca="false">K498-K499</f>
        <v>3405411.1071986</v>
      </c>
      <c r="L500" s="39" t="n">
        <f aca="false">L498-L499</f>
        <v>3051593.37150615</v>
      </c>
      <c r="M500" s="39" t="n">
        <f aca="false">M498-M499</f>
        <v>2736057.93143234</v>
      </c>
      <c r="N500" s="39" t="n">
        <f aca="false">N498-N499</f>
        <v>2478482.66898442</v>
      </c>
      <c r="O500" s="39" t="n">
        <f aca="false">O498-O499</f>
        <v>2249576.29498338</v>
      </c>
      <c r="P500" s="39" t="n">
        <f aca="false">P498-P499</f>
        <v>2046035.92943242</v>
      </c>
      <c r="Q500" s="39" t="n">
        <f aca="false">Q498-Q499</f>
        <v>1863934.19519988</v>
      </c>
      <c r="R500" s="39" t="n">
        <f aca="false">R498-R499</f>
        <v>1700122.40354394</v>
      </c>
      <c r="S500" s="39" t="n">
        <f aca="false">S498-S499</f>
        <v>1552834.70804607</v>
      </c>
      <c r="T500" s="39" t="n">
        <f aca="false">T498-T499</f>
        <v>1420355.7240626</v>
      </c>
      <c r="U500" s="39" t="n">
        <f aca="false">U498-U499</f>
        <v>1300552.07032469</v>
      </c>
      <c r="V500" s="39" t="n">
        <f aca="false">V498-V499</f>
        <v>1192034.41526325</v>
      </c>
      <c r="W500" s="39" t="n">
        <f aca="false">W498-W499</f>
        <v>1033491.8133083</v>
      </c>
      <c r="X500" s="39" t="n">
        <f aca="false">X498-X499</f>
        <v>866253.493053092</v>
      </c>
      <c r="Y500" s="39" t="n">
        <f aca="false">Y498-Y499</f>
        <v>720559.421095141</v>
      </c>
      <c r="Z500" s="39" t="n">
        <f aca="false">Z498-Z499</f>
        <v>594166.639279682</v>
      </c>
      <c r="AA500" s="39" t="n">
        <f aca="false">AA498-AA499</f>
        <v>496385.671591111</v>
      </c>
      <c r="AB500" s="39" t="n">
        <f aca="false">AB498-AB499</f>
        <v>412215.57320531</v>
      </c>
      <c r="AC500" s="39" t="n">
        <f aca="false">AC498-AC499</f>
        <v>304855.07636797</v>
      </c>
      <c r="AD500" s="39" t="n">
        <f aca="false">AD498-AD499</f>
        <v>183145.03506403</v>
      </c>
      <c r="AE500" s="39" t="n">
        <f aca="false">AE498-AE499</f>
        <v>78644.3125880124</v>
      </c>
      <c r="AF500" s="39" t="n">
        <f aca="false">AF498-AF499</f>
        <v>0</v>
      </c>
      <c r="AG500" s="39" t="n">
        <f aca="false">AG498-AG499</f>
        <v>0</v>
      </c>
      <c r="AH500" s="39" t="n">
        <f aca="false">AH498-AH499</f>
        <v>0</v>
      </c>
      <c r="AI500" s="39" t="n">
        <f aca="false">AI498-AI499</f>
        <v>0</v>
      </c>
      <c r="AJ500" s="39" t="n">
        <f aca="false">AJ498-AJ499</f>
        <v>0</v>
      </c>
      <c r="AK500" s="39" t="n">
        <f aca="false">AK498-AK499</f>
        <v>0</v>
      </c>
      <c r="AL500" s="39" t="n">
        <f aca="false">AL498-AL499</f>
        <v>0</v>
      </c>
      <c r="AM500" s="39" t="n">
        <f aca="false">AM498-AM499</f>
        <v>0</v>
      </c>
      <c r="AN500" s="39" t="n">
        <f aca="false">AN498-AN499</f>
        <v>0</v>
      </c>
    </row>
    <row r="501" customFormat="false" ht="15" hidden="false" customHeight="false" outlineLevel="0" collapsed="false">
      <c r="A501" s="5" t="s">
        <v>154</v>
      </c>
      <c r="E501" s="39" t="n">
        <f aca="false">E495-E499</f>
        <v>0</v>
      </c>
      <c r="F501" s="39" t="n">
        <f aca="false">F495-F499</f>
        <v>0</v>
      </c>
      <c r="G501" s="39" t="n">
        <f aca="false">G495-G499</f>
        <v>0</v>
      </c>
      <c r="H501" s="39" t="n">
        <f aca="false">H495-H499</f>
        <v>0</v>
      </c>
      <c r="I501" s="39" t="n">
        <f aca="false">I495-I499</f>
        <v>0</v>
      </c>
      <c r="J501" s="39" t="n">
        <f aca="false">J495-J499</f>
        <v>0</v>
      </c>
      <c r="K501" s="39" t="n">
        <f aca="false">K495-K499</f>
        <v>0</v>
      </c>
      <c r="L501" s="39" t="n">
        <f aca="false">L495-L499</f>
        <v>0</v>
      </c>
      <c r="M501" s="39" t="n">
        <f aca="false">M495-M499</f>
        <v>0</v>
      </c>
      <c r="N501" s="39" t="n">
        <f aca="false">N495-N499</f>
        <v>0</v>
      </c>
      <c r="O501" s="39" t="n">
        <f aca="false">O495-O499</f>
        <v>0</v>
      </c>
      <c r="P501" s="39" t="n">
        <f aca="false">P495-P499</f>
        <v>0</v>
      </c>
      <c r="Q501" s="39" t="n">
        <f aca="false">Q495-Q499</f>
        <v>0</v>
      </c>
      <c r="R501" s="39" t="n">
        <f aca="false">R495-R499</f>
        <v>0</v>
      </c>
      <c r="S501" s="39" t="n">
        <f aca="false">S495-S499</f>
        <v>0</v>
      </c>
      <c r="T501" s="39" t="n">
        <f aca="false">T495-T499</f>
        <v>0</v>
      </c>
      <c r="U501" s="39" t="n">
        <f aca="false">U495-U499</f>
        <v>0</v>
      </c>
      <c r="V501" s="39" t="n">
        <f aca="false">V495-V499</f>
        <v>0</v>
      </c>
      <c r="W501" s="39" t="n">
        <f aca="false">W495-W499</f>
        <v>0</v>
      </c>
      <c r="X501" s="39" t="n">
        <f aca="false">X495-X499</f>
        <v>0</v>
      </c>
      <c r="Y501" s="39" t="n">
        <f aca="false">Y495-Y499</f>
        <v>0</v>
      </c>
      <c r="Z501" s="39" t="n">
        <f aca="false">Z495-Z499</f>
        <v>0</v>
      </c>
      <c r="AA501" s="39" t="n">
        <f aca="false">AA495-AA499</f>
        <v>0</v>
      </c>
      <c r="AB501" s="39" t="n">
        <f aca="false">AB495-AB499</f>
        <v>0</v>
      </c>
      <c r="AC501" s="39" t="n">
        <f aca="false">AC495-AC499</f>
        <v>0</v>
      </c>
      <c r="AD501" s="39" t="n">
        <f aca="false">AD495-AD499</f>
        <v>0</v>
      </c>
      <c r="AE501" s="39" t="n">
        <f aca="false">AE495-AE499</f>
        <v>0</v>
      </c>
      <c r="AF501" s="39" t="n">
        <f aca="false">AF495-AF499</f>
        <v>0</v>
      </c>
      <c r="AG501" s="39" t="n">
        <f aca="false">AG495-AG499</f>
        <v>0</v>
      </c>
      <c r="AH501" s="39" t="n">
        <f aca="false">AH495-AH499</f>
        <v>0</v>
      </c>
      <c r="AI501" s="39" t="n">
        <f aca="false">AI495-AI499</f>
        <v>0</v>
      </c>
      <c r="AJ501" s="39" t="n">
        <f aca="false">AJ495-AJ499</f>
        <v>0</v>
      </c>
      <c r="AK501" s="39" t="n">
        <f aca="false">AK495-AK499</f>
        <v>0</v>
      </c>
      <c r="AL501" s="39" t="n">
        <f aca="false">AL495-AL499</f>
        <v>0</v>
      </c>
      <c r="AM501" s="39" t="n">
        <f aca="false">AM495-AM499</f>
        <v>0</v>
      </c>
      <c r="AN501" s="39" t="n">
        <f aca="false">AN495-AN499</f>
        <v>0</v>
      </c>
    </row>
    <row r="502" customFormat="false" ht="15" hidden="false" customHeight="false" outlineLevel="0" collapsed="false">
      <c r="A502" s="14" t="s">
        <v>155</v>
      </c>
      <c r="E502" s="18" t="n">
        <f aca="false">IF('Scenario Analysis'!E478&gt;0,E493/'Scenario Analysis'!E478,0)</f>
        <v>0.6</v>
      </c>
      <c r="F502" s="18" t="n">
        <f aca="false">IF('Scenario Analysis'!F478&gt;0,F493/'Scenario Analysis'!F478,0)</f>
        <v>0.604620043277165</v>
      </c>
      <c r="G502" s="18" t="n">
        <f aca="false">IF('Scenario Analysis'!G478&gt;0,G493/'Scenario Analysis'!G478,0)</f>
        <v>0.609642786806027</v>
      </c>
      <c r="H502" s="18" t="n">
        <f aca="false">IF('Scenario Analysis'!H478&gt;0,H493/'Scenario Analysis'!H478,0)</f>
        <v>0.614996287436433</v>
      </c>
      <c r="I502" s="18" t="n">
        <f aca="false">IF('Scenario Analysis'!I478&gt;0,I493/'Scenario Analysis'!I478,0)</f>
        <v>0.620672877672405</v>
      </c>
      <c r="J502" s="18" t="n">
        <f aca="false">IF('Scenario Analysis'!J478&gt;0,J493/'Scenario Analysis'!J478,0)</f>
        <v>0.626618152823547</v>
      </c>
      <c r="K502" s="18" t="n">
        <f aca="false">IF('Scenario Analysis'!K478&gt;0,K493/'Scenario Analysis'!K478,0)</f>
        <v>0.632786819913529</v>
      </c>
      <c r="L502" s="18" t="n">
        <f aca="false">IF('Scenario Analysis'!L478&gt;0,L493/'Scenario Analysis'!L478,0)</f>
        <v>0.639042855073943</v>
      </c>
      <c r="M502" s="18" t="n">
        <f aca="false">IF('Scenario Analysis'!M478&gt;0,M493/'Scenario Analysis'!M478,0)</f>
        <v>0.645294621189884</v>
      </c>
      <c r="N502" s="18" t="n">
        <f aca="false">IF('Scenario Analysis'!N478&gt;0,N493/'Scenario Analysis'!N478,0)</f>
        <v>0.641724190940877</v>
      </c>
      <c r="O502" s="18" t="n">
        <f aca="false">IF('Scenario Analysis'!O478&gt;0,O493/'Scenario Analysis'!O478,0)</f>
        <v>0.637003991644013</v>
      </c>
      <c r="P502" s="18" t="n">
        <f aca="false">IF('Scenario Analysis'!P478&gt;0,P493/'Scenario Analysis'!P478,0)</f>
        <v>0.631057764255977</v>
      </c>
      <c r="Q502" s="18" t="n">
        <f aca="false">IF('Scenario Analysis'!Q478&gt;0,Q493/'Scenario Analysis'!Q478,0)</f>
        <v>0.62379799507205</v>
      </c>
      <c r="R502" s="18" t="n">
        <f aca="false">IF('Scenario Analysis'!R478&gt;0,R493/'Scenario Analysis'!R478,0)</f>
        <v>0.615551339522779</v>
      </c>
      <c r="S502" s="18" t="n">
        <f aca="false">IF('Scenario Analysis'!S478&gt;0,S493/'Scenario Analysis'!S478,0)</f>
        <v>0.606450360730914</v>
      </c>
      <c r="T502" s="18" t="n">
        <f aca="false">IF('Scenario Analysis'!T478&gt;0,T493/'Scenario Analysis'!T478,0)</f>
        <v>0.596432522097418</v>
      </c>
      <c r="U502" s="18" t="n">
        <f aca="false">IF('Scenario Analysis'!U478&gt;0,U493/'Scenario Analysis'!U478,0)</f>
        <v>0.585424582633194</v>
      </c>
      <c r="V502" s="18" t="n">
        <f aca="false">IF('Scenario Analysis'!V478&gt;0,V493/'Scenario Analysis'!V478,0)</f>
        <v>0.573405759179609</v>
      </c>
      <c r="W502" s="18" t="n">
        <f aca="false">IF('Scenario Analysis'!W478&gt;0,W493/'Scenario Analysis'!W478,0)</f>
        <v>0.551286320641412</v>
      </c>
      <c r="X502" s="18" t="n">
        <f aca="false">IF('Scenario Analysis'!X478&gt;0,X493/'Scenario Analysis'!X478,0)</f>
        <v>0.51774877099421</v>
      </c>
      <c r="Y502" s="18" t="n">
        <f aca="false">IF('Scenario Analysis'!Y478&gt;0,Y493/'Scenario Analysis'!Y478,0)</f>
        <v>0.473029807201742</v>
      </c>
      <c r="Z502" s="18" t="n">
        <f aca="false">IF('Scenario Analysis'!Z478&gt;0,Z493/'Scenario Analysis'!Z478,0)</f>
        <v>0.41164835925136</v>
      </c>
      <c r="AA502" s="18" t="n">
        <f aca="false">IF('Scenario Analysis'!AA478&gt;0,AA493/'Scenario Analysis'!AA478,0)</f>
        <v>0.294227410104661</v>
      </c>
      <c r="AB502" s="18" t="n">
        <f aca="false">IF('Scenario Analysis'!AB478&gt;0,AB493/'Scenario Analysis'!AB478,0)</f>
        <v>0.117386458801935</v>
      </c>
      <c r="AC502" s="18" t="n">
        <f aca="false">IF('Scenario Analysis'!AC478&gt;0,AC493/'Scenario Analysis'!AC478,0)</f>
        <v>0</v>
      </c>
      <c r="AD502" s="18" t="n">
        <f aca="false">IF('Scenario Analysis'!AD478&gt;0,AD493/'Scenario Analysis'!AD478,0)</f>
        <v>0</v>
      </c>
      <c r="AE502" s="18" t="n">
        <f aca="false">IF('Scenario Analysis'!AE478&gt;0,AE493/'Scenario Analysis'!AE478,0)</f>
        <v>0</v>
      </c>
      <c r="AF502" s="18" t="n">
        <f aca="false">IF('Scenario Analysis'!AF478&gt;0,AF493/'Scenario Analysis'!AF478,0)</f>
        <v>0</v>
      </c>
      <c r="AG502" s="18" t="n">
        <f aca="false">IF('Scenario Analysis'!AG478&gt;0,AG493/'Scenario Analysis'!AG478,0)</f>
        <v>0</v>
      </c>
      <c r="AH502" s="18" t="n">
        <f aca="false">IF('Scenario Analysis'!AH478&gt;0,AH493/'Scenario Analysis'!AH478,0)</f>
        <v>0</v>
      </c>
      <c r="AI502" s="18" t="n">
        <f aca="false">IF('Scenario Analysis'!AI478&gt;0,AI493/'Scenario Analysis'!AI478,0)</f>
        <v>0</v>
      </c>
      <c r="AJ502" s="18" t="n">
        <f aca="false">IF('Scenario Analysis'!AJ478&gt;0,AJ493/'Scenario Analysis'!AJ478,0)</f>
        <v>0</v>
      </c>
      <c r="AK502" s="18" t="n">
        <f aca="false">IF('Scenario Analysis'!AK478&gt;0,AK493/'Scenario Analysis'!AK478,0)</f>
        <v>0</v>
      </c>
      <c r="AL502" s="18" t="n">
        <f aca="false">IF('Scenario Analysis'!AL478&gt;0,AL493/'Scenario Analysis'!AL478,0)</f>
        <v>0</v>
      </c>
      <c r="AM502" s="18" t="n">
        <f aca="false">IF('Scenario Analysis'!AM478&gt;0,AM493/'Scenario Analysis'!AM478,0)</f>
        <v>0</v>
      </c>
      <c r="AN502" s="18" t="n">
        <f aca="false">IF('Scenario Analysis'!AN478&gt;0,AN493/'Scenario Analysis'!AN478,0)</f>
        <v>0</v>
      </c>
    </row>
    <row r="503" customFormat="false" ht="15" hidden="false" customHeight="false" outlineLevel="0" collapsed="false">
      <c r="A503" s="5" t="s">
        <v>156</v>
      </c>
      <c r="E503" s="39" t="n">
        <f aca="false">MAX(0,E493-'Inputs &amp; Assumptions'!$C$31*'Scenario Analysis'!E478)</f>
        <v>0</v>
      </c>
      <c r="F503" s="39" t="n">
        <f aca="false">MAX(0,F493-'Inputs &amp; Assumptions'!$C$31*'Scenario Analysis'!F478)</f>
        <v>0</v>
      </c>
      <c r="G503" s="39" t="n">
        <f aca="false">MAX(0,G493-'Inputs &amp; Assumptions'!$C$31*'Scenario Analysis'!G478)</f>
        <v>0</v>
      </c>
      <c r="H503" s="39" t="n">
        <f aca="false">MAX(0,H493-'Inputs &amp; Assumptions'!$C$31*'Scenario Analysis'!H478)</f>
        <v>0</v>
      </c>
      <c r="I503" s="39" t="n">
        <f aca="false">MAX(0,I493-'Inputs &amp; Assumptions'!$C$31*'Scenario Analysis'!I478)</f>
        <v>0</v>
      </c>
      <c r="J503" s="39" t="n">
        <f aca="false">MAX(0,J493-'Inputs &amp; Assumptions'!$C$31*'Scenario Analysis'!J478)</f>
        <v>0</v>
      </c>
      <c r="K503" s="39" t="n">
        <f aca="false">MAX(0,K493-'Inputs &amp; Assumptions'!$C$31*'Scenario Analysis'!K478)</f>
        <v>0</v>
      </c>
      <c r="L503" s="39" t="n">
        <f aca="false">MAX(0,L493-'Inputs &amp; Assumptions'!$C$31*'Scenario Analysis'!L478)</f>
        <v>0</v>
      </c>
      <c r="M503" s="39" t="n">
        <f aca="false">MAX(0,M493-'Inputs &amp; Assumptions'!$C$31*'Scenario Analysis'!M478)</f>
        <v>0</v>
      </c>
      <c r="N503" s="39" t="n">
        <f aca="false">MAX(0,N493-'Inputs &amp; Assumptions'!$C$31*'Scenario Analysis'!N478)</f>
        <v>0</v>
      </c>
      <c r="O503" s="39" t="n">
        <f aca="false">MAX(0,O493-'Inputs &amp; Assumptions'!$C$31*'Scenario Analysis'!O478)</f>
        <v>0</v>
      </c>
      <c r="P503" s="39" t="n">
        <f aca="false">MAX(0,P493-'Inputs &amp; Assumptions'!$C$31*'Scenario Analysis'!P478)</f>
        <v>0</v>
      </c>
      <c r="Q503" s="39" t="n">
        <f aca="false">MAX(0,Q493-'Inputs &amp; Assumptions'!$C$31*'Scenario Analysis'!Q478)</f>
        <v>0</v>
      </c>
      <c r="R503" s="39" t="n">
        <f aca="false">MAX(0,R493-'Inputs &amp; Assumptions'!$C$31*'Scenario Analysis'!R478)</f>
        <v>0</v>
      </c>
      <c r="S503" s="39" t="n">
        <f aca="false">MAX(0,S493-'Inputs &amp; Assumptions'!$C$31*'Scenario Analysis'!S478)</f>
        <v>0</v>
      </c>
      <c r="T503" s="39" t="n">
        <f aca="false">MAX(0,T493-'Inputs &amp; Assumptions'!$C$31*'Scenario Analysis'!T478)</f>
        <v>0</v>
      </c>
      <c r="U503" s="39" t="n">
        <f aca="false">MAX(0,U493-'Inputs &amp; Assumptions'!$C$31*'Scenario Analysis'!U478)</f>
        <v>0</v>
      </c>
      <c r="V503" s="39" t="n">
        <f aca="false">MAX(0,V493-'Inputs &amp; Assumptions'!$C$31*'Scenario Analysis'!V478)</f>
        <v>0</v>
      </c>
      <c r="W503" s="39" t="n">
        <f aca="false">MAX(0,W493-'Inputs &amp; Assumptions'!$C$31*'Scenario Analysis'!W478)</f>
        <v>0</v>
      </c>
      <c r="X503" s="39" t="n">
        <f aca="false">MAX(0,X493-'Inputs &amp; Assumptions'!$C$31*'Scenario Analysis'!X478)</f>
        <v>0</v>
      </c>
      <c r="Y503" s="39" t="n">
        <f aca="false">MAX(0,Y493-'Inputs &amp; Assumptions'!$C$31*'Scenario Analysis'!Y478)</f>
        <v>0</v>
      </c>
      <c r="Z503" s="39" t="n">
        <f aca="false">MAX(0,Z493-'Inputs &amp; Assumptions'!$C$31*'Scenario Analysis'!Z478)</f>
        <v>0</v>
      </c>
      <c r="AA503" s="39" t="n">
        <f aca="false">MAX(0,AA493-'Inputs &amp; Assumptions'!$C$31*'Scenario Analysis'!AA478)</f>
        <v>0</v>
      </c>
      <c r="AB503" s="39" t="n">
        <f aca="false">MAX(0,AB493-'Inputs &amp; Assumptions'!$C$31*'Scenario Analysis'!AB478)</f>
        <v>0</v>
      </c>
      <c r="AC503" s="39" t="n">
        <f aca="false">MAX(0,AC493-'Inputs &amp; Assumptions'!$C$31*'Scenario Analysis'!AC478)</f>
        <v>0</v>
      </c>
      <c r="AD503" s="39" t="n">
        <f aca="false">MAX(0,AD493-'Inputs &amp; Assumptions'!$C$31*'Scenario Analysis'!AD478)</f>
        <v>0</v>
      </c>
      <c r="AE503" s="39" t="n">
        <f aca="false">MAX(0,AE493-'Inputs &amp; Assumptions'!$C$31*'Scenario Analysis'!AE478)</f>
        <v>0</v>
      </c>
      <c r="AF503" s="39" t="n">
        <f aca="false">MAX(0,AF493-'Inputs &amp; Assumptions'!$C$31*'Scenario Analysis'!AF478)</f>
        <v>0</v>
      </c>
      <c r="AG503" s="39" t="n">
        <f aca="false">MAX(0,AG493-'Inputs &amp; Assumptions'!$C$31*'Scenario Analysis'!AG478)</f>
        <v>0</v>
      </c>
      <c r="AH503" s="39" t="n">
        <f aca="false">MAX(0,AH493-'Inputs &amp; Assumptions'!$C$31*'Scenario Analysis'!AH478)</f>
        <v>0</v>
      </c>
      <c r="AI503" s="39" t="n">
        <f aca="false">MAX(0,AI493-'Inputs &amp; Assumptions'!$C$31*'Scenario Analysis'!AI478)</f>
        <v>0</v>
      </c>
      <c r="AJ503" s="39" t="n">
        <f aca="false">MAX(0,AJ493-'Inputs &amp; Assumptions'!$C$31*'Scenario Analysis'!AJ478)</f>
        <v>0</v>
      </c>
      <c r="AK503" s="39" t="n">
        <f aca="false">MAX(0,AK493-'Inputs &amp; Assumptions'!$C$31*'Scenario Analysis'!AK478)</f>
        <v>0</v>
      </c>
      <c r="AL503" s="39" t="n">
        <f aca="false">MAX(0,AL493-'Inputs &amp; Assumptions'!$C$31*'Scenario Analysis'!AL478)</f>
        <v>0</v>
      </c>
      <c r="AM503" s="39" t="n">
        <f aca="false">MAX(0,AM493-'Inputs &amp; Assumptions'!$C$31*'Scenario Analysis'!AM478)</f>
        <v>0</v>
      </c>
      <c r="AN503" s="39" t="n">
        <f aca="false">MAX(0,AN493-'Inputs &amp; Assumptions'!$C$31*'Scenario Analysis'!AN478)</f>
        <v>0</v>
      </c>
    </row>
    <row r="504" customFormat="false" ht="15" hidden="false" customHeight="false" outlineLevel="0" collapsed="false">
      <c r="A504" s="5" t="s">
        <v>157</v>
      </c>
      <c r="E504" s="39" t="n">
        <f aca="false">MIN(E500,E503)</f>
        <v>0</v>
      </c>
      <c r="F504" s="39" t="n">
        <f aca="false">MIN(F500,F503)</f>
        <v>0</v>
      </c>
      <c r="G504" s="39" t="n">
        <f aca="false">MIN(G500,G503)</f>
        <v>0</v>
      </c>
      <c r="H504" s="39" t="n">
        <f aca="false">MIN(H500,H503)</f>
        <v>0</v>
      </c>
      <c r="I504" s="39" t="n">
        <f aca="false">MIN(I500,I503)</f>
        <v>0</v>
      </c>
      <c r="J504" s="39" t="n">
        <f aca="false">MIN(J500,J503)</f>
        <v>0</v>
      </c>
      <c r="K504" s="39" t="n">
        <f aca="false">MIN(K500,K503)</f>
        <v>0</v>
      </c>
      <c r="L504" s="39" t="n">
        <f aca="false">MIN(L500,L503)</f>
        <v>0</v>
      </c>
      <c r="M504" s="39" t="n">
        <f aca="false">MIN(M500,M503)</f>
        <v>0</v>
      </c>
      <c r="N504" s="39" t="n">
        <f aca="false">MIN(N500,N503)</f>
        <v>0</v>
      </c>
      <c r="O504" s="39" t="n">
        <f aca="false">MIN(O500,O503)</f>
        <v>0</v>
      </c>
      <c r="P504" s="39" t="n">
        <f aca="false">MIN(P500,P503)</f>
        <v>0</v>
      </c>
      <c r="Q504" s="39" t="n">
        <f aca="false">MIN(Q500,Q503)</f>
        <v>0</v>
      </c>
      <c r="R504" s="39" t="n">
        <f aca="false">MIN(R500,R503)</f>
        <v>0</v>
      </c>
      <c r="S504" s="39" t="n">
        <f aca="false">MIN(S500,S503)</f>
        <v>0</v>
      </c>
      <c r="T504" s="39" t="n">
        <f aca="false">MIN(T500,T503)</f>
        <v>0</v>
      </c>
      <c r="U504" s="39" t="n">
        <f aca="false">MIN(U500,U503)</f>
        <v>0</v>
      </c>
      <c r="V504" s="39" t="n">
        <f aca="false">MIN(V500,V503)</f>
        <v>0</v>
      </c>
      <c r="W504" s="39" t="n">
        <f aca="false">MIN(W500,W503)</f>
        <v>0</v>
      </c>
      <c r="X504" s="39" t="n">
        <f aca="false">MIN(X500,X503)</f>
        <v>0</v>
      </c>
      <c r="Y504" s="39" t="n">
        <f aca="false">MIN(Y500,Y503)</f>
        <v>0</v>
      </c>
      <c r="Z504" s="39" t="n">
        <f aca="false">MIN(Z500,Z503)</f>
        <v>0</v>
      </c>
      <c r="AA504" s="39" t="n">
        <f aca="false">MIN(AA500,AA503)</f>
        <v>0</v>
      </c>
      <c r="AB504" s="39" t="n">
        <f aca="false">MIN(AB500,AB503)</f>
        <v>0</v>
      </c>
      <c r="AC504" s="39" t="n">
        <f aca="false">MIN(AC500,AC503)</f>
        <v>0</v>
      </c>
      <c r="AD504" s="39" t="n">
        <f aca="false">MIN(AD500,AD503)</f>
        <v>0</v>
      </c>
      <c r="AE504" s="39" t="n">
        <f aca="false">MIN(AE500,AE503)</f>
        <v>0</v>
      </c>
      <c r="AF504" s="39" t="n">
        <f aca="false">MIN(AF500,AF503)</f>
        <v>0</v>
      </c>
      <c r="AG504" s="39" t="n">
        <f aca="false">MIN(AG500,AG503)</f>
        <v>0</v>
      </c>
      <c r="AH504" s="39" t="n">
        <f aca="false">MIN(AH500,AH503)</f>
        <v>0</v>
      </c>
      <c r="AI504" s="39" t="n">
        <f aca="false">MIN(AI500,AI503)</f>
        <v>0</v>
      </c>
      <c r="AJ504" s="39" t="n">
        <f aca="false">MIN(AJ500,AJ503)</f>
        <v>0</v>
      </c>
      <c r="AK504" s="39" t="n">
        <f aca="false">MIN(AK500,AK503)</f>
        <v>0</v>
      </c>
      <c r="AL504" s="39" t="n">
        <f aca="false">MIN(AL500,AL503)</f>
        <v>0</v>
      </c>
      <c r="AM504" s="39" t="n">
        <f aca="false">MIN(AM500,AM503)</f>
        <v>0</v>
      </c>
      <c r="AN504" s="39" t="n">
        <f aca="false">MIN(AN500,AN503)</f>
        <v>0</v>
      </c>
    </row>
    <row r="505" customFormat="false" ht="15" hidden="false" customHeight="false" outlineLevel="0" collapsed="false">
      <c r="A505" s="5" t="s">
        <v>158</v>
      </c>
      <c r="E505" s="39" t="n">
        <f aca="false">E500-E504</f>
        <v>6475027.23773322</v>
      </c>
      <c r="F505" s="39" t="n">
        <f aca="false">F500-F504</f>
        <v>5859320.57595681</v>
      </c>
      <c r="G505" s="39" t="n">
        <f aca="false">G500-G504</f>
        <v>5283208.22912046</v>
      </c>
      <c r="H505" s="39" t="n">
        <f aca="false">H500-H504</f>
        <v>4746441.05343186</v>
      </c>
      <c r="I505" s="39" t="n">
        <f aca="false">I500-I504</f>
        <v>4250545.27510243</v>
      </c>
      <c r="J505" s="39" t="n">
        <f aca="false">J500-J504</f>
        <v>3803388.95164149</v>
      </c>
      <c r="K505" s="39" t="n">
        <f aca="false">K500-K504</f>
        <v>3405411.1071986</v>
      </c>
      <c r="L505" s="39" t="n">
        <f aca="false">L500-L504</f>
        <v>3051593.37150615</v>
      </c>
      <c r="M505" s="39" t="n">
        <f aca="false">M500-M504</f>
        <v>2736057.93143234</v>
      </c>
      <c r="N505" s="39" t="n">
        <f aca="false">N500-N504</f>
        <v>2478482.66898442</v>
      </c>
      <c r="O505" s="39" t="n">
        <f aca="false">O500-O504</f>
        <v>2249576.29498338</v>
      </c>
      <c r="P505" s="39" t="n">
        <f aca="false">P500-P504</f>
        <v>2046035.92943242</v>
      </c>
      <c r="Q505" s="39" t="n">
        <f aca="false">Q500-Q504</f>
        <v>1863934.19519988</v>
      </c>
      <c r="R505" s="39" t="n">
        <f aca="false">R500-R504</f>
        <v>1700122.40354394</v>
      </c>
      <c r="S505" s="39" t="n">
        <f aca="false">S500-S504</f>
        <v>1552834.70804607</v>
      </c>
      <c r="T505" s="39" t="n">
        <f aca="false">T500-T504</f>
        <v>1420355.7240626</v>
      </c>
      <c r="U505" s="39" t="n">
        <f aca="false">U500-U504</f>
        <v>1300552.07032469</v>
      </c>
      <c r="V505" s="39" t="n">
        <f aca="false">V500-V504</f>
        <v>1192034.41526325</v>
      </c>
      <c r="W505" s="39" t="n">
        <f aca="false">W500-W504</f>
        <v>1033491.8133083</v>
      </c>
      <c r="X505" s="39" t="n">
        <f aca="false">X500-X504</f>
        <v>866253.493053092</v>
      </c>
      <c r="Y505" s="39" t="n">
        <f aca="false">Y500-Y504</f>
        <v>720559.421095141</v>
      </c>
      <c r="Z505" s="39" t="n">
        <f aca="false">Z500-Z504</f>
        <v>594166.639279682</v>
      </c>
      <c r="AA505" s="39" t="n">
        <f aca="false">AA500-AA504</f>
        <v>496385.671591111</v>
      </c>
      <c r="AB505" s="39" t="n">
        <f aca="false">AB500-AB504</f>
        <v>412215.57320531</v>
      </c>
      <c r="AC505" s="39" t="n">
        <f aca="false">AC500-AC504</f>
        <v>304855.07636797</v>
      </c>
      <c r="AD505" s="39" t="n">
        <f aca="false">AD500-AD504</f>
        <v>183145.03506403</v>
      </c>
      <c r="AE505" s="39" t="n">
        <f aca="false">AE500-AE504</f>
        <v>78644.3125880124</v>
      </c>
      <c r="AF505" s="39" t="n">
        <f aca="false">AF500-AF504</f>
        <v>0</v>
      </c>
      <c r="AG505" s="39" t="n">
        <f aca="false">AG500-AG504</f>
        <v>0</v>
      </c>
      <c r="AH505" s="39" t="n">
        <f aca="false">AH500-AH504</f>
        <v>0</v>
      </c>
      <c r="AI505" s="39" t="n">
        <f aca="false">AI500-AI504</f>
        <v>0</v>
      </c>
      <c r="AJ505" s="39" t="n">
        <f aca="false">AJ500-AJ504</f>
        <v>0</v>
      </c>
      <c r="AK505" s="39" t="n">
        <f aca="false">AK500-AK504</f>
        <v>0</v>
      </c>
      <c r="AL505" s="39" t="n">
        <f aca="false">AL500-AL504</f>
        <v>0</v>
      </c>
      <c r="AM505" s="39" t="n">
        <f aca="false">AM500-AM504</f>
        <v>0</v>
      </c>
      <c r="AN505" s="39" t="n">
        <f aca="false">AN500-AN504</f>
        <v>0</v>
      </c>
    </row>
    <row r="506" customFormat="false" ht="15" hidden="false" customHeight="false" outlineLevel="0" collapsed="false">
      <c r="A506" s="5" t="s">
        <v>159</v>
      </c>
      <c r="E506" s="39" t="n">
        <f aca="false">E505</f>
        <v>6475027.23773322</v>
      </c>
      <c r="F506" s="39" t="n">
        <f aca="false">F505</f>
        <v>5859320.57595681</v>
      </c>
      <c r="G506" s="39" t="n">
        <f aca="false">G505</f>
        <v>5283208.22912046</v>
      </c>
      <c r="H506" s="39" t="n">
        <f aca="false">H505</f>
        <v>4746441.05343186</v>
      </c>
      <c r="I506" s="39" t="n">
        <f aca="false">I505</f>
        <v>4250545.27510243</v>
      </c>
      <c r="J506" s="39" t="n">
        <f aca="false">J505</f>
        <v>3803388.95164149</v>
      </c>
      <c r="K506" s="39" t="n">
        <f aca="false">K505</f>
        <v>3405411.1071986</v>
      </c>
      <c r="L506" s="39" t="n">
        <f aca="false">L505</f>
        <v>3051593.37150615</v>
      </c>
      <c r="M506" s="39" t="n">
        <f aca="false">M505</f>
        <v>2736057.93143234</v>
      </c>
      <c r="N506" s="39" t="n">
        <f aca="false">N505</f>
        <v>2478482.66898442</v>
      </c>
      <c r="O506" s="39" t="n">
        <f aca="false">O505</f>
        <v>2249576.29498338</v>
      </c>
      <c r="P506" s="39" t="n">
        <f aca="false">P505</f>
        <v>2046035.92943242</v>
      </c>
      <c r="Q506" s="39" t="n">
        <f aca="false">Q505</f>
        <v>1863934.19519988</v>
      </c>
      <c r="R506" s="39" t="n">
        <f aca="false">R505</f>
        <v>1700122.40354394</v>
      </c>
      <c r="S506" s="39" t="n">
        <f aca="false">S505</f>
        <v>1552834.70804607</v>
      </c>
      <c r="T506" s="39" t="n">
        <f aca="false">T505</f>
        <v>1420355.7240626</v>
      </c>
      <c r="U506" s="39" t="n">
        <f aca="false">U505</f>
        <v>1300552.07032469</v>
      </c>
      <c r="V506" s="39" t="n">
        <f aca="false">V505</f>
        <v>1192034.41526325</v>
      </c>
      <c r="W506" s="39" t="n">
        <f aca="false">W505</f>
        <v>1033491.8133083</v>
      </c>
      <c r="X506" s="39" t="n">
        <f aca="false">X505</f>
        <v>866253.493053092</v>
      </c>
      <c r="Y506" s="39" t="n">
        <f aca="false">Y505</f>
        <v>720559.421095141</v>
      </c>
      <c r="Z506" s="39" t="n">
        <f aca="false">Z505</f>
        <v>594166.639279682</v>
      </c>
      <c r="AA506" s="39" t="n">
        <f aca="false">AA505</f>
        <v>496385.671591111</v>
      </c>
      <c r="AB506" s="39" t="n">
        <f aca="false">AB505</f>
        <v>412215.57320531</v>
      </c>
      <c r="AC506" s="39" t="n">
        <f aca="false">AC505</f>
        <v>304855.07636797</v>
      </c>
      <c r="AD506" s="39" t="n">
        <f aca="false">AD505</f>
        <v>183145.03506403</v>
      </c>
      <c r="AE506" s="39" t="n">
        <f aca="false">AE505</f>
        <v>78644.3125880124</v>
      </c>
      <c r="AF506" s="39" t="n">
        <f aca="false">AF505</f>
        <v>0</v>
      </c>
      <c r="AG506" s="39" t="n">
        <f aca="false">AG505</f>
        <v>0</v>
      </c>
      <c r="AH506" s="39" t="n">
        <f aca="false">AH505</f>
        <v>0</v>
      </c>
      <c r="AI506" s="39" t="n">
        <f aca="false">AI505</f>
        <v>0</v>
      </c>
      <c r="AJ506" s="39" t="n">
        <f aca="false">AJ505</f>
        <v>0</v>
      </c>
      <c r="AK506" s="39" t="n">
        <f aca="false">AK505</f>
        <v>0</v>
      </c>
      <c r="AL506" s="39" t="n">
        <f aca="false">AL505</f>
        <v>0</v>
      </c>
      <c r="AM506" s="39" t="n">
        <f aca="false">AM505</f>
        <v>0</v>
      </c>
      <c r="AN506" s="39" t="n">
        <f aca="false">AN505</f>
        <v>0</v>
      </c>
    </row>
    <row r="507" customFormat="false" ht="15" hidden="false" customHeight="false" outlineLevel="0" collapsed="false">
      <c r="A507" s="14" t="s">
        <v>160</v>
      </c>
      <c r="E507" s="39" t="n">
        <f aca="false">'Scenario Analysis'!E483</f>
        <v>40413288.9388702</v>
      </c>
      <c r="F507" s="39" t="n">
        <f aca="false">'Scenario Analysis'!F483</f>
        <v>38200758.1855986</v>
      </c>
      <c r="G507" s="39" t="n">
        <f aca="false">'Scenario Analysis'!G483</f>
        <v>35999563.2731289</v>
      </c>
      <c r="H507" s="39" t="n">
        <f aca="false">'Scenario Analysis'!H483</f>
        <v>33832511.9199115</v>
      </c>
      <c r="I507" s="39" t="n">
        <f aca="false">'Scenario Analysis'!I483</f>
        <v>30889448.9366038</v>
      </c>
      <c r="J507" s="39" t="n">
        <f aca="false">'Scenario Analysis'!J483</f>
        <v>27816650.6569369</v>
      </c>
      <c r="K507" s="39" t="n">
        <f aca="false">'Scenario Analysis'!K483</f>
        <v>25070721.0607225</v>
      </c>
      <c r="L507" s="39" t="n">
        <f aca="false">'Scenario Analysis'!L483</f>
        <v>22617850.6977699</v>
      </c>
      <c r="M507" s="39" t="n">
        <f aca="false">'Scenario Analysis'!M483</f>
        <v>23634721.2339511</v>
      </c>
      <c r="N507" s="39" t="n">
        <f aca="false">'Scenario Analysis'!N483</f>
        <v>21426553.2133916</v>
      </c>
      <c r="O507" s="39" t="n">
        <f aca="false">'Scenario Analysis'!O483</f>
        <v>19402549.6432669</v>
      </c>
      <c r="P507" s="39" t="n">
        <f aca="false">'Scenario Analysis'!P483</f>
        <v>17564223.7936413</v>
      </c>
      <c r="Q507" s="39" t="n">
        <f aca="false">'Scenario Analysis'!Q483</f>
        <v>15854408.1246825</v>
      </c>
      <c r="R507" s="39" t="n">
        <f aca="false">'Scenario Analysis'!R483</f>
        <v>14293199.2259083</v>
      </c>
      <c r="S507" s="39" t="n">
        <f aca="false">'Scenario Analysis'!S483</f>
        <v>12875517.5902588</v>
      </c>
      <c r="T507" s="39" t="n">
        <f aca="false">'Scenario Analysis'!T483</f>
        <v>11597766.4566431</v>
      </c>
      <c r="U507" s="39" t="n">
        <f aca="false">'Scenario Analysis'!U483</f>
        <v>10465572.3071105</v>
      </c>
      <c r="V507" s="39" t="n">
        <f aca="false">'Scenario Analysis'!V483</f>
        <v>15136887.2530629</v>
      </c>
      <c r="W507" s="39" t="n">
        <f aca="false">'Scenario Analysis'!W483</f>
        <v>15977687.3411801</v>
      </c>
      <c r="X507" s="39" t="n">
        <f aca="false">'Scenario Analysis'!X483</f>
        <v>13968967.2070621</v>
      </c>
      <c r="Y507" s="39" t="n">
        <f aca="false">'Scenario Analysis'!Y483</f>
        <v>12182964.8365098</v>
      </c>
      <c r="Z507" s="39" t="n">
        <f aca="false">'Scenario Analysis'!Z483</f>
        <v>10605444.2712876</v>
      </c>
      <c r="AA507" s="39" t="n">
        <f aca="false">'Scenario Analysis'!AA483</f>
        <v>9201945.6584245</v>
      </c>
      <c r="AB507" s="39" t="n">
        <f aca="false">'Scenario Analysis'!AB483</f>
        <v>7957062.44004776</v>
      </c>
      <c r="AC507" s="39" t="n">
        <f aca="false">'Scenario Analysis'!AC483</f>
        <v>6892278.59301162</v>
      </c>
      <c r="AD507" s="39" t="n">
        <f aca="false">'Scenario Analysis'!AD483</f>
        <v>5951536.53014656</v>
      </c>
      <c r="AE507" s="39" t="n">
        <f aca="false">'Scenario Analysis'!AE483</f>
        <v>5104785.07844781</v>
      </c>
      <c r="AF507" s="39" t="n">
        <f aca="false">'Scenario Analysis'!AF483</f>
        <v>1656916.27381064</v>
      </c>
      <c r="AG507" s="39" t="n">
        <f aca="false">'Scenario Analysis'!AG483</f>
        <v>148607.872542543</v>
      </c>
      <c r="AH507" s="39" t="n">
        <f aca="false">'Scenario Analysis'!AH483</f>
        <v>115283.266829421</v>
      </c>
      <c r="AI507" s="39" t="n">
        <f aca="false">'Scenario Analysis'!AI483</f>
        <v>86452.9209302391</v>
      </c>
      <c r="AJ507" s="39" t="n">
        <f aca="false">'Scenario Analysis'!AJ483</f>
        <v>61599.8457089566</v>
      </c>
      <c r="AK507" s="39" t="n">
        <f aca="false">'Scenario Analysis'!AK483</f>
        <v>42672.4912341841</v>
      </c>
      <c r="AL507" s="39" t="n">
        <f aca="false">'Scenario Analysis'!AL483</f>
        <v>27502.0701446125</v>
      </c>
      <c r="AM507" s="39" t="n">
        <f aca="false">'Scenario Analysis'!AM483</f>
        <v>14476.6866418108</v>
      </c>
      <c r="AN507" s="39" t="n">
        <f aca="false">'Scenario Analysis'!AN483</f>
        <v>3349.74231397607</v>
      </c>
    </row>
    <row r="508" customFormat="false" ht="15" hidden="false" customHeight="false" outlineLevel="0" collapsed="false">
      <c r="A508" s="5" t="s">
        <v>161</v>
      </c>
      <c r="E508" s="39" t="n">
        <f aca="false">MIN(E507,'Inputs &amp; Assumptions'!$C$36-E497)</f>
        <v>0</v>
      </c>
      <c r="F508" s="39" t="n">
        <f aca="false">MIN(F507,'Inputs &amp; Assumptions'!$C$36-F497)</f>
        <v>0</v>
      </c>
      <c r="G508" s="39" t="n">
        <f aca="false">MIN(G507,'Inputs &amp; Assumptions'!$C$36-G497)</f>
        <v>0</v>
      </c>
      <c r="H508" s="39" t="n">
        <f aca="false">MIN(H507,'Inputs &amp; Assumptions'!$C$36-H497)</f>
        <v>0</v>
      </c>
      <c r="I508" s="39" t="n">
        <f aca="false">MIN(I507,'Inputs &amp; Assumptions'!$C$36-I497)</f>
        <v>0</v>
      </c>
      <c r="J508" s="39" t="n">
        <f aca="false">MIN(J507,'Inputs &amp; Assumptions'!$C$36-J497)</f>
        <v>0</v>
      </c>
      <c r="K508" s="39" t="n">
        <f aca="false">MIN(K507,'Inputs &amp; Assumptions'!$C$36-K497)</f>
        <v>0</v>
      </c>
      <c r="L508" s="39" t="n">
        <f aca="false">MIN(L507,'Inputs &amp; Assumptions'!$C$36-L497)</f>
        <v>0</v>
      </c>
      <c r="M508" s="39" t="n">
        <f aca="false">MIN(M507,'Inputs &amp; Assumptions'!$C$36-M497)</f>
        <v>0</v>
      </c>
      <c r="N508" s="39" t="n">
        <f aca="false">MIN(N507,'Inputs &amp; Assumptions'!$C$36-N497)</f>
        <v>0</v>
      </c>
      <c r="O508" s="39" t="n">
        <f aca="false">MIN(O507,'Inputs &amp; Assumptions'!$C$36-O497)</f>
        <v>0</v>
      </c>
      <c r="P508" s="39" t="n">
        <f aca="false">MIN(P507,'Inputs &amp; Assumptions'!$C$36-P497)</f>
        <v>0</v>
      </c>
      <c r="Q508" s="39" t="n">
        <f aca="false">MIN(Q507,'Inputs &amp; Assumptions'!$C$36-Q497)</f>
        <v>0</v>
      </c>
      <c r="R508" s="39" t="n">
        <f aca="false">MIN(R507,'Inputs &amp; Assumptions'!$C$36-R497)</f>
        <v>0</v>
      </c>
      <c r="S508" s="39" t="n">
        <f aca="false">MIN(S507,'Inputs &amp; Assumptions'!$C$36-S497)</f>
        <v>0</v>
      </c>
      <c r="T508" s="39" t="n">
        <f aca="false">MIN(T507,'Inputs &amp; Assumptions'!$C$36-T497)</f>
        <v>0</v>
      </c>
      <c r="U508" s="39" t="n">
        <f aca="false">MIN(U507,'Inputs &amp; Assumptions'!$C$36-U497)</f>
        <v>0</v>
      </c>
      <c r="V508" s="39" t="n">
        <f aca="false">MIN(V507,'Inputs &amp; Assumptions'!$C$36-V497)</f>
        <v>0</v>
      </c>
      <c r="W508" s="39" t="n">
        <f aca="false">MIN(W507,'Inputs &amp; Assumptions'!$C$36-W497)</f>
        <v>0</v>
      </c>
      <c r="X508" s="39" t="n">
        <f aca="false">MIN(X507,'Inputs &amp; Assumptions'!$C$36-X497)</f>
        <v>0</v>
      </c>
      <c r="Y508" s="39" t="n">
        <f aca="false">MIN(Y507,'Inputs &amp; Assumptions'!$C$36-Y497)</f>
        <v>0</v>
      </c>
      <c r="Z508" s="39" t="n">
        <f aca="false">MIN(Z507,'Inputs &amp; Assumptions'!$C$36-Z497)</f>
        <v>0</v>
      </c>
      <c r="AA508" s="39" t="n">
        <f aca="false">MIN(AA507,'Inputs &amp; Assumptions'!$C$36-AA497)</f>
        <v>0</v>
      </c>
      <c r="AB508" s="39" t="n">
        <f aca="false">MIN(AB507,'Inputs &amp; Assumptions'!$C$36-AB497)</f>
        <v>0</v>
      </c>
      <c r="AC508" s="39" t="n">
        <f aca="false">MIN(AC507,'Inputs &amp; Assumptions'!$C$36-AC497)</f>
        <v>0</v>
      </c>
      <c r="AD508" s="39" t="n">
        <f aca="false">MIN(AD507,'Inputs &amp; Assumptions'!$C$36-AD497)</f>
        <v>0</v>
      </c>
      <c r="AE508" s="39" t="n">
        <f aca="false">MIN(AE507,'Inputs &amp; Assumptions'!$C$36-AE497)</f>
        <v>0</v>
      </c>
      <c r="AF508" s="39" t="n">
        <f aca="false">MIN(AF507,'Inputs &amp; Assumptions'!$C$36-AF497)</f>
        <v>10625.5135909286</v>
      </c>
      <c r="AG508" s="39" t="n">
        <f aca="false">MIN(AG507,'Inputs &amp; Assumptions'!$C$36-AG497)</f>
        <v>37500</v>
      </c>
      <c r="AH508" s="39" t="n">
        <f aca="false">MIN(AH507,'Inputs &amp; Assumptions'!$C$36-AH497)</f>
        <v>37500</v>
      </c>
      <c r="AI508" s="39" t="n">
        <f aca="false">MIN(AI507,'Inputs &amp; Assumptions'!$C$36-AI497)</f>
        <v>37500</v>
      </c>
      <c r="AJ508" s="39" t="n">
        <f aca="false">MIN(AJ507,'Inputs &amp; Assumptions'!$C$36-AJ497)</f>
        <v>37500</v>
      </c>
      <c r="AK508" s="39" t="n">
        <f aca="false">MIN(AK507,'Inputs &amp; Assumptions'!$C$36-AK497)</f>
        <v>37500</v>
      </c>
      <c r="AL508" s="39" t="n">
        <f aca="false">MIN(AL507,'Inputs &amp; Assumptions'!$C$36-AL497)</f>
        <v>27502.0701446125</v>
      </c>
      <c r="AM508" s="39" t="n">
        <f aca="false">MIN(AM507,'Inputs &amp; Assumptions'!$C$36-AM497)</f>
        <v>14476.6866418108</v>
      </c>
      <c r="AN508" s="39" t="n">
        <f aca="false">MIN(AN507,'Inputs &amp; Assumptions'!$C$36-AN497)</f>
        <v>3349.74231397607</v>
      </c>
    </row>
    <row r="509" customFormat="false" ht="15" hidden="false" customHeight="false" outlineLevel="0" collapsed="false">
      <c r="A509" s="5" t="s">
        <v>162</v>
      </c>
      <c r="E509" s="39" t="n">
        <f aca="false">E507-E508</f>
        <v>40413288.9388702</v>
      </c>
      <c r="F509" s="39" t="n">
        <f aca="false">F507-F508</f>
        <v>38200758.1855986</v>
      </c>
      <c r="G509" s="39" t="n">
        <f aca="false">G507-G508</f>
        <v>35999563.2731289</v>
      </c>
      <c r="H509" s="39" t="n">
        <f aca="false">H507-H508</f>
        <v>33832511.9199115</v>
      </c>
      <c r="I509" s="39" t="n">
        <f aca="false">I507-I508</f>
        <v>30889448.9366038</v>
      </c>
      <c r="J509" s="39" t="n">
        <f aca="false">J507-J508</f>
        <v>27816650.6569369</v>
      </c>
      <c r="K509" s="39" t="n">
        <f aca="false">K507-K508</f>
        <v>25070721.0607225</v>
      </c>
      <c r="L509" s="39" t="n">
        <f aca="false">L507-L508</f>
        <v>22617850.6977699</v>
      </c>
      <c r="M509" s="39" t="n">
        <f aca="false">M507-M508</f>
        <v>23634721.2339511</v>
      </c>
      <c r="N509" s="39" t="n">
        <f aca="false">N507-N508</f>
        <v>21426553.2133916</v>
      </c>
      <c r="O509" s="39" t="n">
        <f aca="false">O507-O508</f>
        <v>19402549.6432669</v>
      </c>
      <c r="P509" s="39" t="n">
        <f aca="false">P507-P508</f>
        <v>17564223.7936413</v>
      </c>
      <c r="Q509" s="39" t="n">
        <f aca="false">Q507-Q508</f>
        <v>15854408.1246825</v>
      </c>
      <c r="R509" s="39" t="n">
        <f aca="false">R507-R508</f>
        <v>14293199.2259083</v>
      </c>
      <c r="S509" s="39" t="n">
        <f aca="false">S507-S508</f>
        <v>12875517.5902588</v>
      </c>
      <c r="T509" s="39" t="n">
        <f aca="false">T507-T508</f>
        <v>11597766.4566431</v>
      </c>
      <c r="U509" s="39" t="n">
        <f aca="false">U507-U508</f>
        <v>10465572.3071105</v>
      </c>
      <c r="V509" s="39" t="n">
        <f aca="false">V507-V508</f>
        <v>15136887.2530629</v>
      </c>
      <c r="W509" s="39" t="n">
        <f aca="false">W507-W508</f>
        <v>15977687.3411801</v>
      </c>
      <c r="X509" s="39" t="n">
        <f aca="false">X507-X508</f>
        <v>13968967.2070621</v>
      </c>
      <c r="Y509" s="39" t="n">
        <f aca="false">Y507-Y508</f>
        <v>12182964.8365098</v>
      </c>
      <c r="Z509" s="39" t="n">
        <f aca="false">Z507-Z508</f>
        <v>10605444.2712876</v>
      </c>
      <c r="AA509" s="39" t="n">
        <f aca="false">AA507-AA508</f>
        <v>9201945.6584245</v>
      </c>
      <c r="AB509" s="39" t="n">
        <f aca="false">AB507-AB508</f>
        <v>7957062.44004776</v>
      </c>
      <c r="AC509" s="39" t="n">
        <f aca="false">AC507-AC508</f>
        <v>6892278.59301162</v>
      </c>
      <c r="AD509" s="39" t="n">
        <f aca="false">AD507-AD508</f>
        <v>5951536.53014656</v>
      </c>
      <c r="AE509" s="39" t="n">
        <f aca="false">AE507-AE508</f>
        <v>5104785.07844781</v>
      </c>
      <c r="AF509" s="39" t="n">
        <f aca="false">AF507-AF508</f>
        <v>1646290.76021971</v>
      </c>
      <c r="AG509" s="39" t="n">
        <f aca="false">AG507-AG508</f>
        <v>111107.872542543</v>
      </c>
      <c r="AH509" s="39" t="n">
        <f aca="false">AH507-AH508</f>
        <v>77783.2668294212</v>
      </c>
      <c r="AI509" s="39" t="n">
        <f aca="false">AI507-AI508</f>
        <v>48952.9209302391</v>
      </c>
      <c r="AJ509" s="39" t="n">
        <f aca="false">AJ507-AJ508</f>
        <v>24099.8457089566</v>
      </c>
      <c r="AK509" s="39" t="n">
        <f aca="false">AK507-AK508</f>
        <v>5172.49123418413</v>
      </c>
      <c r="AL509" s="39" t="n">
        <f aca="false">AL507-AL508</f>
        <v>0</v>
      </c>
      <c r="AM509" s="39" t="n">
        <f aca="false">AM507-AM508</f>
        <v>0</v>
      </c>
      <c r="AN509" s="39" t="n">
        <f aca="false">AN507-AN508</f>
        <v>0</v>
      </c>
    </row>
    <row r="510" customFormat="false" ht="15" hidden="false" customHeight="false" outlineLevel="0" collapsed="false">
      <c r="A510" s="5" t="s">
        <v>163</v>
      </c>
      <c r="E510" s="39" t="n">
        <f aca="false">MIN(E509,E501)</f>
        <v>0</v>
      </c>
      <c r="F510" s="39" t="n">
        <f aca="false">MIN(F509,F501)</f>
        <v>0</v>
      </c>
      <c r="G510" s="39" t="n">
        <f aca="false">MIN(G509,G501)</f>
        <v>0</v>
      </c>
      <c r="H510" s="39" t="n">
        <f aca="false">MIN(H509,H501)</f>
        <v>0</v>
      </c>
      <c r="I510" s="39" t="n">
        <f aca="false">MIN(I509,I501)</f>
        <v>0</v>
      </c>
      <c r="J510" s="39" t="n">
        <f aca="false">MIN(J509,J501)</f>
        <v>0</v>
      </c>
      <c r="K510" s="39" t="n">
        <f aca="false">MIN(K509,K501)</f>
        <v>0</v>
      </c>
      <c r="L510" s="39" t="n">
        <f aca="false">MIN(L509,L501)</f>
        <v>0</v>
      </c>
      <c r="M510" s="39" t="n">
        <f aca="false">MIN(M509,M501)</f>
        <v>0</v>
      </c>
      <c r="N510" s="39" t="n">
        <f aca="false">MIN(N509,N501)</f>
        <v>0</v>
      </c>
      <c r="O510" s="39" t="n">
        <f aca="false">MIN(O509,O501)</f>
        <v>0</v>
      </c>
      <c r="P510" s="39" t="n">
        <f aca="false">MIN(P509,P501)</f>
        <v>0</v>
      </c>
      <c r="Q510" s="39" t="n">
        <f aca="false">MIN(Q509,Q501)</f>
        <v>0</v>
      </c>
      <c r="R510" s="39" t="n">
        <f aca="false">MIN(R509,R501)</f>
        <v>0</v>
      </c>
      <c r="S510" s="39" t="n">
        <f aca="false">MIN(S509,S501)</f>
        <v>0</v>
      </c>
      <c r="T510" s="39" t="n">
        <f aca="false">MIN(T509,T501)</f>
        <v>0</v>
      </c>
      <c r="U510" s="39" t="n">
        <f aca="false">MIN(U509,U501)</f>
        <v>0</v>
      </c>
      <c r="V510" s="39" t="n">
        <f aca="false">MIN(V509,V501)</f>
        <v>0</v>
      </c>
      <c r="W510" s="39" t="n">
        <f aca="false">MIN(W509,W501)</f>
        <v>0</v>
      </c>
      <c r="X510" s="39" t="n">
        <f aca="false">MIN(X509,X501)</f>
        <v>0</v>
      </c>
      <c r="Y510" s="39" t="n">
        <f aca="false">MIN(Y509,Y501)</f>
        <v>0</v>
      </c>
      <c r="Z510" s="39" t="n">
        <f aca="false">MIN(Z509,Z501)</f>
        <v>0</v>
      </c>
      <c r="AA510" s="39" t="n">
        <f aca="false">MIN(AA509,AA501)</f>
        <v>0</v>
      </c>
      <c r="AB510" s="39" t="n">
        <f aca="false">MIN(AB509,AB501)</f>
        <v>0</v>
      </c>
      <c r="AC510" s="39" t="n">
        <f aca="false">MIN(AC509,AC501)</f>
        <v>0</v>
      </c>
      <c r="AD510" s="39" t="n">
        <f aca="false">MIN(AD509,AD501)</f>
        <v>0</v>
      </c>
      <c r="AE510" s="39" t="n">
        <f aca="false">MIN(AE509,AE501)</f>
        <v>0</v>
      </c>
      <c r="AF510" s="39" t="n">
        <f aca="false">MIN(AF509,AF501)</f>
        <v>0</v>
      </c>
      <c r="AG510" s="39" t="n">
        <f aca="false">MIN(AG509,AG501)</f>
        <v>0</v>
      </c>
      <c r="AH510" s="39" t="n">
        <f aca="false">MIN(AH509,AH501)</f>
        <v>0</v>
      </c>
      <c r="AI510" s="39" t="n">
        <f aca="false">MIN(AI509,AI501)</f>
        <v>0</v>
      </c>
      <c r="AJ510" s="39" t="n">
        <f aca="false">MIN(AJ509,AJ501)</f>
        <v>0</v>
      </c>
      <c r="AK510" s="39" t="n">
        <f aca="false">MIN(AK509,AK501)</f>
        <v>0</v>
      </c>
      <c r="AL510" s="39" t="n">
        <f aca="false">MIN(AL509,AL501)</f>
        <v>0</v>
      </c>
      <c r="AM510" s="39" t="n">
        <f aca="false">MIN(AM509,AM501)</f>
        <v>0</v>
      </c>
      <c r="AN510" s="39" t="n">
        <f aca="false">MIN(AN509,AN501)</f>
        <v>0</v>
      </c>
    </row>
    <row r="511" customFormat="false" ht="15" hidden="false" customHeight="false" outlineLevel="0" collapsed="false">
      <c r="A511" s="5" t="s">
        <v>164</v>
      </c>
      <c r="E511" s="39" t="n">
        <f aca="false">E509-E510</f>
        <v>40413288.9388702</v>
      </c>
      <c r="F511" s="39" t="n">
        <f aca="false">F509-F510</f>
        <v>38200758.1855986</v>
      </c>
      <c r="G511" s="39" t="n">
        <f aca="false">G509-G510</f>
        <v>35999563.2731289</v>
      </c>
      <c r="H511" s="39" t="n">
        <f aca="false">H509-H510</f>
        <v>33832511.9199115</v>
      </c>
      <c r="I511" s="39" t="n">
        <f aca="false">I509-I510</f>
        <v>30889448.9366038</v>
      </c>
      <c r="J511" s="39" t="n">
        <f aca="false">J509-J510</f>
        <v>27816650.6569369</v>
      </c>
      <c r="K511" s="39" t="n">
        <f aca="false">K509-K510</f>
        <v>25070721.0607225</v>
      </c>
      <c r="L511" s="39" t="n">
        <f aca="false">L509-L510</f>
        <v>22617850.6977699</v>
      </c>
      <c r="M511" s="39" t="n">
        <f aca="false">M509-M510</f>
        <v>23634721.2339511</v>
      </c>
      <c r="N511" s="39" t="n">
        <f aca="false">N509-N510</f>
        <v>21426553.2133916</v>
      </c>
      <c r="O511" s="39" t="n">
        <f aca="false">O509-O510</f>
        <v>19402549.6432669</v>
      </c>
      <c r="P511" s="39" t="n">
        <f aca="false">P509-P510</f>
        <v>17564223.7936413</v>
      </c>
      <c r="Q511" s="39" t="n">
        <f aca="false">Q509-Q510</f>
        <v>15854408.1246825</v>
      </c>
      <c r="R511" s="39" t="n">
        <f aca="false">R509-R510</f>
        <v>14293199.2259083</v>
      </c>
      <c r="S511" s="39" t="n">
        <f aca="false">S509-S510</f>
        <v>12875517.5902588</v>
      </c>
      <c r="T511" s="39" t="n">
        <f aca="false">T509-T510</f>
        <v>11597766.4566431</v>
      </c>
      <c r="U511" s="39" t="n">
        <f aca="false">U509-U510</f>
        <v>10465572.3071105</v>
      </c>
      <c r="V511" s="39" t="n">
        <f aca="false">V509-V510</f>
        <v>15136887.2530629</v>
      </c>
      <c r="W511" s="39" t="n">
        <f aca="false">W509-W510</f>
        <v>15977687.3411801</v>
      </c>
      <c r="X511" s="39" t="n">
        <f aca="false">X509-X510</f>
        <v>13968967.2070621</v>
      </c>
      <c r="Y511" s="39" t="n">
        <f aca="false">Y509-Y510</f>
        <v>12182964.8365098</v>
      </c>
      <c r="Z511" s="39" t="n">
        <f aca="false">Z509-Z510</f>
        <v>10605444.2712876</v>
      </c>
      <c r="AA511" s="39" t="n">
        <f aca="false">AA509-AA510</f>
        <v>9201945.6584245</v>
      </c>
      <c r="AB511" s="39" t="n">
        <f aca="false">AB509-AB510</f>
        <v>7957062.44004776</v>
      </c>
      <c r="AC511" s="39" t="n">
        <f aca="false">AC509-AC510</f>
        <v>6892278.59301162</v>
      </c>
      <c r="AD511" s="39" t="n">
        <f aca="false">AD509-AD510</f>
        <v>5951536.53014656</v>
      </c>
      <c r="AE511" s="39" t="n">
        <f aca="false">AE509-AE510</f>
        <v>5104785.07844781</v>
      </c>
      <c r="AF511" s="39" t="n">
        <f aca="false">AF509-AF510</f>
        <v>1646290.76021971</v>
      </c>
      <c r="AG511" s="39" t="n">
        <f aca="false">AG509-AG510</f>
        <v>111107.872542543</v>
      </c>
      <c r="AH511" s="39" t="n">
        <f aca="false">AH509-AH510</f>
        <v>77783.2668294212</v>
      </c>
      <c r="AI511" s="39" t="n">
        <f aca="false">AI509-AI510</f>
        <v>48952.9209302391</v>
      </c>
      <c r="AJ511" s="39" t="n">
        <f aca="false">AJ509-AJ510</f>
        <v>24099.8457089566</v>
      </c>
      <c r="AK511" s="39" t="n">
        <f aca="false">AK509-AK510</f>
        <v>5172.49123418413</v>
      </c>
      <c r="AL511" s="39" t="n">
        <f aca="false">AL509-AL510</f>
        <v>0</v>
      </c>
      <c r="AM511" s="39" t="n">
        <f aca="false">AM509-AM510</f>
        <v>0</v>
      </c>
      <c r="AN511" s="39" t="n">
        <f aca="false">AN509-AN510</f>
        <v>0</v>
      </c>
    </row>
    <row r="512" customFormat="false" ht="15" hidden="false" customHeight="false" outlineLevel="0" collapsed="false">
      <c r="A512" s="5" t="s">
        <v>165</v>
      </c>
      <c r="E512" s="39" t="n">
        <f aca="false">MIN(E511,E503-E504)</f>
        <v>0</v>
      </c>
      <c r="F512" s="39" t="n">
        <f aca="false">MIN(F511,F503-F504)</f>
        <v>0</v>
      </c>
      <c r="G512" s="39" t="n">
        <f aca="false">MIN(G511,G503-G504)</f>
        <v>0</v>
      </c>
      <c r="H512" s="39" t="n">
        <f aca="false">MIN(H511,H503-H504)</f>
        <v>0</v>
      </c>
      <c r="I512" s="39" t="n">
        <f aca="false">MIN(I511,I503-I504)</f>
        <v>0</v>
      </c>
      <c r="J512" s="39" t="n">
        <f aca="false">MIN(J511,J503-J504)</f>
        <v>0</v>
      </c>
      <c r="K512" s="39" t="n">
        <f aca="false">MIN(K511,K503-K504)</f>
        <v>0</v>
      </c>
      <c r="L512" s="39" t="n">
        <f aca="false">MIN(L511,L503-L504)</f>
        <v>0</v>
      </c>
      <c r="M512" s="39" t="n">
        <f aca="false">MIN(M511,M503-M504)</f>
        <v>0</v>
      </c>
      <c r="N512" s="39" t="n">
        <f aca="false">MIN(N511,N503-N504)</f>
        <v>0</v>
      </c>
      <c r="O512" s="39" t="n">
        <f aca="false">MIN(O511,O503-O504)</f>
        <v>0</v>
      </c>
      <c r="P512" s="39" t="n">
        <f aca="false">MIN(P511,P503-P504)</f>
        <v>0</v>
      </c>
      <c r="Q512" s="39" t="n">
        <f aca="false">MIN(Q511,Q503-Q504)</f>
        <v>0</v>
      </c>
      <c r="R512" s="39" t="n">
        <f aca="false">MIN(R511,R503-R504)</f>
        <v>0</v>
      </c>
      <c r="S512" s="39" t="n">
        <f aca="false">MIN(S511,S503-S504)</f>
        <v>0</v>
      </c>
      <c r="T512" s="39" t="n">
        <f aca="false">MIN(T511,T503-T504)</f>
        <v>0</v>
      </c>
      <c r="U512" s="39" t="n">
        <f aca="false">MIN(U511,U503-U504)</f>
        <v>0</v>
      </c>
      <c r="V512" s="39" t="n">
        <f aca="false">MIN(V511,V503-V504)</f>
        <v>0</v>
      </c>
      <c r="W512" s="39" t="n">
        <f aca="false">MIN(W511,W503-W504)</f>
        <v>0</v>
      </c>
      <c r="X512" s="39" t="n">
        <f aca="false">MIN(X511,X503-X504)</f>
        <v>0</v>
      </c>
      <c r="Y512" s="39" t="n">
        <f aca="false">MIN(Y511,Y503-Y504)</f>
        <v>0</v>
      </c>
      <c r="Z512" s="39" t="n">
        <f aca="false">MIN(Z511,Z503-Z504)</f>
        <v>0</v>
      </c>
      <c r="AA512" s="39" t="n">
        <f aca="false">MIN(AA511,AA503-AA504)</f>
        <v>0</v>
      </c>
      <c r="AB512" s="39" t="n">
        <f aca="false">MIN(AB511,AB503-AB504)</f>
        <v>0</v>
      </c>
      <c r="AC512" s="39" t="n">
        <f aca="false">MIN(AC511,AC503-AC504)</f>
        <v>0</v>
      </c>
      <c r="AD512" s="39" t="n">
        <f aca="false">MIN(AD511,AD503-AD504)</f>
        <v>0</v>
      </c>
      <c r="AE512" s="39" t="n">
        <f aca="false">MIN(AE511,AE503-AE504)</f>
        <v>0</v>
      </c>
      <c r="AF512" s="39" t="n">
        <f aca="false">MIN(AF511,AF503-AF504)</f>
        <v>0</v>
      </c>
      <c r="AG512" s="39" t="n">
        <f aca="false">MIN(AG511,AG503-AG504)</f>
        <v>0</v>
      </c>
      <c r="AH512" s="39" t="n">
        <f aca="false">MIN(AH511,AH503-AH504)</f>
        <v>0</v>
      </c>
      <c r="AI512" s="39" t="n">
        <f aca="false">MIN(AI511,AI503-AI504)</f>
        <v>0</v>
      </c>
      <c r="AJ512" s="39" t="n">
        <f aca="false">MIN(AJ511,AJ503-AJ504)</f>
        <v>0</v>
      </c>
      <c r="AK512" s="39" t="n">
        <f aca="false">MIN(AK511,AK503-AK504)</f>
        <v>0</v>
      </c>
      <c r="AL512" s="39" t="n">
        <f aca="false">MIN(AL511,AL503-AL504)</f>
        <v>0</v>
      </c>
      <c r="AM512" s="39" t="n">
        <f aca="false">MIN(AM511,AM503-AM504)</f>
        <v>0</v>
      </c>
      <c r="AN512" s="39" t="n">
        <f aca="false">MIN(AN511,AN503-AN504)</f>
        <v>0</v>
      </c>
    </row>
    <row r="513" customFormat="false" ht="15" hidden="false" customHeight="false" outlineLevel="0" collapsed="false">
      <c r="A513" s="5" t="s">
        <v>166</v>
      </c>
      <c r="E513" s="39" t="n">
        <f aca="false">E511-E512</f>
        <v>40413288.9388702</v>
      </c>
      <c r="F513" s="39" t="n">
        <f aca="false">F511-F512</f>
        <v>38200758.1855986</v>
      </c>
      <c r="G513" s="39" t="n">
        <f aca="false">G511-G512</f>
        <v>35999563.2731289</v>
      </c>
      <c r="H513" s="39" t="n">
        <f aca="false">H511-H512</f>
        <v>33832511.9199115</v>
      </c>
      <c r="I513" s="39" t="n">
        <f aca="false">I511-I512</f>
        <v>30889448.9366038</v>
      </c>
      <c r="J513" s="39" t="n">
        <f aca="false">J511-J512</f>
        <v>27816650.6569369</v>
      </c>
      <c r="K513" s="39" t="n">
        <f aca="false">K511-K512</f>
        <v>25070721.0607225</v>
      </c>
      <c r="L513" s="39" t="n">
        <f aca="false">L511-L512</f>
        <v>22617850.6977699</v>
      </c>
      <c r="M513" s="39" t="n">
        <f aca="false">M511-M512</f>
        <v>23634721.2339511</v>
      </c>
      <c r="N513" s="39" t="n">
        <f aca="false">N511-N512</f>
        <v>21426553.2133916</v>
      </c>
      <c r="O513" s="39" t="n">
        <f aca="false">O511-O512</f>
        <v>19402549.6432669</v>
      </c>
      <c r="P513" s="39" t="n">
        <f aca="false">P511-P512</f>
        <v>17564223.7936413</v>
      </c>
      <c r="Q513" s="39" t="n">
        <f aca="false">Q511-Q512</f>
        <v>15854408.1246825</v>
      </c>
      <c r="R513" s="39" t="n">
        <f aca="false">R511-R512</f>
        <v>14293199.2259083</v>
      </c>
      <c r="S513" s="39" t="n">
        <f aca="false">S511-S512</f>
        <v>12875517.5902588</v>
      </c>
      <c r="T513" s="39" t="n">
        <f aca="false">T511-T512</f>
        <v>11597766.4566431</v>
      </c>
      <c r="U513" s="39" t="n">
        <f aca="false">U511-U512</f>
        <v>10465572.3071105</v>
      </c>
      <c r="V513" s="39" t="n">
        <f aca="false">V511-V512</f>
        <v>15136887.2530629</v>
      </c>
      <c r="W513" s="39" t="n">
        <f aca="false">W511-W512</f>
        <v>15977687.3411801</v>
      </c>
      <c r="X513" s="39" t="n">
        <f aca="false">X511-X512</f>
        <v>13968967.2070621</v>
      </c>
      <c r="Y513" s="39" t="n">
        <f aca="false">Y511-Y512</f>
        <v>12182964.8365098</v>
      </c>
      <c r="Z513" s="39" t="n">
        <f aca="false">Z511-Z512</f>
        <v>10605444.2712876</v>
      </c>
      <c r="AA513" s="39" t="n">
        <f aca="false">AA511-AA512</f>
        <v>9201945.6584245</v>
      </c>
      <c r="AB513" s="39" t="n">
        <f aca="false">AB511-AB512</f>
        <v>7957062.44004776</v>
      </c>
      <c r="AC513" s="39" t="n">
        <f aca="false">AC511-AC512</f>
        <v>6892278.59301162</v>
      </c>
      <c r="AD513" s="39" t="n">
        <f aca="false">AD511-AD512</f>
        <v>5951536.53014656</v>
      </c>
      <c r="AE513" s="39" t="n">
        <f aca="false">AE511-AE512</f>
        <v>5104785.07844781</v>
      </c>
      <c r="AF513" s="39" t="n">
        <f aca="false">AF511-AF512</f>
        <v>1646290.76021971</v>
      </c>
      <c r="AG513" s="39" t="n">
        <f aca="false">AG511-AG512</f>
        <v>111107.872542543</v>
      </c>
      <c r="AH513" s="39" t="n">
        <f aca="false">AH511-AH512</f>
        <v>77783.2668294212</v>
      </c>
      <c r="AI513" s="39" t="n">
        <f aca="false">AI511-AI512</f>
        <v>48952.9209302391</v>
      </c>
      <c r="AJ513" s="39" t="n">
        <f aca="false">AJ511-AJ512</f>
        <v>24099.8457089566</v>
      </c>
      <c r="AK513" s="39" t="n">
        <f aca="false">AK511-AK512</f>
        <v>5172.49123418413</v>
      </c>
      <c r="AL513" s="39" t="n">
        <f aca="false">AL511-AL512</f>
        <v>0</v>
      </c>
      <c r="AM513" s="39" t="n">
        <f aca="false">AM511-AM512</f>
        <v>0</v>
      </c>
      <c r="AN513" s="39" t="n">
        <f aca="false">AN511-AN512</f>
        <v>0</v>
      </c>
    </row>
    <row r="514" customFormat="false" ht="15" hidden="false" customHeight="false" outlineLevel="0" collapsed="false">
      <c r="A514" s="5" t="s">
        <v>167</v>
      </c>
      <c r="E514" s="18" t="n">
        <f aca="false">IF('Scenario Analysis'!E486&gt;=20,'Inputs &amp; Assumptions'!$C$37,IF('Scenario Analysis'!E486&gt;=10,'Inputs &amp; Assumptions'!$C$38,'Inputs &amp; Assumptions'!$C$39))</f>
        <v>0.7</v>
      </c>
      <c r="F514" s="18" t="n">
        <f aca="false">IF('Scenario Analysis'!F486&gt;=20,'Inputs &amp; Assumptions'!$C$37,IF('Scenario Analysis'!F486&gt;=10,'Inputs &amp; Assumptions'!$C$38,'Inputs &amp; Assumptions'!$C$39))</f>
        <v>0.7</v>
      </c>
      <c r="G514" s="18" t="n">
        <f aca="false">IF('Scenario Analysis'!G486&gt;=20,'Inputs &amp; Assumptions'!$C$37,IF('Scenario Analysis'!G486&gt;=10,'Inputs &amp; Assumptions'!$C$38,'Inputs &amp; Assumptions'!$C$39))</f>
        <v>0.7</v>
      </c>
      <c r="H514" s="18" t="n">
        <f aca="false">IF('Scenario Analysis'!H486&gt;=20,'Inputs &amp; Assumptions'!$C$37,IF('Scenario Analysis'!H486&gt;=10,'Inputs &amp; Assumptions'!$C$38,'Inputs &amp; Assumptions'!$C$39))</f>
        <v>0.7</v>
      </c>
      <c r="I514" s="18" t="n">
        <f aca="false">IF('Scenario Analysis'!I486&gt;=20,'Inputs &amp; Assumptions'!$C$37,IF('Scenario Analysis'!I486&gt;=10,'Inputs &amp; Assumptions'!$C$38,'Inputs &amp; Assumptions'!$C$39))</f>
        <v>0.7</v>
      </c>
      <c r="J514" s="18" t="n">
        <f aca="false">IF('Scenario Analysis'!J486&gt;=20,'Inputs &amp; Assumptions'!$C$37,IF('Scenario Analysis'!J486&gt;=10,'Inputs &amp; Assumptions'!$C$38,'Inputs &amp; Assumptions'!$C$39))</f>
        <v>0.7</v>
      </c>
      <c r="K514" s="18" t="n">
        <f aca="false">IF('Scenario Analysis'!K486&gt;=20,'Inputs &amp; Assumptions'!$C$37,IF('Scenario Analysis'!K486&gt;=10,'Inputs &amp; Assumptions'!$C$38,'Inputs &amp; Assumptions'!$C$39))</f>
        <v>0.7</v>
      </c>
      <c r="L514" s="18" t="n">
        <f aca="false">IF('Scenario Analysis'!L486&gt;=20,'Inputs &amp; Assumptions'!$C$37,IF('Scenario Analysis'!L486&gt;=10,'Inputs &amp; Assumptions'!$C$38,'Inputs &amp; Assumptions'!$C$39))</f>
        <v>0.7</v>
      </c>
      <c r="M514" s="18" t="n">
        <f aca="false">IF('Scenario Analysis'!M486&gt;=20,'Inputs &amp; Assumptions'!$C$37,IF('Scenario Analysis'!M486&gt;=10,'Inputs &amp; Assumptions'!$C$38,'Inputs &amp; Assumptions'!$C$39))</f>
        <v>0.7</v>
      </c>
      <c r="N514" s="18" t="n">
        <f aca="false">IF('Scenario Analysis'!N486&gt;=20,'Inputs &amp; Assumptions'!$C$37,IF('Scenario Analysis'!N486&gt;=10,'Inputs &amp; Assumptions'!$C$38,'Inputs &amp; Assumptions'!$C$39))</f>
        <v>0.7</v>
      </c>
      <c r="O514" s="18" t="n">
        <f aca="false">IF('Scenario Analysis'!O486&gt;=20,'Inputs &amp; Assumptions'!$C$37,IF('Scenario Analysis'!O486&gt;=10,'Inputs &amp; Assumptions'!$C$38,'Inputs &amp; Assumptions'!$C$39))</f>
        <v>0.7</v>
      </c>
      <c r="P514" s="18" t="n">
        <f aca="false">IF('Scenario Analysis'!P486&gt;=20,'Inputs &amp; Assumptions'!$C$37,IF('Scenario Analysis'!P486&gt;=10,'Inputs &amp; Assumptions'!$C$38,'Inputs &amp; Assumptions'!$C$39))</f>
        <v>0.7</v>
      </c>
      <c r="Q514" s="18" t="n">
        <f aca="false">IF('Scenario Analysis'!Q486&gt;=20,'Inputs &amp; Assumptions'!$C$37,IF('Scenario Analysis'!Q486&gt;=10,'Inputs &amp; Assumptions'!$C$38,'Inputs &amp; Assumptions'!$C$39))</f>
        <v>0.7</v>
      </c>
      <c r="R514" s="18" t="n">
        <f aca="false">IF('Scenario Analysis'!R486&gt;=20,'Inputs &amp; Assumptions'!$C$37,IF('Scenario Analysis'!R486&gt;=10,'Inputs &amp; Assumptions'!$C$38,'Inputs &amp; Assumptions'!$C$39))</f>
        <v>0.7</v>
      </c>
      <c r="S514" s="18" t="n">
        <f aca="false">IF('Scenario Analysis'!S486&gt;=20,'Inputs &amp; Assumptions'!$C$37,IF('Scenario Analysis'!S486&gt;=10,'Inputs &amp; Assumptions'!$C$38,'Inputs &amp; Assumptions'!$C$39))</f>
        <v>0.7</v>
      </c>
      <c r="T514" s="18" t="n">
        <f aca="false">IF('Scenario Analysis'!T486&gt;=20,'Inputs &amp; Assumptions'!$C$37,IF('Scenario Analysis'!T486&gt;=10,'Inputs &amp; Assumptions'!$C$38,'Inputs &amp; Assumptions'!$C$39))</f>
        <v>0.7</v>
      </c>
      <c r="U514" s="18" t="n">
        <f aca="false">IF('Scenario Analysis'!U486&gt;=20,'Inputs &amp; Assumptions'!$C$37,IF('Scenario Analysis'!U486&gt;=10,'Inputs &amp; Assumptions'!$C$38,'Inputs &amp; Assumptions'!$C$39))</f>
        <v>0.7</v>
      </c>
      <c r="V514" s="18" t="n">
        <f aca="false">IF('Scenario Analysis'!V486&gt;=20,'Inputs &amp; Assumptions'!$C$37,IF('Scenario Analysis'!V486&gt;=10,'Inputs &amp; Assumptions'!$C$38,'Inputs &amp; Assumptions'!$C$39))</f>
        <v>0.7</v>
      </c>
      <c r="W514" s="18" t="n">
        <f aca="false">IF('Scenario Analysis'!W486&gt;=20,'Inputs &amp; Assumptions'!$C$37,IF('Scenario Analysis'!W486&gt;=10,'Inputs &amp; Assumptions'!$C$38,'Inputs &amp; Assumptions'!$C$39))</f>
        <v>0.7</v>
      </c>
      <c r="X514" s="18" t="n">
        <f aca="false">IF('Scenario Analysis'!X486&gt;=20,'Inputs &amp; Assumptions'!$C$37,IF('Scenario Analysis'!X486&gt;=10,'Inputs &amp; Assumptions'!$C$38,'Inputs &amp; Assumptions'!$C$39))</f>
        <v>0.7</v>
      </c>
      <c r="Y514" s="18" t="n">
        <f aca="false">IF('Scenario Analysis'!Y486&gt;=20,'Inputs &amp; Assumptions'!$C$37,IF('Scenario Analysis'!Y486&gt;=10,'Inputs &amp; Assumptions'!$C$38,'Inputs &amp; Assumptions'!$C$39))</f>
        <v>0.7</v>
      </c>
      <c r="Z514" s="18" t="n">
        <f aca="false">IF('Scenario Analysis'!Z486&gt;=20,'Inputs &amp; Assumptions'!$C$37,IF('Scenario Analysis'!Z486&gt;=10,'Inputs &amp; Assumptions'!$C$38,'Inputs &amp; Assumptions'!$C$39))</f>
        <v>0.8</v>
      </c>
      <c r="AA514" s="18" t="n">
        <f aca="false">IF('Scenario Analysis'!AA486&gt;=20,'Inputs &amp; Assumptions'!$C$37,IF('Scenario Analysis'!AA486&gt;=10,'Inputs &amp; Assumptions'!$C$38,'Inputs &amp; Assumptions'!$C$39))</f>
        <v>0.8</v>
      </c>
      <c r="AB514" s="18" t="n">
        <f aca="false">IF('Scenario Analysis'!AB486&gt;=20,'Inputs &amp; Assumptions'!$C$37,IF('Scenario Analysis'!AB486&gt;=10,'Inputs &amp; Assumptions'!$C$38,'Inputs &amp; Assumptions'!$C$39))</f>
        <v>0.8</v>
      </c>
      <c r="AC514" s="18" t="n">
        <f aca="false">IF('Scenario Analysis'!AC486&gt;=20,'Inputs &amp; Assumptions'!$C$37,IF('Scenario Analysis'!AC486&gt;=10,'Inputs &amp; Assumptions'!$C$38,'Inputs &amp; Assumptions'!$C$39))</f>
        <v>0.8</v>
      </c>
      <c r="AD514" s="18" t="n">
        <f aca="false">IF('Scenario Analysis'!AD486&gt;=20,'Inputs &amp; Assumptions'!$C$37,IF('Scenario Analysis'!AD486&gt;=10,'Inputs &amp; Assumptions'!$C$38,'Inputs &amp; Assumptions'!$C$39))</f>
        <v>1</v>
      </c>
      <c r="AE514" s="18" t="n">
        <f aca="false">IF('Scenario Analysis'!AE486&gt;=20,'Inputs &amp; Assumptions'!$C$37,IF('Scenario Analysis'!AE486&gt;=10,'Inputs &amp; Assumptions'!$C$38,'Inputs &amp; Assumptions'!$C$39))</f>
        <v>1</v>
      </c>
      <c r="AF514" s="18" t="n">
        <f aca="false">IF('Scenario Analysis'!AF486&gt;=20,'Inputs &amp; Assumptions'!$C$37,IF('Scenario Analysis'!AF486&gt;=10,'Inputs &amp; Assumptions'!$C$38,'Inputs &amp; Assumptions'!$C$39))</f>
        <v>1</v>
      </c>
      <c r="AG514" s="18" t="n">
        <f aca="false">IF('Scenario Analysis'!AG486&gt;=20,'Inputs &amp; Assumptions'!$C$37,IF('Scenario Analysis'!AG486&gt;=10,'Inputs &amp; Assumptions'!$C$38,'Inputs &amp; Assumptions'!$C$39))</f>
        <v>1</v>
      </c>
      <c r="AH514" s="18" t="n">
        <f aca="false">IF('Scenario Analysis'!AH486&gt;=20,'Inputs &amp; Assumptions'!$C$37,IF('Scenario Analysis'!AH486&gt;=10,'Inputs &amp; Assumptions'!$C$38,'Inputs &amp; Assumptions'!$C$39))</f>
        <v>1</v>
      </c>
      <c r="AI514" s="18" t="n">
        <f aca="false">IF('Scenario Analysis'!AI486&gt;=20,'Inputs &amp; Assumptions'!$C$37,IF('Scenario Analysis'!AI486&gt;=10,'Inputs &amp; Assumptions'!$C$38,'Inputs &amp; Assumptions'!$C$39))</f>
        <v>1</v>
      </c>
      <c r="AJ514" s="18" t="n">
        <f aca="false">IF('Scenario Analysis'!AJ486&gt;=20,'Inputs &amp; Assumptions'!$C$37,IF('Scenario Analysis'!AJ486&gt;=10,'Inputs &amp; Assumptions'!$C$38,'Inputs &amp; Assumptions'!$C$39))</f>
        <v>1</v>
      </c>
      <c r="AK514" s="18" t="n">
        <f aca="false">IF('Scenario Analysis'!AK486&gt;=20,'Inputs &amp; Assumptions'!$C$37,IF('Scenario Analysis'!AK486&gt;=10,'Inputs &amp; Assumptions'!$C$38,'Inputs &amp; Assumptions'!$C$39))</f>
        <v>1</v>
      </c>
      <c r="AL514" s="18" t="n">
        <f aca="false">IF('Scenario Analysis'!AL486&gt;=20,'Inputs &amp; Assumptions'!$C$37,IF('Scenario Analysis'!AL486&gt;=10,'Inputs &amp; Assumptions'!$C$38,'Inputs &amp; Assumptions'!$C$39))</f>
        <v>1</v>
      </c>
      <c r="AM514" s="18" t="n">
        <f aca="false">IF('Scenario Analysis'!AM486&gt;=20,'Inputs &amp; Assumptions'!$C$37,IF('Scenario Analysis'!AM486&gt;=10,'Inputs &amp; Assumptions'!$C$38,'Inputs &amp; Assumptions'!$C$39))</f>
        <v>1</v>
      </c>
      <c r="AN514" s="18" t="n">
        <f aca="false">IF('Scenario Analysis'!AN486&gt;=20,'Inputs &amp; Assumptions'!$C$37,IF('Scenario Analysis'!AN486&gt;=10,'Inputs &amp; Assumptions'!$C$38,'Inputs &amp; Assumptions'!$C$39))</f>
        <v>1</v>
      </c>
    </row>
    <row r="515" customFormat="false" ht="15" hidden="false" customHeight="false" outlineLevel="0" collapsed="false">
      <c r="A515" s="5" t="s">
        <v>168</v>
      </c>
      <c r="E515" s="39" t="n">
        <f aca="false">E493-E504-E512</f>
        <v>340424922.203496</v>
      </c>
      <c r="F515" s="39" t="n">
        <f aca="false">F493-F504-F512</f>
        <v>312135619.946287</v>
      </c>
      <c r="G515" s="39" t="n">
        <f aca="false">G493-G504-G512</f>
        <v>285395089.216368</v>
      </c>
      <c r="H515" s="39" t="n">
        <f aca="false">H493-H504-H512</f>
        <v>260195394.925178</v>
      </c>
      <c r="I515" s="39" t="n">
        <f aca="false">I493-I504-I512</f>
        <v>236512636.58124</v>
      </c>
      <c r="J515" s="39" t="n">
        <f aca="false">J493-J504-J512</f>
        <v>214890022.325617</v>
      </c>
      <c r="K515" s="39" t="n">
        <f aca="false">K493-K504-K512</f>
        <v>195418366.865761</v>
      </c>
      <c r="L515" s="39" t="n">
        <f aca="false">L493-L504-L512</f>
        <v>177868862.123255</v>
      </c>
      <c r="M515" s="39" t="n">
        <f aca="false">M493-M504-M512</f>
        <v>162036366.634816</v>
      </c>
      <c r="N515" s="39" t="n">
        <f aca="false">N493-N504-N512</f>
        <v>145492061.771051</v>
      </c>
      <c r="O515" s="39" t="n">
        <f aca="false">O493-O504-O512</f>
        <v>130493474.521677</v>
      </c>
      <c r="P515" s="39" t="n">
        <f aca="false">P493-P504-P512</f>
        <v>116911689.77139</v>
      </c>
      <c r="Q515" s="39" t="n">
        <f aca="false">Q493-Q504-Q512</f>
        <v>104616733.115841</v>
      </c>
      <c r="R515" s="39" t="n">
        <f aca="false">R493-R504-R512</f>
        <v>93518647.4285632</v>
      </c>
      <c r="S515" s="39" t="n">
        <f aca="false">S493-S504-S512</f>
        <v>83513407.9704274</v>
      </c>
      <c r="T515" s="39" t="n">
        <f aca="false">T493-T504-T512</f>
        <v>74500545.6572462</v>
      </c>
      <c r="U515" s="39" t="n">
        <f aca="false">U493-U504-U512</f>
        <v>66382109.137596</v>
      </c>
      <c r="V515" s="39" t="n">
        <f aca="false">V493-V504-V512</f>
        <v>59056208.5226186</v>
      </c>
      <c r="W515" s="39" t="n">
        <f aca="false">W493-W504-W512</f>
        <v>48460387.4454745</v>
      </c>
      <c r="X515" s="39" t="n">
        <f aca="false">X493-X504-X512</f>
        <v>37276006.3066485</v>
      </c>
      <c r="Y515" s="39" t="n">
        <f aca="false">Y493-Y504-Y512</f>
        <v>27497729.261705</v>
      </c>
      <c r="Z515" s="39" t="n">
        <f aca="false">Z493-Z504-Z512</f>
        <v>18969653.8761482</v>
      </c>
      <c r="AA515" s="39" t="n">
        <f aca="false">AA493-AA504-AA512</f>
        <v>10485298.4591181</v>
      </c>
      <c r="AB515" s="39" t="n">
        <f aca="false">AB493-AB504-AB512</f>
        <v>3123741.93237847</v>
      </c>
      <c r="AC515" s="39" t="n">
        <f aca="false">AC493-AC504-AC512</f>
        <v>0</v>
      </c>
      <c r="AD515" s="39" t="n">
        <f aca="false">AD493-AD504-AD512</f>
        <v>0</v>
      </c>
      <c r="AE515" s="39" t="n">
        <f aca="false">AE493-AE504-AE512</f>
        <v>0</v>
      </c>
      <c r="AF515" s="39" t="n">
        <f aca="false">AF493-AF504-AF512</f>
        <v>0</v>
      </c>
      <c r="AG515" s="39" t="n">
        <f aca="false">AG493-AG504-AG512</f>
        <v>0</v>
      </c>
      <c r="AH515" s="39" t="n">
        <f aca="false">AH493-AH504-AH512</f>
        <v>0</v>
      </c>
      <c r="AI515" s="39" t="n">
        <f aca="false">AI493-AI504-AI512</f>
        <v>0</v>
      </c>
      <c r="AJ515" s="39" t="n">
        <f aca="false">AJ493-AJ504-AJ512</f>
        <v>0</v>
      </c>
      <c r="AK515" s="39" t="n">
        <f aca="false">AK493-AK504-AK512</f>
        <v>0</v>
      </c>
      <c r="AL515" s="39" t="n">
        <f aca="false">AL493-AL504-AL512</f>
        <v>0</v>
      </c>
      <c r="AM515" s="39" t="n">
        <f aca="false">AM493-AM504-AM512</f>
        <v>0</v>
      </c>
      <c r="AN515" s="39" t="n">
        <f aca="false">AN493-AN504-AN512</f>
        <v>0</v>
      </c>
    </row>
    <row r="516" customFormat="false" ht="15" hidden="false" customHeight="false" outlineLevel="0" collapsed="false">
      <c r="A516" s="5" t="s">
        <v>169</v>
      </c>
      <c r="E516" s="39" t="n">
        <f aca="false">MIN(E514*E513,E515)</f>
        <v>28289302.2572091</v>
      </c>
      <c r="F516" s="39" t="n">
        <f aca="false">MIN(F514*F513,F515)</f>
        <v>26740530.729919</v>
      </c>
      <c r="G516" s="39" t="n">
        <f aca="false">MIN(G514*G513,G515)</f>
        <v>25199694.2911902</v>
      </c>
      <c r="H516" s="39" t="n">
        <f aca="false">MIN(H514*H513,H515)</f>
        <v>23682758.343938</v>
      </c>
      <c r="I516" s="39" t="n">
        <f aca="false">MIN(I514*I513,I515)</f>
        <v>21622614.2556226</v>
      </c>
      <c r="J516" s="39" t="n">
        <f aca="false">MIN(J514*J513,J515)</f>
        <v>19471655.4598558</v>
      </c>
      <c r="K516" s="39" t="n">
        <f aca="false">MIN(K514*K513,K515)</f>
        <v>17549504.7425057</v>
      </c>
      <c r="L516" s="39" t="n">
        <f aca="false">MIN(L514*L513,L515)</f>
        <v>15832495.4884389</v>
      </c>
      <c r="M516" s="39" t="n">
        <f aca="false">MIN(M514*M513,M515)</f>
        <v>16544304.8637658</v>
      </c>
      <c r="N516" s="39" t="n">
        <f aca="false">MIN(N514*N513,N515)</f>
        <v>14998587.2493741</v>
      </c>
      <c r="O516" s="39" t="n">
        <f aca="false">MIN(O514*O513,O515)</f>
        <v>13581784.7502868</v>
      </c>
      <c r="P516" s="39" t="n">
        <f aca="false">MIN(P514*P513,P515)</f>
        <v>12294956.6555489</v>
      </c>
      <c r="Q516" s="39" t="n">
        <f aca="false">MIN(Q514*Q513,Q515)</f>
        <v>11098085.6872778</v>
      </c>
      <c r="R516" s="39" t="n">
        <f aca="false">MIN(R514*R513,R515)</f>
        <v>10005239.4581358</v>
      </c>
      <c r="S516" s="39" t="n">
        <f aca="false">MIN(S514*S513,S515)</f>
        <v>9012862.31318117</v>
      </c>
      <c r="T516" s="39" t="n">
        <f aca="false">MIN(T514*T513,T515)</f>
        <v>8118436.5196502</v>
      </c>
      <c r="U516" s="39" t="n">
        <f aca="false">MIN(U514*U513,U515)</f>
        <v>7325900.61497738</v>
      </c>
      <c r="V516" s="39" t="n">
        <f aca="false">MIN(V514*V513,V515)</f>
        <v>10595821.0771441</v>
      </c>
      <c r="W516" s="39" t="n">
        <f aca="false">MIN(W514*W513,W515)</f>
        <v>11184381.1388261</v>
      </c>
      <c r="X516" s="39" t="n">
        <f aca="false">MIN(X514*X513,X515)</f>
        <v>9778277.04494344</v>
      </c>
      <c r="Y516" s="39" t="n">
        <f aca="false">MIN(Y514*Y513,Y515)</f>
        <v>8528075.38555687</v>
      </c>
      <c r="Z516" s="39" t="n">
        <f aca="false">MIN(Z514*Z513,Z515)</f>
        <v>8484355.41703008</v>
      </c>
      <c r="AA516" s="39" t="n">
        <f aca="false">MIN(AA514*AA513,AA515)</f>
        <v>7361556.5267396</v>
      </c>
      <c r="AB516" s="39" t="n">
        <f aca="false">MIN(AB514*AB513,AB515)</f>
        <v>3123741.93237847</v>
      </c>
      <c r="AC516" s="39" t="n">
        <f aca="false">MIN(AC514*AC513,AC515)</f>
        <v>0</v>
      </c>
      <c r="AD516" s="39" t="n">
        <f aca="false">MIN(AD514*AD513,AD515)</f>
        <v>0</v>
      </c>
      <c r="AE516" s="39" t="n">
        <f aca="false">MIN(AE514*AE513,AE515)</f>
        <v>0</v>
      </c>
      <c r="AF516" s="39" t="n">
        <f aca="false">MIN(AF514*AF513,AF515)</f>
        <v>0</v>
      </c>
      <c r="AG516" s="39" t="n">
        <f aca="false">MIN(AG514*AG513,AG515)</f>
        <v>0</v>
      </c>
      <c r="AH516" s="39" t="n">
        <f aca="false">MIN(AH514*AH513,AH515)</f>
        <v>0</v>
      </c>
      <c r="AI516" s="39" t="n">
        <f aca="false">MIN(AI514*AI513,AI515)</f>
        <v>0</v>
      </c>
      <c r="AJ516" s="39" t="n">
        <f aca="false">MIN(AJ514*AJ513,AJ515)</f>
        <v>0</v>
      </c>
      <c r="AK516" s="39" t="n">
        <f aca="false">MIN(AK514*AK513,AK515)</f>
        <v>0</v>
      </c>
      <c r="AL516" s="39" t="n">
        <f aca="false">MIN(AL514*AL513,AL515)</f>
        <v>0</v>
      </c>
      <c r="AM516" s="39" t="n">
        <f aca="false">MIN(AM514*AM513,AM515)</f>
        <v>0</v>
      </c>
      <c r="AN516" s="39" t="n">
        <f aca="false">MIN(AN514*AN513,AN515)</f>
        <v>0</v>
      </c>
    </row>
    <row r="517" customFormat="false" ht="15" hidden="false" customHeight="false" outlineLevel="0" collapsed="false">
      <c r="A517" s="5" t="s">
        <v>170</v>
      </c>
      <c r="E517" s="39" t="n">
        <f aca="false">E513-E516</f>
        <v>12123986.681661</v>
      </c>
      <c r="F517" s="39" t="n">
        <f aca="false">F513-F516</f>
        <v>11460227.4556796</v>
      </c>
      <c r="G517" s="39" t="n">
        <f aca="false">G513-G516</f>
        <v>10799868.9819387</v>
      </c>
      <c r="H517" s="39" t="n">
        <f aca="false">H513-H516</f>
        <v>10149753.5759734</v>
      </c>
      <c r="I517" s="39" t="n">
        <f aca="false">I513-I516</f>
        <v>9266834.68098114</v>
      </c>
      <c r="J517" s="39" t="n">
        <f aca="false">J513-J516</f>
        <v>8344995.19708107</v>
      </c>
      <c r="K517" s="39" t="n">
        <f aca="false">K513-K516</f>
        <v>7521216.31821674</v>
      </c>
      <c r="L517" s="39" t="n">
        <f aca="false">L513-L516</f>
        <v>6785355.20933097</v>
      </c>
      <c r="M517" s="39" t="n">
        <f aca="false">M513-M516</f>
        <v>7090416.37018533</v>
      </c>
      <c r="N517" s="39" t="n">
        <f aca="false">N513-N516</f>
        <v>6427965.96401747</v>
      </c>
      <c r="O517" s="39" t="n">
        <f aca="false">O513-O516</f>
        <v>5820764.89298007</v>
      </c>
      <c r="P517" s="39" t="n">
        <f aca="false">P513-P516</f>
        <v>5269267.13809238</v>
      </c>
      <c r="Q517" s="39" t="n">
        <f aca="false">Q513-Q516</f>
        <v>4756322.43740475</v>
      </c>
      <c r="R517" s="39" t="n">
        <f aca="false">R513-R516</f>
        <v>4287959.76777249</v>
      </c>
      <c r="S517" s="39" t="n">
        <f aca="false">S513-S516</f>
        <v>3862655.27707765</v>
      </c>
      <c r="T517" s="39" t="n">
        <f aca="false">T513-T516</f>
        <v>3479329.93699294</v>
      </c>
      <c r="U517" s="39" t="n">
        <f aca="false">U513-U516</f>
        <v>3139671.69213316</v>
      </c>
      <c r="V517" s="39" t="n">
        <f aca="false">V513-V516</f>
        <v>4541066.17591889</v>
      </c>
      <c r="W517" s="39" t="n">
        <f aca="false">W513-W516</f>
        <v>4793306.20235403</v>
      </c>
      <c r="X517" s="39" t="n">
        <f aca="false">X513-X516</f>
        <v>4190690.16211862</v>
      </c>
      <c r="Y517" s="39" t="n">
        <f aca="false">Y513-Y516</f>
        <v>3654889.45095295</v>
      </c>
      <c r="Z517" s="39" t="n">
        <f aca="false">Z513-Z516</f>
        <v>2121088.85425752</v>
      </c>
      <c r="AA517" s="39" t="n">
        <f aca="false">AA513-AA516</f>
        <v>1840389.1316849</v>
      </c>
      <c r="AB517" s="39" t="n">
        <f aca="false">AB513-AB516</f>
        <v>4833320.50766929</v>
      </c>
      <c r="AC517" s="39" t="n">
        <f aca="false">AC513-AC516</f>
        <v>6892278.59301162</v>
      </c>
      <c r="AD517" s="39" t="n">
        <f aca="false">AD513-AD516</f>
        <v>5951536.53014656</v>
      </c>
      <c r="AE517" s="39" t="n">
        <f aca="false">AE513-AE516</f>
        <v>5104785.07844781</v>
      </c>
      <c r="AF517" s="39" t="n">
        <f aca="false">AF513-AF516</f>
        <v>1646290.76021971</v>
      </c>
      <c r="AG517" s="39" t="n">
        <f aca="false">AG513-AG516</f>
        <v>111107.872542543</v>
      </c>
      <c r="AH517" s="39" t="n">
        <f aca="false">AH513-AH516</f>
        <v>77783.2668294212</v>
      </c>
      <c r="AI517" s="39" t="n">
        <f aca="false">AI513-AI516</f>
        <v>48952.9209302391</v>
      </c>
      <c r="AJ517" s="39" t="n">
        <f aca="false">AJ513-AJ516</f>
        <v>24099.8457089566</v>
      </c>
      <c r="AK517" s="39" t="n">
        <f aca="false">AK513-AK516</f>
        <v>5172.49123418413</v>
      </c>
      <c r="AL517" s="39" t="n">
        <f aca="false">AL513-AL516</f>
        <v>0</v>
      </c>
      <c r="AM517" s="39" t="n">
        <f aca="false">AM513-AM516</f>
        <v>0</v>
      </c>
      <c r="AN517" s="39" t="n">
        <f aca="false">AN513-AN516</f>
        <v>0</v>
      </c>
    </row>
    <row r="518" customFormat="false" ht="15" hidden="false" customHeight="false" outlineLevel="0" collapsed="false">
      <c r="A518" s="5" t="s">
        <v>171</v>
      </c>
      <c r="E518" s="39" t="n">
        <f aca="false">MIN(E517,E520)</f>
        <v>12123986.681661</v>
      </c>
      <c r="F518" s="39" t="n">
        <f aca="false">MIN(F517,F520)</f>
        <v>11460227.4556796</v>
      </c>
      <c r="G518" s="39" t="n">
        <f aca="false">MIN(G517,G520)</f>
        <v>10799868.9819387</v>
      </c>
      <c r="H518" s="39" t="n">
        <f aca="false">MIN(H517,H520)</f>
        <v>10149753.5759734</v>
      </c>
      <c r="I518" s="39" t="n">
        <f aca="false">MIN(I517,I520)</f>
        <v>9266834.68098114</v>
      </c>
      <c r="J518" s="39" t="n">
        <f aca="false">MIN(J517,J520)</f>
        <v>8344995.19708107</v>
      </c>
      <c r="K518" s="39" t="n">
        <f aca="false">MIN(K517,K520)</f>
        <v>7521216.31821674</v>
      </c>
      <c r="L518" s="39" t="n">
        <f aca="false">MIN(L517,L520)</f>
        <v>6785355.20933097</v>
      </c>
      <c r="M518" s="39" t="n">
        <f aca="false">MIN(M517,M520)</f>
        <v>7090416.37018533</v>
      </c>
      <c r="N518" s="39" t="n">
        <f aca="false">MIN(N517,N520)</f>
        <v>6427965.96401747</v>
      </c>
      <c r="O518" s="39" t="n">
        <f aca="false">MIN(O517,O520)</f>
        <v>5820764.89298007</v>
      </c>
      <c r="P518" s="39" t="n">
        <f aca="false">MIN(P517,P520)</f>
        <v>5269267.13809238</v>
      </c>
      <c r="Q518" s="39" t="n">
        <f aca="false">MIN(Q517,Q520)</f>
        <v>4756322.43740475</v>
      </c>
      <c r="R518" s="39" t="n">
        <f aca="false">MIN(R517,R520)</f>
        <v>4287959.76777249</v>
      </c>
      <c r="S518" s="39" t="n">
        <f aca="false">MIN(S517,S520)</f>
        <v>3862655.27707765</v>
      </c>
      <c r="T518" s="39" t="n">
        <f aca="false">MIN(T517,T520)</f>
        <v>3479329.93699294</v>
      </c>
      <c r="U518" s="39" t="n">
        <f aca="false">MIN(U517,U520)</f>
        <v>3139671.69213316</v>
      </c>
      <c r="V518" s="39" t="n">
        <f aca="false">MIN(V517,V520)</f>
        <v>4541066.17591889</v>
      </c>
      <c r="W518" s="39" t="n">
        <f aca="false">MIN(W517,W520)</f>
        <v>4793306.20235403</v>
      </c>
      <c r="X518" s="39" t="n">
        <f aca="false">MIN(X517,X520)</f>
        <v>4190690.16211862</v>
      </c>
      <c r="Y518" s="39" t="n">
        <f aca="false">MIN(Y517,Y520)</f>
        <v>3654889.45095295</v>
      </c>
      <c r="Z518" s="39" t="n">
        <f aca="false">MIN(Z517,Z520)</f>
        <v>2121088.85425752</v>
      </c>
      <c r="AA518" s="39" t="n">
        <f aca="false">MIN(AA517,AA520)</f>
        <v>1840389.1316849</v>
      </c>
      <c r="AB518" s="39" t="n">
        <f aca="false">MIN(AB517,AB520)</f>
        <v>4833320.50766929</v>
      </c>
      <c r="AC518" s="39" t="n">
        <f aca="false">MIN(AC517,AC520)</f>
        <v>6892278.59301162</v>
      </c>
      <c r="AD518" s="39" t="n">
        <f aca="false">MIN(AD517,AD520)</f>
        <v>5951536.53014656</v>
      </c>
      <c r="AE518" s="39" t="n">
        <f aca="false">MIN(AE517,AE520)</f>
        <v>5104785.07844781</v>
      </c>
      <c r="AF518" s="39" t="n">
        <f aca="false">MIN(AF517,AF520)</f>
        <v>1646290.76021971</v>
      </c>
      <c r="AG518" s="39" t="n">
        <f aca="false">MIN(AG517,AG520)</f>
        <v>111107.872542543</v>
      </c>
      <c r="AH518" s="39" t="n">
        <f aca="false">MIN(AH517,AH520)</f>
        <v>77783.2668294212</v>
      </c>
      <c r="AI518" s="39" t="n">
        <f aca="false">MIN(AI517,AI520)</f>
        <v>48952.9209302391</v>
      </c>
      <c r="AJ518" s="39" t="n">
        <f aca="false">MIN(AJ517,AJ520)</f>
        <v>24099.8457089566</v>
      </c>
      <c r="AK518" s="39" t="n">
        <f aca="false">MIN(AK517,AK520)</f>
        <v>5172.49123418413</v>
      </c>
      <c r="AL518" s="39" t="n">
        <f aca="false">MIN(AL517,AL520)</f>
        <v>0</v>
      </c>
      <c r="AM518" s="39" t="n">
        <f aca="false">MIN(AM517,AM520)</f>
        <v>0</v>
      </c>
      <c r="AN518" s="39" t="n">
        <f aca="false">MIN(AN517,AN520)</f>
        <v>0</v>
      </c>
    </row>
    <row r="519" customFormat="false" ht="15" hidden="false" customHeight="false" outlineLevel="0" collapsed="false">
      <c r="A519" s="14" t="s">
        <v>172</v>
      </c>
      <c r="E519" s="39" t="n">
        <f aca="false">E493-E504-E512-E516</f>
        <v>312135619.946287</v>
      </c>
      <c r="F519" s="39" t="n">
        <f aca="false">F493-F504-F512-F516</f>
        <v>285395089.216368</v>
      </c>
      <c r="G519" s="39" t="n">
        <f aca="false">G493-G504-G512-G516</f>
        <v>260195394.925178</v>
      </c>
      <c r="H519" s="39" t="n">
        <f aca="false">H493-H504-H512-H516</f>
        <v>236512636.58124</v>
      </c>
      <c r="I519" s="39" t="n">
        <f aca="false">I493-I504-I512-I516</f>
        <v>214890022.325617</v>
      </c>
      <c r="J519" s="39" t="n">
        <f aca="false">J493-J504-J512-J516</f>
        <v>195418366.865761</v>
      </c>
      <c r="K519" s="39" t="n">
        <f aca="false">K493-K504-K512-K516</f>
        <v>177868862.123255</v>
      </c>
      <c r="L519" s="39" t="n">
        <f aca="false">L493-L504-L512-L516</f>
        <v>162036366.634816</v>
      </c>
      <c r="M519" s="39" t="n">
        <f aca="false">M493-M504-M512-M516</f>
        <v>145492061.771051</v>
      </c>
      <c r="N519" s="39" t="n">
        <f aca="false">N493-N504-N512-N516</f>
        <v>130493474.521677</v>
      </c>
      <c r="O519" s="39" t="n">
        <f aca="false">O493-O504-O512-O516</f>
        <v>116911689.77139</v>
      </c>
      <c r="P519" s="39" t="n">
        <f aca="false">P493-P504-P512-P516</f>
        <v>104616733.115841</v>
      </c>
      <c r="Q519" s="39" t="n">
        <f aca="false">Q493-Q504-Q512-Q516</f>
        <v>93518647.4285632</v>
      </c>
      <c r="R519" s="39" t="n">
        <f aca="false">R493-R504-R512-R516</f>
        <v>83513407.9704274</v>
      </c>
      <c r="S519" s="39" t="n">
        <f aca="false">S493-S504-S512-S516</f>
        <v>74500545.6572462</v>
      </c>
      <c r="T519" s="39" t="n">
        <f aca="false">T493-T504-T512-T516</f>
        <v>66382109.137596</v>
      </c>
      <c r="U519" s="39" t="n">
        <f aca="false">U493-U504-U512-U516</f>
        <v>59056208.5226186</v>
      </c>
      <c r="V519" s="39" t="n">
        <f aca="false">V493-V504-V512-V516</f>
        <v>48460387.4454745</v>
      </c>
      <c r="W519" s="39" t="n">
        <f aca="false">W493-W504-W512-W516</f>
        <v>37276006.3066485</v>
      </c>
      <c r="X519" s="39" t="n">
        <f aca="false">X493-X504-X512-X516</f>
        <v>27497729.261705</v>
      </c>
      <c r="Y519" s="39" t="n">
        <f aca="false">Y493-Y504-Y512-Y516</f>
        <v>18969653.8761482</v>
      </c>
      <c r="Z519" s="39" t="n">
        <f aca="false">Z493-Z504-Z512-Z516</f>
        <v>10485298.4591181</v>
      </c>
      <c r="AA519" s="39" t="n">
        <f aca="false">AA493-AA504-AA512-AA516</f>
        <v>3123741.93237847</v>
      </c>
      <c r="AB519" s="39" t="n">
        <f aca="false">AB493-AB504-AB512-AB516</f>
        <v>0</v>
      </c>
      <c r="AC519" s="39" t="n">
        <f aca="false">AC493-AC504-AC512-AC516</f>
        <v>0</v>
      </c>
      <c r="AD519" s="39" t="n">
        <f aca="false">AD493-AD504-AD512-AD516</f>
        <v>0</v>
      </c>
      <c r="AE519" s="39" t="n">
        <f aca="false">AE493-AE504-AE512-AE516</f>
        <v>0</v>
      </c>
      <c r="AF519" s="39" t="n">
        <f aca="false">AF493-AF504-AF512-AF516</f>
        <v>0</v>
      </c>
      <c r="AG519" s="39" t="n">
        <f aca="false">AG493-AG504-AG512-AG516</f>
        <v>0</v>
      </c>
      <c r="AH519" s="39" t="n">
        <f aca="false">AH493-AH504-AH512-AH516</f>
        <v>0</v>
      </c>
      <c r="AI519" s="39" t="n">
        <f aca="false">AI493-AI504-AI512-AI516</f>
        <v>0</v>
      </c>
      <c r="AJ519" s="39" t="n">
        <f aca="false">AJ493-AJ504-AJ512-AJ516</f>
        <v>0</v>
      </c>
      <c r="AK519" s="39" t="n">
        <f aca="false">AK493-AK504-AK512-AK516</f>
        <v>0</v>
      </c>
      <c r="AL519" s="39" t="n">
        <f aca="false">AL493-AL504-AL512-AL516</f>
        <v>0</v>
      </c>
      <c r="AM519" s="39" t="n">
        <f aca="false">AM493-AM504-AM512-AM516</f>
        <v>0</v>
      </c>
      <c r="AN519" s="39" t="n">
        <f aca="false">AN493-AN504-AN512-AN516</f>
        <v>0</v>
      </c>
    </row>
    <row r="520" customFormat="false" ht="15" hidden="false" customHeight="false" outlineLevel="0" collapsed="false">
      <c r="A520" s="14" t="s">
        <v>173</v>
      </c>
      <c r="E520" s="39" t="n">
        <f aca="false">'Inputs &amp; Assumptions'!$C$135</f>
        <v>226949948.135664</v>
      </c>
      <c r="F520" s="39" t="n">
        <f aca="false">E521</f>
        <v>214825961.454003</v>
      </c>
      <c r="G520" s="39" t="n">
        <f aca="false">F521</f>
        <v>203365733.998323</v>
      </c>
      <c r="H520" s="39" t="n">
        <f aca="false">G521</f>
        <v>192565865.016385</v>
      </c>
      <c r="I520" s="39" t="n">
        <f aca="false">H521</f>
        <v>182416111.440411</v>
      </c>
      <c r="J520" s="39" t="n">
        <f aca="false">I521</f>
        <v>173149276.75943</v>
      </c>
      <c r="K520" s="39" t="n">
        <f aca="false">J521</f>
        <v>164804281.562349</v>
      </c>
      <c r="L520" s="39" t="n">
        <f aca="false">K521</f>
        <v>157283065.244132</v>
      </c>
      <c r="M520" s="39" t="n">
        <f aca="false">L521</f>
        <v>150497710.034801</v>
      </c>
      <c r="N520" s="39" t="n">
        <f aca="false">M521</f>
        <v>143407293.664616</v>
      </c>
      <c r="O520" s="39" t="n">
        <f aca="false">N521</f>
        <v>136979327.700599</v>
      </c>
      <c r="P520" s="39" t="n">
        <f aca="false">O521</f>
        <v>131158562.807618</v>
      </c>
      <c r="Q520" s="39" t="n">
        <f aca="false">P521</f>
        <v>125889295.669526</v>
      </c>
      <c r="R520" s="39" t="n">
        <f aca="false">Q521</f>
        <v>121132973.232121</v>
      </c>
      <c r="S520" s="39" t="n">
        <f aca="false">R521</f>
        <v>116845013.464349</v>
      </c>
      <c r="T520" s="39" t="n">
        <f aca="false">S521</f>
        <v>112982358.187271</v>
      </c>
      <c r="U520" s="39" t="n">
        <f aca="false">T521</f>
        <v>109503028.250278</v>
      </c>
      <c r="V520" s="39" t="n">
        <f aca="false">U521</f>
        <v>106363356.558145</v>
      </c>
      <c r="W520" s="39" t="n">
        <f aca="false">V521</f>
        <v>101822290.382226</v>
      </c>
      <c r="X520" s="39" t="n">
        <f aca="false">W521</f>
        <v>97028984.1798722</v>
      </c>
      <c r="Y520" s="39" t="n">
        <f aca="false">X521</f>
        <v>92838294.0177536</v>
      </c>
      <c r="Z520" s="39" t="n">
        <f aca="false">Y521</f>
        <v>89183404.5668006</v>
      </c>
      <c r="AA520" s="39" t="n">
        <f aca="false">Z521</f>
        <v>87062315.7125431</v>
      </c>
      <c r="AB520" s="39" t="n">
        <f aca="false">AA521</f>
        <v>85221926.5808582</v>
      </c>
      <c r="AC520" s="39" t="n">
        <f aca="false">AB521</f>
        <v>80388606.0731889</v>
      </c>
      <c r="AD520" s="39" t="n">
        <f aca="false">AC521</f>
        <v>73496327.4801773</v>
      </c>
      <c r="AE520" s="39" t="n">
        <f aca="false">AD521</f>
        <v>67544790.9500307</v>
      </c>
      <c r="AF520" s="39" t="n">
        <f aca="false">AE521</f>
        <v>62440005.8715829</v>
      </c>
      <c r="AG520" s="39" t="n">
        <f aca="false">AF521</f>
        <v>60793715.1113632</v>
      </c>
      <c r="AH520" s="39" t="n">
        <f aca="false">AG521</f>
        <v>60682607.2388207</v>
      </c>
      <c r="AI520" s="39" t="n">
        <f aca="false">AH521</f>
        <v>60604823.9719913</v>
      </c>
      <c r="AJ520" s="39" t="n">
        <f aca="false">AI521</f>
        <v>60555871.051061</v>
      </c>
      <c r="AK520" s="39" t="n">
        <f aca="false">AJ521</f>
        <v>60531771.2053521</v>
      </c>
      <c r="AL520" s="39" t="n">
        <f aca="false">AK521</f>
        <v>60526598.7141179</v>
      </c>
      <c r="AM520" s="39" t="n">
        <f aca="false">AL521</f>
        <v>60526598.7141179</v>
      </c>
      <c r="AN520" s="39" t="n">
        <f aca="false">AM521</f>
        <v>60526598.7141179</v>
      </c>
    </row>
    <row r="521" customFormat="false" ht="15" hidden="false" customHeight="false" outlineLevel="0" collapsed="false">
      <c r="A521" s="14" t="s">
        <v>174</v>
      </c>
      <c r="E521" s="39" t="n">
        <f aca="false">E520-E518</f>
        <v>214825961.454003</v>
      </c>
      <c r="F521" s="39" t="n">
        <f aca="false">F520-F518</f>
        <v>203365733.998323</v>
      </c>
      <c r="G521" s="39" t="n">
        <f aca="false">G520-G518</f>
        <v>192565865.016385</v>
      </c>
      <c r="H521" s="39" t="n">
        <f aca="false">H520-H518</f>
        <v>182416111.440411</v>
      </c>
      <c r="I521" s="39" t="n">
        <f aca="false">I520-I518</f>
        <v>173149276.75943</v>
      </c>
      <c r="J521" s="39" t="n">
        <f aca="false">J520-J518</f>
        <v>164804281.562349</v>
      </c>
      <c r="K521" s="39" t="n">
        <f aca="false">K520-K518</f>
        <v>157283065.244132</v>
      </c>
      <c r="L521" s="39" t="n">
        <f aca="false">L520-L518</f>
        <v>150497710.034801</v>
      </c>
      <c r="M521" s="39" t="n">
        <f aca="false">M520-M518</f>
        <v>143407293.664616</v>
      </c>
      <c r="N521" s="39" t="n">
        <f aca="false">N520-N518</f>
        <v>136979327.700599</v>
      </c>
      <c r="O521" s="39" t="n">
        <f aca="false">O520-O518</f>
        <v>131158562.807618</v>
      </c>
      <c r="P521" s="39" t="n">
        <f aca="false">P520-P518</f>
        <v>125889295.669526</v>
      </c>
      <c r="Q521" s="39" t="n">
        <f aca="false">Q520-Q518</f>
        <v>121132973.232121</v>
      </c>
      <c r="R521" s="39" t="n">
        <f aca="false">R520-R518</f>
        <v>116845013.464349</v>
      </c>
      <c r="S521" s="39" t="n">
        <f aca="false">S520-S518</f>
        <v>112982358.187271</v>
      </c>
      <c r="T521" s="39" t="n">
        <f aca="false">T520-T518</f>
        <v>109503028.250278</v>
      </c>
      <c r="U521" s="39" t="n">
        <f aca="false">U520-U518</f>
        <v>106363356.558145</v>
      </c>
      <c r="V521" s="39" t="n">
        <f aca="false">V520-V518</f>
        <v>101822290.382226</v>
      </c>
      <c r="W521" s="39" t="n">
        <f aca="false">W520-W518</f>
        <v>97028984.1798722</v>
      </c>
      <c r="X521" s="39" t="n">
        <f aca="false">X520-X518</f>
        <v>92838294.0177536</v>
      </c>
      <c r="Y521" s="39" t="n">
        <f aca="false">Y520-Y518</f>
        <v>89183404.5668006</v>
      </c>
      <c r="Z521" s="39" t="n">
        <f aca="false">Z520-Z518</f>
        <v>87062315.7125431</v>
      </c>
      <c r="AA521" s="39" t="n">
        <f aca="false">AA520-AA518</f>
        <v>85221926.5808582</v>
      </c>
      <c r="AB521" s="39" t="n">
        <f aca="false">AB520-AB518</f>
        <v>80388606.0731889</v>
      </c>
      <c r="AC521" s="39" t="n">
        <f aca="false">AC520-AC518</f>
        <v>73496327.4801773</v>
      </c>
      <c r="AD521" s="39" t="n">
        <f aca="false">AD520-AD518</f>
        <v>67544790.9500307</v>
      </c>
      <c r="AE521" s="39" t="n">
        <f aca="false">AE520-AE518</f>
        <v>62440005.8715829</v>
      </c>
      <c r="AF521" s="39" t="n">
        <f aca="false">AF520-AF518</f>
        <v>60793715.1113632</v>
      </c>
      <c r="AG521" s="39" t="n">
        <f aca="false">AG520-AG518</f>
        <v>60682607.2388207</v>
      </c>
      <c r="AH521" s="39" t="n">
        <f aca="false">AH520-AH518</f>
        <v>60604823.9719913</v>
      </c>
      <c r="AI521" s="39" t="n">
        <f aca="false">AI520-AI518</f>
        <v>60555871.051061</v>
      </c>
      <c r="AJ521" s="39" t="n">
        <f aca="false">AJ520-AJ518</f>
        <v>60531771.2053521</v>
      </c>
      <c r="AK521" s="39" t="n">
        <f aca="false">AK520-AK518</f>
        <v>60526598.7141179</v>
      </c>
      <c r="AL521" s="39" t="n">
        <f aca="false">AL520-AL518</f>
        <v>60526598.7141179</v>
      </c>
      <c r="AM521" s="39" t="n">
        <f aca="false">AM520-AM518</f>
        <v>60526598.7141179</v>
      </c>
      <c r="AN521" s="39" t="n">
        <f aca="false">AN520-AN518</f>
        <v>60526598.7141179</v>
      </c>
    </row>
    <row r="522" customFormat="false" ht="15" hidden="false" customHeight="false" outlineLevel="0" collapsed="false">
      <c r="A522" s="14" t="s">
        <v>175</v>
      </c>
      <c r="E522" s="18" t="n">
        <f aca="false">IF(E520&gt;0,E506/E520*4,0)</f>
        <v>0.11412255946166</v>
      </c>
      <c r="F522" s="18" t="n">
        <f aca="false">IF(F520&gt;0,F506/F520*4,0)</f>
        <v>0.109098928943211</v>
      </c>
      <c r="G522" s="18" t="n">
        <f aca="false">IF(G520&gt;0,G506/G520*4,0)</f>
        <v>0.103915406499386</v>
      </c>
      <c r="H522" s="18" t="n">
        <f aca="false">IF(H520&gt;0,H506/H520*4,0)</f>
        <v>0.0985936121758236</v>
      </c>
      <c r="I522" s="18" t="n">
        <f aca="false">IF(I520&gt;0,I506/I520*4,0)</f>
        <v>0.0932054793085736</v>
      </c>
      <c r="J522" s="18" t="n">
        <f aca="false">IF(J520&gt;0,J506/J520*4,0)</f>
        <v>0.0878638137640236</v>
      </c>
      <c r="K522" s="18" t="n">
        <f aca="false">IF(K520&gt;0,K506/K520*4,0)</f>
        <v>0.0826534620318164</v>
      </c>
      <c r="L522" s="18" t="n">
        <f aca="false">IF(L520&gt;0,L506/L520*4,0)</f>
        <v>0.0776076780235562</v>
      </c>
      <c r="M522" s="18" t="n">
        <f aca="false">IF(M520&gt;0,M506/M520*4,0)</f>
        <v>0.0727202541699712</v>
      </c>
      <c r="N522" s="18" t="n">
        <f aca="false">IF(N520&gt;0,N506/N520*4,0)</f>
        <v>0.0691312863007039</v>
      </c>
      <c r="O522" s="18" t="n">
        <f aca="false">IF(O520&gt;0,O506/O520*4,0)</f>
        <v>0.0656909719954349</v>
      </c>
      <c r="P522" s="18" t="n">
        <f aca="false">IF(P520&gt;0,P506/P520*4,0)</f>
        <v>0.0623988517603237</v>
      </c>
      <c r="Q522" s="18" t="n">
        <f aca="false">IF(Q520&gt;0,Q506/Q520*4,0)</f>
        <v>0.0592245491655754</v>
      </c>
      <c r="R522" s="18" t="n">
        <f aca="false">IF(R520&gt;0,R506/R520*4,0)</f>
        <v>0.05614069755511</v>
      </c>
      <c r="S522" s="18" t="n">
        <f aca="false">IF(S520&gt;0,S506/S520*4,0)</f>
        <v>0.0531587839996221</v>
      </c>
      <c r="T522" s="18" t="n">
        <f aca="false">IF(T520&gt;0,T506/T520*4,0)</f>
        <v>0.0502859294796563</v>
      </c>
      <c r="U522" s="18" t="n">
        <f aca="false">IF(U520&gt;0,U506/U520*4,0)</f>
        <v>0.0475074375971474</v>
      </c>
      <c r="V522" s="18" t="n">
        <f aca="false">IF(V520&gt;0,V506/V520*4,0)</f>
        <v>0.0448287626053472</v>
      </c>
      <c r="W522" s="18" t="n">
        <f aca="false">IF(W520&gt;0,W506/W520*4,0)</f>
        <v>0.0405998258113709</v>
      </c>
      <c r="X522" s="18" t="n">
        <f aca="false">IF(X520&gt;0,X506/X520*4,0)</f>
        <v>0.0357111228309773</v>
      </c>
      <c r="Y522" s="18" t="n">
        <f aca="false">IF(Y520&gt;0,Y506/Y520*4,0)</f>
        <v>0.0310457846611161</v>
      </c>
      <c r="Z522" s="18" t="n">
        <f aca="false">IF(Z520&gt;0,Z506/Z520*4,0)</f>
        <v>0.0266492019301477</v>
      </c>
      <c r="AA522" s="18" t="n">
        <f aca="false">IF(AA520&gt;0,AA506/AA520*4,0)</f>
        <v>0.0228059944203665</v>
      </c>
      <c r="AB522" s="18" t="n">
        <f aca="false">IF(AB520&gt;0,AB506/AB520*4,0)</f>
        <v>0.0193478645575656</v>
      </c>
      <c r="AC522" s="18" t="n">
        <f aca="false">IF(AC520&gt;0,AC506/AC520*4,0)</f>
        <v>0.0151690689145881</v>
      </c>
      <c r="AD522" s="18" t="n">
        <f aca="false">IF(AD520&gt;0,AD506/AD520*4,0)</f>
        <v>0.00996757478057262</v>
      </c>
      <c r="AE522" s="18" t="n">
        <f aca="false">IF(AE520&gt;0,AE506/AE520*4,0)</f>
        <v>0.00465731325728393</v>
      </c>
      <c r="AF522" s="18" t="n">
        <f aca="false">IF(AF520&gt;0,AF506/AF520*4,0)</f>
        <v>0</v>
      </c>
      <c r="AG522" s="18" t="n">
        <f aca="false">IF(AG520&gt;0,AG506/AG520*4,0)</f>
        <v>0</v>
      </c>
      <c r="AH522" s="18" t="n">
        <f aca="false">IF(AH520&gt;0,AH506/AH520*4,0)</f>
        <v>0</v>
      </c>
      <c r="AI522" s="18" t="n">
        <f aca="false">IF(AI520&gt;0,AI506/AI520*4,0)</f>
        <v>0</v>
      </c>
      <c r="AJ522" s="18" t="n">
        <f aca="false">IF(AJ520&gt;0,AJ506/AJ520*4,0)</f>
        <v>0</v>
      </c>
      <c r="AK522" s="18" t="n">
        <f aca="false">IF(AK520&gt;0,AK506/AK520*4,0)</f>
        <v>0</v>
      </c>
      <c r="AL522" s="18" t="n">
        <f aca="false">IF(AL520&gt;0,AL506/AL520*4,0)</f>
        <v>0</v>
      </c>
      <c r="AM522" s="18" t="n">
        <f aca="false">IF(AM520&gt;0,AM506/AM520*4,0)</f>
        <v>0</v>
      </c>
      <c r="AN522" s="18" t="n">
        <f aca="false">IF(AN520&gt;0,AN506/AN520*4,0)</f>
        <v>0</v>
      </c>
    </row>
    <row r="523" customFormat="false" ht="15" hidden="false" customHeight="false" outlineLevel="0" collapsed="false">
      <c r="A523" s="14" t="s">
        <v>176</v>
      </c>
      <c r="E523" s="39" t="n">
        <f aca="false">E504+E512+E516</f>
        <v>28289302.2572091</v>
      </c>
      <c r="F523" s="39" t="n">
        <f aca="false">F504+F512+F516</f>
        <v>26740530.729919</v>
      </c>
      <c r="G523" s="39" t="n">
        <f aca="false">G504+G512+G516</f>
        <v>25199694.2911902</v>
      </c>
      <c r="H523" s="39" t="n">
        <f aca="false">H504+H512+H516</f>
        <v>23682758.343938</v>
      </c>
      <c r="I523" s="39" t="n">
        <f aca="false">I504+I512+I516</f>
        <v>21622614.2556226</v>
      </c>
      <c r="J523" s="39" t="n">
        <f aca="false">J504+J512+J516</f>
        <v>19471655.4598558</v>
      </c>
      <c r="K523" s="39" t="n">
        <f aca="false">K504+K512+K516</f>
        <v>17549504.7425057</v>
      </c>
      <c r="L523" s="39" t="n">
        <f aca="false">L504+L512+L516</f>
        <v>15832495.4884389</v>
      </c>
      <c r="M523" s="39" t="n">
        <f aca="false">M504+M512+M516</f>
        <v>16544304.8637658</v>
      </c>
      <c r="N523" s="39" t="n">
        <f aca="false">N504+N512+N516</f>
        <v>14998587.2493741</v>
      </c>
      <c r="O523" s="39" t="n">
        <f aca="false">O504+O512+O516</f>
        <v>13581784.7502868</v>
      </c>
      <c r="P523" s="39" t="n">
        <f aca="false">P504+P512+P516</f>
        <v>12294956.6555489</v>
      </c>
      <c r="Q523" s="39" t="n">
        <f aca="false">Q504+Q512+Q516</f>
        <v>11098085.6872778</v>
      </c>
      <c r="R523" s="39" t="n">
        <f aca="false">R504+R512+R516</f>
        <v>10005239.4581358</v>
      </c>
      <c r="S523" s="39" t="n">
        <f aca="false">S504+S512+S516</f>
        <v>9012862.31318117</v>
      </c>
      <c r="T523" s="39" t="n">
        <f aca="false">T504+T512+T516</f>
        <v>8118436.5196502</v>
      </c>
      <c r="U523" s="39" t="n">
        <f aca="false">U504+U512+U516</f>
        <v>7325900.61497738</v>
      </c>
      <c r="V523" s="39" t="n">
        <f aca="false">V504+V512+V516</f>
        <v>10595821.0771441</v>
      </c>
      <c r="W523" s="39" t="n">
        <f aca="false">W504+W512+W516</f>
        <v>11184381.1388261</v>
      </c>
      <c r="X523" s="39" t="n">
        <f aca="false">X504+X512+X516</f>
        <v>9778277.04494344</v>
      </c>
      <c r="Y523" s="39" t="n">
        <f aca="false">Y504+Y512+Y516</f>
        <v>8528075.38555687</v>
      </c>
      <c r="Z523" s="39" t="n">
        <f aca="false">Z504+Z512+Z516</f>
        <v>8484355.41703008</v>
      </c>
      <c r="AA523" s="39" t="n">
        <f aca="false">AA504+AA512+AA516</f>
        <v>7361556.5267396</v>
      </c>
      <c r="AB523" s="39" t="n">
        <f aca="false">AB504+AB512+AB516</f>
        <v>3123741.93237847</v>
      </c>
      <c r="AC523" s="39" t="n">
        <f aca="false">AC504+AC512+AC516</f>
        <v>0</v>
      </c>
      <c r="AD523" s="39" t="n">
        <f aca="false">AD504+AD512+AD516</f>
        <v>0</v>
      </c>
      <c r="AE523" s="39" t="n">
        <f aca="false">AE504+AE512+AE516</f>
        <v>0</v>
      </c>
      <c r="AF523" s="39" t="n">
        <f aca="false">AF504+AF512+AF516</f>
        <v>0</v>
      </c>
      <c r="AG523" s="39" t="n">
        <f aca="false">AG504+AG512+AG516</f>
        <v>0</v>
      </c>
      <c r="AH523" s="39" t="n">
        <f aca="false">AH504+AH512+AH516</f>
        <v>0</v>
      </c>
      <c r="AI523" s="39" t="n">
        <f aca="false">AI504+AI512+AI516</f>
        <v>0</v>
      </c>
      <c r="AJ523" s="39" t="n">
        <f aca="false">AJ504+AJ512+AJ516</f>
        <v>0</v>
      </c>
      <c r="AK523" s="39" t="n">
        <f aca="false">AK504+AK512+AK516</f>
        <v>0</v>
      </c>
      <c r="AL523" s="39" t="n">
        <f aca="false">AL504+AL512+AL516</f>
        <v>0</v>
      </c>
      <c r="AM523" s="39" t="n">
        <f aca="false">AM504+AM512+AM516</f>
        <v>0</v>
      </c>
      <c r="AN523" s="39" t="n">
        <f aca="false">AN504+AN512+AN516</f>
        <v>0</v>
      </c>
    </row>
    <row r="524" customFormat="false" ht="15" hidden="false" customHeight="false" outlineLevel="0" collapsed="false">
      <c r="A524" s="14" t="s">
        <v>177</v>
      </c>
      <c r="D524" s="39" t="n">
        <f aca="false">-'Inputs &amp; Assumptions'!$C$134</f>
        <v>-340424922.203496</v>
      </c>
      <c r="E524" s="39" t="n">
        <f aca="false">E499+E510+E523</f>
        <v>31969295.6662289</v>
      </c>
      <c r="F524" s="39" t="n">
        <f aca="false">F499+F510+F523</f>
        <v>30114716.7815384</v>
      </c>
      <c r="G524" s="39" t="n">
        <f aca="false">G499+G510+G523</f>
        <v>28284815.2056191</v>
      </c>
      <c r="H524" s="39" t="n">
        <f aca="false">H499+H510+H523</f>
        <v>26495470.5630792</v>
      </c>
      <c r="I524" s="39" t="n">
        <f aca="false">I499+I510+I523</f>
        <v>24179315.8570659</v>
      </c>
      <c r="J524" s="39" t="n">
        <f aca="false">J499+J510+J523</f>
        <v>21794616.6011957</v>
      </c>
      <c r="K524" s="39" t="n">
        <f aca="false">K499+K510+K523</f>
        <v>19661977.2883246</v>
      </c>
      <c r="L524" s="39" t="n">
        <f aca="false">L499+L510+L523</f>
        <v>17755257.8879913</v>
      </c>
      <c r="M524" s="39" t="n">
        <f aca="false">M499+M510+M523</f>
        <v>18295917.9870881</v>
      </c>
      <c r="N524" s="39" t="n">
        <f aca="false">N499+N510+N523</f>
        <v>16571356.4371192</v>
      </c>
      <c r="O524" s="39" t="n">
        <f aca="false">O499+O510+O523</f>
        <v>14992419.2098661</v>
      </c>
      <c r="P524" s="39" t="n">
        <f aca="false">P499+P510+P523</f>
        <v>13558772.0219776</v>
      </c>
      <c r="Q524" s="39" t="n">
        <f aca="false">Q499+Q510+Q523</f>
        <v>12228992.57226</v>
      </c>
      <c r="R524" s="39" t="n">
        <f aca="false">R499+R510+R523</f>
        <v>11016176.0368386</v>
      </c>
      <c r="S524" s="39" t="n">
        <f aca="false">S499+S510+S523</f>
        <v>9915642.25334149</v>
      </c>
      <c r="T524" s="39" t="n">
        <f aca="false">T499+T510+T523</f>
        <v>8923787.41820503</v>
      </c>
      <c r="U524" s="39" t="n">
        <f aca="false">U499+U510+U523</f>
        <v>8043491.2147548</v>
      </c>
      <c r="V524" s="39" t="n">
        <f aca="false">V499+V510+V523</f>
        <v>11234218.6912736</v>
      </c>
      <c r="W524" s="39" t="n">
        <f aca="false">W499+W510+W523</f>
        <v>11708237.9271116</v>
      </c>
      <c r="X524" s="39" t="n">
        <f aca="false">X499+X510+X523</f>
        <v>10181230.6731183</v>
      </c>
      <c r="Y524" s="39" t="n">
        <f aca="false">Y499+Y510+Y523</f>
        <v>8825325.83887591</v>
      </c>
      <c r="Z524" s="39" t="n">
        <f aca="false">Z499+Z510+Z523</f>
        <v>8689417.37543125</v>
      </c>
      <c r="AA524" s="39" t="n">
        <f aca="false">AA499+AA510+AA523</f>
        <v>7474902.60308267</v>
      </c>
      <c r="AB524" s="39" t="n">
        <f aca="false">AB499+AB510+AB523</f>
        <v>3157509.58266749</v>
      </c>
      <c r="AC524" s="39" t="n">
        <f aca="false">AC499+AC510+AC523</f>
        <v>0</v>
      </c>
      <c r="AD524" s="39" t="n">
        <f aca="false">AD499+AD510+AD523</f>
        <v>0</v>
      </c>
      <c r="AE524" s="39" t="n">
        <f aca="false">AE499+AE510+AE523</f>
        <v>0</v>
      </c>
      <c r="AF524" s="39" t="n">
        <f aca="false">AF499+AF510+AF523</f>
        <v>0</v>
      </c>
      <c r="AG524" s="39" t="n">
        <f aca="false">AG499+AG510+AG523</f>
        <v>0</v>
      </c>
      <c r="AH524" s="39" t="n">
        <f aca="false">AH499+AH510+AH523</f>
        <v>0</v>
      </c>
      <c r="AI524" s="39" t="n">
        <f aca="false">AI499+AI510+AI523</f>
        <v>0</v>
      </c>
      <c r="AJ524" s="39" t="n">
        <f aca="false">AJ499+AJ510+AJ523</f>
        <v>0</v>
      </c>
      <c r="AK524" s="39" t="n">
        <f aca="false">AK499+AK510+AK523</f>
        <v>0</v>
      </c>
      <c r="AL524" s="39" t="n">
        <f aca="false">AL499+AL510+AL523</f>
        <v>0</v>
      </c>
      <c r="AM524" s="39" t="n">
        <f aca="false">AM499+AM510+AM523</f>
        <v>0</v>
      </c>
      <c r="AN524" s="39" t="n">
        <f aca="false">AN499+AN510+AN523</f>
        <v>0</v>
      </c>
    </row>
    <row r="525" customFormat="false" ht="15" hidden="false" customHeight="false" outlineLevel="0" collapsed="false">
      <c r="A525" s="14" t="s">
        <v>178</v>
      </c>
      <c r="D525" s="39" t="n">
        <f aca="false">-'Inputs &amp; Assumptions'!$C$135</f>
        <v>-226949948.135664</v>
      </c>
      <c r="E525" s="39" t="n">
        <f aca="false">E506+E518</f>
        <v>18599013.9193943</v>
      </c>
      <c r="F525" s="39" t="n">
        <f aca="false">F506+F518</f>
        <v>17319548.0316364</v>
      </c>
      <c r="G525" s="39" t="n">
        <f aca="false">G506+G518</f>
        <v>16083077.2110591</v>
      </c>
      <c r="H525" s="39" t="n">
        <f aca="false">H506+H518</f>
        <v>14896194.6294053</v>
      </c>
      <c r="I525" s="39" t="n">
        <f aca="false">I506+I518</f>
        <v>13517379.9560836</v>
      </c>
      <c r="J525" s="39" t="n">
        <f aca="false">J506+J518</f>
        <v>12148384.1487226</v>
      </c>
      <c r="K525" s="39" t="n">
        <f aca="false">K506+K518</f>
        <v>10926627.4254153</v>
      </c>
      <c r="L525" s="39" t="n">
        <f aca="false">L506+L518</f>
        <v>9836948.58083712</v>
      </c>
      <c r="M525" s="39" t="n">
        <f aca="false">M506+M518</f>
        <v>9826474.30161768</v>
      </c>
      <c r="N525" s="39" t="n">
        <f aca="false">N506+N518</f>
        <v>8906448.63300189</v>
      </c>
      <c r="O525" s="39" t="n">
        <f aca="false">O506+O518</f>
        <v>8070341.18796344</v>
      </c>
      <c r="P525" s="39" t="n">
        <f aca="false">P506+P518</f>
        <v>7315303.0675248</v>
      </c>
      <c r="Q525" s="39" t="n">
        <f aca="false">Q506+Q518</f>
        <v>6620256.63260463</v>
      </c>
      <c r="R525" s="39" t="n">
        <f aca="false">R506+R518</f>
        <v>5988082.17131642</v>
      </c>
      <c r="S525" s="39" t="n">
        <f aca="false">S506+S518</f>
        <v>5415489.98512371</v>
      </c>
      <c r="T525" s="39" t="n">
        <f aca="false">T506+T518</f>
        <v>4899685.66105554</v>
      </c>
      <c r="U525" s="39" t="n">
        <f aca="false">U506+U518</f>
        <v>4440223.76245786</v>
      </c>
      <c r="V525" s="39" t="n">
        <f aca="false">V506+V518</f>
        <v>5733100.59118213</v>
      </c>
      <c r="W525" s="39" t="n">
        <f aca="false">W506+W518</f>
        <v>5826798.01566233</v>
      </c>
      <c r="X525" s="39" t="n">
        <f aca="false">X506+X518</f>
        <v>5056943.65517171</v>
      </c>
      <c r="Y525" s="39" t="n">
        <f aca="false">Y506+Y518</f>
        <v>4375448.87204809</v>
      </c>
      <c r="Z525" s="39" t="n">
        <f aca="false">Z506+Z518</f>
        <v>2715255.4935372</v>
      </c>
      <c r="AA525" s="39" t="n">
        <f aca="false">AA506+AA518</f>
        <v>2336774.80327601</v>
      </c>
      <c r="AB525" s="39" t="n">
        <f aca="false">AB506+AB518</f>
        <v>5245536.0808746</v>
      </c>
      <c r="AC525" s="39" t="n">
        <f aca="false">AC506+AC518</f>
        <v>7197133.66937959</v>
      </c>
      <c r="AD525" s="39" t="n">
        <f aca="false">AD506+AD518</f>
        <v>6134681.5652106</v>
      </c>
      <c r="AE525" s="39" t="n">
        <f aca="false">AE506+AE518</f>
        <v>5183429.39103582</v>
      </c>
      <c r="AF525" s="39" t="n">
        <f aca="false">AF506+AF518</f>
        <v>1646290.76021971</v>
      </c>
      <c r="AG525" s="39" t="n">
        <f aca="false">AG506+AG518</f>
        <v>111107.872542543</v>
      </c>
      <c r="AH525" s="39" t="n">
        <f aca="false">AH506+AH518</f>
        <v>77783.2668294212</v>
      </c>
      <c r="AI525" s="39" t="n">
        <f aca="false">AI506+AI518</f>
        <v>48952.9209302391</v>
      </c>
      <c r="AJ525" s="39" t="n">
        <f aca="false">AJ506+AJ518</f>
        <v>24099.8457089566</v>
      </c>
      <c r="AK525" s="39" t="n">
        <f aca="false">AK506+AK518</f>
        <v>5172.49123418413</v>
      </c>
      <c r="AL525" s="39" t="n">
        <f aca="false">AL506+AL518</f>
        <v>0</v>
      </c>
      <c r="AM525" s="39" t="n">
        <f aca="false">AM506+AM518</f>
        <v>0</v>
      </c>
      <c r="AN525" s="39" t="n">
        <f aca="false">AN506+AN518</f>
        <v>0</v>
      </c>
    </row>
    <row r="526" customFormat="false" ht="15" hidden="false" customHeight="false" outlineLevel="0" collapsed="false">
      <c r="A526" s="14" t="s">
        <v>179</v>
      </c>
      <c r="E526" s="18" t="n">
        <f aca="false">IF('Scenario Analysis'!E487&gt;0,E519/'Scenario Analysis'!E487,0)</f>
        <v>0.604620043277165</v>
      </c>
      <c r="F526" s="18" t="n">
        <f aca="false">IF('Scenario Analysis'!F487&gt;0,F519/'Scenario Analysis'!F487,0)</f>
        <v>0.609642786806027</v>
      </c>
      <c r="G526" s="18" t="n">
        <f aca="false">IF('Scenario Analysis'!G487&gt;0,G519/'Scenario Analysis'!G487,0)</f>
        <v>0.614996287436432</v>
      </c>
      <c r="H526" s="18" t="n">
        <f aca="false">IF('Scenario Analysis'!H487&gt;0,H519/'Scenario Analysis'!H487,0)</f>
        <v>0.620672877672405</v>
      </c>
      <c r="I526" s="18" t="n">
        <f aca="false">IF('Scenario Analysis'!I487&gt;0,I519/'Scenario Analysis'!I487,0)</f>
        <v>0.626618152823547</v>
      </c>
      <c r="J526" s="18" t="n">
        <f aca="false">IF('Scenario Analysis'!J487&gt;0,J519/'Scenario Analysis'!J487,0)</f>
        <v>0.632786819913529</v>
      </c>
      <c r="K526" s="18" t="n">
        <f aca="false">IF('Scenario Analysis'!K487&gt;0,K519/'Scenario Analysis'!K487,0)</f>
        <v>0.639042855073943</v>
      </c>
      <c r="L526" s="18" t="n">
        <f aca="false">IF('Scenario Analysis'!L487&gt;0,L519/'Scenario Analysis'!L487,0)</f>
        <v>0.645294621189884</v>
      </c>
      <c r="M526" s="18" t="n">
        <f aca="false">IF('Scenario Analysis'!M487&gt;0,M519/'Scenario Analysis'!M487,0)</f>
        <v>0.641724190940877</v>
      </c>
      <c r="N526" s="18" t="n">
        <f aca="false">IF('Scenario Analysis'!N487&gt;0,N519/'Scenario Analysis'!N487,0)</f>
        <v>0.637003991644013</v>
      </c>
      <c r="O526" s="18" t="n">
        <f aca="false">IF('Scenario Analysis'!O487&gt;0,O519/'Scenario Analysis'!O487,0)</f>
        <v>0.631057764255977</v>
      </c>
      <c r="P526" s="18" t="n">
        <f aca="false">IF('Scenario Analysis'!P487&gt;0,P519/'Scenario Analysis'!P487,0)</f>
        <v>0.62379799507205</v>
      </c>
      <c r="Q526" s="18" t="n">
        <f aca="false">IF('Scenario Analysis'!Q487&gt;0,Q519/'Scenario Analysis'!Q487,0)</f>
        <v>0.615551339522779</v>
      </c>
      <c r="R526" s="18" t="n">
        <f aca="false">IF('Scenario Analysis'!R487&gt;0,R519/'Scenario Analysis'!R487,0)</f>
        <v>0.606450360730915</v>
      </c>
      <c r="S526" s="18" t="n">
        <f aca="false">IF('Scenario Analysis'!S487&gt;0,S519/'Scenario Analysis'!S487,0)</f>
        <v>0.596432522097418</v>
      </c>
      <c r="T526" s="18" t="n">
        <f aca="false">IF('Scenario Analysis'!T487&gt;0,T519/'Scenario Analysis'!T487,0)</f>
        <v>0.585424582633194</v>
      </c>
      <c r="U526" s="18" t="n">
        <f aca="false">IF('Scenario Analysis'!U487&gt;0,U519/'Scenario Analysis'!U487,0)</f>
        <v>0.573405759179609</v>
      </c>
      <c r="V526" s="18" t="n">
        <f aca="false">IF('Scenario Analysis'!V487&gt;0,V519/'Scenario Analysis'!V487,0)</f>
        <v>0.551286320641412</v>
      </c>
      <c r="W526" s="18" t="n">
        <f aca="false">IF('Scenario Analysis'!W487&gt;0,W519/'Scenario Analysis'!W487,0)</f>
        <v>0.51774877099421</v>
      </c>
      <c r="X526" s="18" t="n">
        <f aca="false">IF('Scenario Analysis'!X487&gt;0,X519/'Scenario Analysis'!X487,0)</f>
        <v>0.473029807201742</v>
      </c>
      <c r="Y526" s="18" t="n">
        <f aca="false">IF('Scenario Analysis'!Y487&gt;0,Y519/'Scenario Analysis'!Y487,0)</f>
        <v>0.41164835925136</v>
      </c>
      <c r="Z526" s="18" t="n">
        <f aca="false">IF('Scenario Analysis'!Z487&gt;0,Z519/'Scenario Analysis'!Z487,0)</f>
        <v>0.294227410104661</v>
      </c>
      <c r="AA526" s="18" t="n">
        <f aca="false">IF('Scenario Analysis'!AA487&gt;0,AA519/'Scenario Analysis'!AA487,0)</f>
        <v>0.117386458801935</v>
      </c>
      <c r="AB526" s="18" t="n">
        <f aca="false">IF('Scenario Analysis'!AB487&gt;0,AB519/'Scenario Analysis'!AB487,0)</f>
        <v>0</v>
      </c>
      <c r="AC526" s="18" t="n">
        <f aca="false">IF('Scenario Analysis'!AC487&gt;0,AC519/'Scenario Analysis'!AC487,0)</f>
        <v>0</v>
      </c>
      <c r="AD526" s="18" t="n">
        <f aca="false">IF('Scenario Analysis'!AD487&gt;0,AD519/'Scenario Analysis'!AD487,0)</f>
        <v>0</v>
      </c>
      <c r="AE526" s="18" t="n">
        <f aca="false">IF('Scenario Analysis'!AE487&gt;0,AE519/'Scenario Analysis'!AE487,0)</f>
        <v>0</v>
      </c>
      <c r="AF526" s="18" t="n">
        <f aca="false">IF('Scenario Analysis'!AF487&gt;0,AF519/'Scenario Analysis'!AF487,0)</f>
        <v>0</v>
      </c>
      <c r="AG526" s="18" t="n">
        <f aca="false">IF('Scenario Analysis'!AG487&gt;0,AG519/'Scenario Analysis'!AG487,0)</f>
        <v>0</v>
      </c>
      <c r="AH526" s="18" t="n">
        <f aca="false">IF('Scenario Analysis'!AH487&gt;0,AH519/'Scenario Analysis'!AH487,0)</f>
        <v>0</v>
      </c>
      <c r="AI526" s="18" t="n">
        <f aca="false">IF('Scenario Analysis'!AI487&gt;0,AI519/'Scenario Analysis'!AI487,0)</f>
        <v>0</v>
      </c>
      <c r="AJ526" s="18" t="n">
        <f aca="false">IF('Scenario Analysis'!AJ487&gt;0,AJ519/'Scenario Analysis'!AJ487,0)</f>
        <v>0</v>
      </c>
      <c r="AK526" s="18" t="n">
        <f aca="false">IF('Scenario Analysis'!AK487&gt;0,AK519/'Scenario Analysis'!AK487,0)</f>
        <v>0</v>
      </c>
      <c r="AL526" s="18" t="n">
        <f aca="false">IF('Scenario Analysis'!AL487&gt;0,AL519/'Scenario Analysis'!AL487,0)</f>
        <v>0</v>
      </c>
      <c r="AM526" s="18" t="n">
        <f aca="false">IF('Scenario Analysis'!AM487&gt;0,AM519/'Scenario Analysis'!AM487,0)</f>
        <v>0</v>
      </c>
      <c r="AN526" s="18" t="n">
        <f aca="false">IF('Scenario Analysis'!AN487&gt;0,AN519/'Scenario Analysis'!AN487,0)</f>
        <v>0</v>
      </c>
    </row>
    <row r="528" customFormat="false" ht="15" hidden="false" customHeight="false" outlineLevel="0" collapsed="false">
      <c r="A528" s="12" t="s">
        <v>226</v>
      </c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 customFormat="false" ht="15" hidden="false" customHeight="false" outlineLevel="0" collapsed="false">
      <c r="A529" s="14" t="s">
        <v>181</v>
      </c>
      <c r="C529" s="41" t="n">
        <f aca="false">IFERROR(SUMPRODUCT(E523:AN523,'Inputs &amp; Assumptions'!E$48:AN$48)/SUM(E523:AN523),0)</f>
        <v>2.35380458872804</v>
      </c>
    </row>
    <row r="530" customFormat="false" ht="15" hidden="false" customHeight="false" outlineLevel="0" collapsed="false">
      <c r="A530" s="14" t="s">
        <v>182</v>
      </c>
      <c r="C530" s="41" t="n">
        <f aca="false">IFERROR(SUMPRODUCT(E518:AN518,'Inputs &amp; Assumptions'!E$48:AN$48)/SUM(E518:AN518),0)</f>
        <v>2.87360088992431</v>
      </c>
    </row>
    <row r="531" customFormat="false" ht="15" hidden="false" customHeight="false" outlineLevel="0" collapsed="false">
      <c r="A531" s="14" t="s">
        <v>183</v>
      </c>
      <c r="C531" s="41" t="n">
        <f aca="false">IFERROR(SUMPRODUCT('Scenario Analysis'!E483:AN483,'Inputs &amp; Assumptions'!E$48:AN$48)/SUM('Scenario Analysis'!E483:AN483),0)</f>
        <v>2.52704994795692</v>
      </c>
    </row>
    <row r="532" customFormat="false" ht="15" hidden="false" customHeight="false" outlineLevel="0" collapsed="false">
      <c r="A532" s="14" t="s">
        <v>184</v>
      </c>
      <c r="C532" s="44" t="n">
        <f aca="false">IFERROR((1+IRR(D524:AN524))^4-1,"n/a")</f>
        <v>0.0439462031131122</v>
      </c>
    </row>
    <row r="533" customFormat="false" ht="15" hidden="false" customHeight="false" outlineLevel="0" collapsed="false">
      <c r="A533" s="14" t="s">
        <v>185</v>
      </c>
      <c r="C533" s="44" t="n">
        <f aca="false">IFERROR((1+IRR(D525:AN525))^4-1,"n/a")</f>
        <v>-0.000703287111852524</v>
      </c>
    </row>
    <row r="534" customFormat="false" ht="15" hidden="false" customHeight="false" outlineLevel="0" collapsed="false">
      <c r="A534" s="14" t="s">
        <v>186</v>
      </c>
      <c r="C534" s="45" t="n">
        <f aca="false">SUM(E525:AN525)/'Inputs &amp; Assumptions'!$C$135</f>
        <v>0.998140737466267</v>
      </c>
    </row>
    <row r="535" customFormat="false" ht="15" hidden="false" customHeight="false" outlineLevel="0" collapsed="false">
      <c r="A535" s="14" t="s">
        <v>187</v>
      </c>
      <c r="C535" s="34" t="n">
        <f aca="false">SUM(E506:AN506)</f>
        <v>60104639.1785167</v>
      </c>
    </row>
    <row r="536" customFormat="false" ht="15" hidden="false" customHeight="false" outlineLevel="0" collapsed="false">
      <c r="A536" s="14" t="s">
        <v>188</v>
      </c>
      <c r="C536" s="34" t="n">
        <f aca="false">AN521</f>
        <v>60526598.7141179</v>
      </c>
    </row>
    <row r="537" customFormat="false" ht="15" hidden="false" customHeight="false" outlineLevel="0" collapsed="false">
      <c r="A537" s="14" t="s">
        <v>189</v>
      </c>
      <c r="C537" s="34" t="n">
        <f aca="false">SUMPRODUCT(--(E493:AN493&gt;1))</f>
        <v>24</v>
      </c>
    </row>
    <row r="538" customFormat="false" ht="15" hidden="false" customHeight="false" outlineLevel="0" collapsed="false">
      <c r="A538" s="14" t="s">
        <v>190</v>
      </c>
      <c r="C538" s="34" t="n">
        <f aca="false">SUM('Scenario Analysis'!E481:AN481)</f>
        <v>86118778.1448952</v>
      </c>
    </row>
    <row r="539" customFormat="false" ht="15" hidden="false" customHeight="false" outlineLevel="0" collapsed="false">
      <c r="A539" s="14" t="s">
        <v>191</v>
      </c>
      <c r="C539" s="34" t="n">
        <f aca="false">SUM('Scenario Analysis'!E482:AN482)</f>
        <v>25835633.4434686</v>
      </c>
    </row>
    <row r="540" customFormat="false" ht="15" hidden="false" customHeight="false" outlineLevel="0" collapsed="false">
      <c r="A540" s="14" t="s">
        <v>192</v>
      </c>
      <c r="C540" s="34" t="n">
        <f aca="false">SUM('Scenario Analysis'!E481:AN481)-SUM('Scenario Analysis'!E482:AN482)</f>
        <v>60283144.7014266</v>
      </c>
    </row>
    <row r="541" customFormat="false" ht="15" hidden="false" customHeight="false" outlineLevel="0" collapsed="false">
      <c r="A541" s="14" t="s">
        <v>193</v>
      </c>
      <c r="C541" s="44" t="n">
        <f aca="false">(SUM('Scenario Analysis'!E481:AN481)-SUM('Scenario Analysis'!E482:AN482))/'Inputs &amp; Assumptions'!$C$7</f>
        <v>0.100471907835711</v>
      </c>
    </row>
    <row r="542" customFormat="false" ht="15" hidden="false" customHeight="false" outlineLevel="0" collapsed="false">
      <c r="A542" s="14" t="s">
        <v>194</v>
      </c>
      <c r="C542" s="46" t="n">
        <f aca="false">MAX(E526:AN526)</f>
        <v>0.645294621189884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2026-07-09T20:46:22Z</dcterms:created>
  <dc:creator>openpyxl</dc:creator>
  <dc:description/>
  <dc:language>en-US</dc:language>
  <cp:lastModifiedBy/>
  <dcterms:modified xsi:type="dcterms:W3CDTF">2026-07-09T20:46:27Z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